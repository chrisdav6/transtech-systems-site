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8e5b328f9171baa/TTS/excel tools/"/>
    </mc:Choice>
  </mc:AlternateContent>
  <xr:revisionPtr revIDLastSave="3" documentId="8_{9913FD08-2129-4684-832A-9E6BD4E27EF7}" xr6:coauthVersionLast="46" xr6:coauthVersionMax="46" xr10:uidLastSave="{D361BADB-7626-4893-BAFC-C452443891CD}"/>
  <bookViews>
    <workbookView xWindow="-27765" yWindow="585" windowWidth="16095" windowHeight="14490" tabRatio="583" xr2:uid="{00000000-000D-0000-FFFF-FFFF00000000}"/>
  </bookViews>
  <sheets>
    <sheet name="Report" sheetId="1" r:id="rId1"/>
    <sheet name="mnt Data" sheetId="3" r:id="rId2"/>
    <sheet name="Vol Calcs" sheetId="5" state="hidden" r:id="rId3"/>
  </sheets>
  <definedNames>
    <definedName name="DMax">Report!$C$8</definedName>
    <definedName name="DMin">Report!$E$8</definedName>
    <definedName name="GEORGE_ST02160820" localSheetId="1">'mnt Data'!#REF!</definedName>
    <definedName name="Gs">Report!$J$7</definedName>
    <definedName name="Max">Report!$E$7</definedName>
    <definedName name="Min">Report!$C$7</definedName>
    <definedName name="_xlnm.Print_Titles" localSheetId="0">Report!$2:$9</definedName>
    <definedName name="Report">Report!$B$2</definedName>
  </definedNames>
  <calcPr calcId="181029"/>
</workbook>
</file>

<file path=xl/calcChain.xml><?xml version="1.0" encoding="utf-8"?>
<calcChain xmlns="http://schemas.openxmlformats.org/spreadsheetml/2006/main">
  <c r="M30" i="5" l="1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G1" i="1"/>
  <c r="D30" i="5"/>
  <c r="E30" i="5"/>
  <c r="D31" i="5"/>
  <c r="E31" i="5"/>
  <c r="D32" i="5"/>
  <c r="E32" i="5"/>
  <c r="D33" i="5"/>
  <c r="E33" i="5"/>
  <c r="D34" i="5"/>
  <c r="F34" i="5" s="1"/>
  <c r="G34" i="5" s="1"/>
  <c r="E34" i="5"/>
  <c r="D35" i="5"/>
  <c r="E35" i="5"/>
  <c r="D36" i="5"/>
  <c r="F36" i="5" s="1"/>
  <c r="E36" i="5"/>
  <c r="D37" i="5"/>
  <c r="F37" i="5" s="1"/>
  <c r="E37" i="5"/>
  <c r="D38" i="5"/>
  <c r="F38" i="5" s="1"/>
  <c r="G38" i="5" s="1"/>
  <c r="E38" i="5"/>
  <c r="D39" i="5"/>
  <c r="F39" i="5" s="1"/>
  <c r="E39" i="5"/>
  <c r="D40" i="5"/>
  <c r="E40" i="5"/>
  <c r="D41" i="5"/>
  <c r="F41" i="5" s="1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F49" i="5" s="1"/>
  <c r="E49" i="5"/>
  <c r="D50" i="5"/>
  <c r="F50" i="5" s="1"/>
  <c r="G50" i="5" s="1"/>
  <c r="E50" i="5"/>
  <c r="D51" i="5"/>
  <c r="E51" i="5"/>
  <c r="D52" i="5"/>
  <c r="F52" i="5" s="1"/>
  <c r="E52" i="5"/>
  <c r="D53" i="5"/>
  <c r="F53" i="5" s="1"/>
  <c r="E53" i="5"/>
  <c r="D54" i="5"/>
  <c r="F54" i="5" s="1"/>
  <c r="G54" i="5" s="1"/>
  <c r="E54" i="5"/>
  <c r="D55" i="5"/>
  <c r="F55" i="5" s="1"/>
  <c r="E55" i="5"/>
  <c r="D56" i="5"/>
  <c r="E56" i="5"/>
  <c r="D57" i="5"/>
  <c r="F57" i="5" s="1"/>
  <c r="E57" i="5"/>
  <c r="D58" i="5"/>
  <c r="E58" i="5"/>
  <c r="D59" i="5"/>
  <c r="E59" i="5"/>
  <c r="D60" i="5"/>
  <c r="E60" i="5"/>
  <c r="D61" i="5"/>
  <c r="E61" i="5"/>
  <c r="D62" i="5"/>
  <c r="F62" i="5" s="1"/>
  <c r="G62" i="5" s="1"/>
  <c r="E62" i="5"/>
  <c r="D63" i="5"/>
  <c r="E63" i="5"/>
  <c r="D64" i="5"/>
  <c r="E64" i="5"/>
  <c r="D65" i="5"/>
  <c r="F65" i="5" s="1"/>
  <c r="E65" i="5"/>
  <c r="D66" i="5"/>
  <c r="F66" i="5" s="1"/>
  <c r="G66" i="5" s="1"/>
  <c r="E66" i="5"/>
  <c r="D67" i="5"/>
  <c r="E67" i="5"/>
  <c r="D68" i="5"/>
  <c r="F68" i="5" s="1"/>
  <c r="E68" i="5"/>
  <c r="D69" i="5"/>
  <c r="F69" i="5" s="1"/>
  <c r="E69" i="5"/>
  <c r="D70" i="5"/>
  <c r="F70" i="5" s="1"/>
  <c r="G70" i="5" s="1"/>
  <c r="E70" i="5"/>
  <c r="D71" i="5"/>
  <c r="F71" i="5" s="1"/>
  <c r="E71" i="5"/>
  <c r="D72" i="5"/>
  <c r="E72" i="5"/>
  <c r="D73" i="5"/>
  <c r="F73" i="5" s="1"/>
  <c r="E73" i="5"/>
  <c r="D74" i="5"/>
  <c r="E74" i="5"/>
  <c r="D75" i="5"/>
  <c r="E75" i="5"/>
  <c r="D76" i="5"/>
  <c r="E76" i="5"/>
  <c r="D77" i="5"/>
  <c r="E77" i="5"/>
  <c r="D78" i="5"/>
  <c r="F78" i="5" s="1"/>
  <c r="G78" i="5" s="1"/>
  <c r="E78" i="5"/>
  <c r="D79" i="5"/>
  <c r="E79" i="5"/>
  <c r="D80" i="5"/>
  <c r="E80" i="5"/>
  <c r="D81" i="5"/>
  <c r="F81" i="5" s="1"/>
  <c r="E81" i="5"/>
  <c r="D82" i="5"/>
  <c r="F82" i="5" s="1"/>
  <c r="G82" i="5" s="1"/>
  <c r="E82" i="5"/>
  <c r="D83" i="5"/>
  <c r="E83" i="5"/>
  <c r="D84" i="5"/>
  <c r="F84" i="5" s="1"/>
  <c r="E84" i="5"/>
  <c r="D85" i="5"/>
  <c r="F85" i="5" s="1"/>
  <c r="E85" i="5"/>
  <c r="D86" i="5"/>
  <c r="F86" i="5" s="1"/>
  <c r="G86" i="5" s="1"/>
  <c r="E86" i="5"/>
  <c r="D87" i="5"/>
  <c r="F87" i="5" s="1"/>
  <c r="E87" i="5"/>
  <c r="D88" i="5"/>
  <c r="E88" i="5"/>
  <c r="D89" i="5"/>
  <c r="F89" i="5" s="1"/>
  <c r="E89" i="5"/>
  <c r="D90" i="5"/>
  <c r="E90" i="5"/>
  <c r="D91" i="5"/>
  <c r="E91" i="5"/>
  <c r="D92" i="5"/>
  <c r="E92" i="5"/>
  <c r="D93" i="5"/>
  <c r="E93" i="5"/>
  <c r="D94" i="5"/>
  <c r="F94" i="5" s="1"/>
  <c r="G94" i="5" s="1"/>
  <c r="E94" i="5"/>
  <c r="D95" i="5"/>
  <c r="E95" i="5"/>
  <c r="D96" i="5"/>
  <c r="E96" i="5"/>
  <c r="D97" i="5"/>
  <c r="F97" i="5" s="1"/>
  <c r="E97" i="5"/>
  <c r="D98" i="5"/>
  <c r="F98" i="5" s="1"/>
  <c r="G98" i="5" s="1"/>
  <c r="E98" i="5"/>
  <c r="D99" i="5"/>
  <c r="E99" i="5"/>
  <c r="D100" i="5"/>
  <c r="F100" i="5" s="1"/>
  <c r="E100" i="5"/>
  <c r="D101" i="5"/>
  <c r="F101" i="5" s="1"/>
  <c r="E101" i="5"/>
  <c r="D102" i="5"/>
  <c r="F102" i="5" s="1"/>
  <c r="G102" i="5" s="1"/>
  <c r="E102" i="5"/>
  <c r="D103" i="5"/>
  <c r="F103" i="5" s="1"/>
  <c r="E103" i="5"/>
  <c r="D104" i="5"/>
  <c r="E104" i="5"/>
  <c r="D105" i="5"/>
  <c r="F105" i="5" s="1"/>
  <c r="E105" i="5"/>
  <c r="D106" i="5"/>
  <c r="E106" i="5"/>
  <c r="D107" i="5"/>
  <c r="E107" i="5"/>
  <c r="D108" i="5"/>
  <c r="E108" i="5"/>
  <c r="D109" i="5"/>
  <c r="E109" i="5"/>
  <c r="D110" i="5"/>
  <c r="F110" i="5" s="1"/>
  <c r="G110" i="5" s="1"/>
  <c r="E110" i="5"/>
  <c r="D111" i="5"/>
  <c r="E111" i="5"/>
  <c r="D112" i="5"/>
  <c r="E112" i="5"/>
  <c r="D113" i="5"/>
  <c r="F113" i="5" s="1"/>
  <c r="E113" i="5"/>
  <c r="D114" i="5"/>
  <c r="F114" i="5" s="1"/>
  <c r="G114" i="5" s="1"/>
  <c r="E114" i="5"/>
  <c r="D115" i="5"/>
  <c r="E115" i="5"/>
  <c r="D116" i="5"/>
  <c r="F116" i="5" s="1"/>
  <c r="E116" i="5"/>
  <c r="D117" i="5"/>
  <c r="F117" i="5" s="1"/>
  <c r="E117" i="5"/>
  <c r="D118" i="5"/>
  <c r="F118" i="5" s="1"/>
  <c r="G118" i="5" s="1"/>
  <c r="E118" i="5"/>
  <c r="D119" i="5"/>
  <c r="F119" i="5" s="1"/>
  <c r="E119" i="5"/>
  <c r="D120" i="5"/>
  <c r="E120" i="5"/>
  <c r="D121" i="5"/>
  <c r="F121" i="5" s="1"/>
  <c r="E121" i="5"/>
  <c r="D122" i="5"/>
  <c r="E122" i="5"/>
  <c r="D123" i="5"/>
  <c r="E123" i="5"/>
  <c r="D124" i="5"/>
  <c r="E124" i="5"/>
  <c r="D125" i="5"/>
  <c r="E125" i="5"/>
  <c r="D126" i="5"/>
  <c r="F126" i="5" s="1"/>
  <c r="G126" i="5" s="1"/>
  <c r="E126" i="5"/>
  <c r="D127" i="5"/>
  <c r="E127" i="5"/>
  <c r="D128" i="5"/>
  <c r="E128" i="5"/>
  <c r="D129" i="5"/>
  <c r="F129" i="5" s="1"/>
  <c r="E129" i="5"/>
  <c r="D130" i="5"/>
  <c r="F130" i="5" s="1"/>
  <c r="G130" i="5" s="1"/>
  <c r="E130" i="5"/>
  <c r="D131" i="5"/>
  <c r="E131" i="5"/>
  <c r="D132" i="5"/>
  <c r="F132" i="5" s="1"/>
  <c r="E132" i="5"/>
  <c r="D133" i="5"/>
  <c r="F133" i="5" s="1"/>
  <c r="E133" i="5"/>
  <c r="D134" i="5"/>
  <c r="F134" i="5" s="1"/>
  <c r="G134" i="5" s="1"/>
  <c r="E134" i="5"/>
  <c r="D135" i="5"/>
  <c r="F135" i="5" s="1"/>
  <c r="E135" i="5"/>
  <c r="D136" i="5"/>
  <c r="E136" i="5"/>
  <c r="D137" i="5"/>
  <c r="F137" i="5" s="1"/>
  <c r="E137" i="5"/>
  <c r="D138" i="5"/>
  <c r="E138" i="5"/>
  <c r="D139" i="5"/>
  <c r="E139" i="5"/>
  <c r="D140" i="5"/>
  <c r="E140" i="5"/>
  <c r="D141" i="5"/>
  <c r="E141" i="5"/>
  <c r="D142" i="5"/>
  <c r="F142" i="5" s="1"/>
  <c r="G142" i="5" s="1"/>
  <c r="E142" i="5"/>
  <c r="D143" i="5"/>
  <c r="E143" i="5"/>
  <c r="D144" i="5"/>
  <c r="E144" i="5"/>
  <c r="D145" i="5"/>
  <c r="F145" i="5" s="1"/>
  <c r="E145" i="5"/>
  <c r="D146" i="5"/>
  <c r="F146" i="5" s="1"/>
  <c r="G146" i="5" s="1"/>
  <c r="E146" i="5"/>
  <c r="D147" i="5"/>
  <c r="E147" i="5"/>
  <c r="D148" i="5"/>
  <c r="F148" i="5" s="1"/>
  <c r="E148" i="5"/>
  <c r="D149" i="5"/>
  <c r="F149" i="5" s="1"/>
  <c r="E149" i="5"/>
  <c r="D150" i="5"/>
  <c r="F150" i="5" s="1"/>
  <c r="G150" i="5" s="1"/>
  <c r="E150" i="5"/>
  <c r="D151" i="5"/>
  <c r="F151" i="5" s="1"/>
  <c r="E151" i="5"/>
  <c r="D152" i="5"/>
  <c r="E152" i="5"/>
  <c r="D153" i="5"/>
  <c r="F153" i="5" s="1"/>
  <c r="E153" i="5"/>
  <c r="D154" i="5"/>
  <c r="E154" i="5"/>
  <c r="D155" i="5"/>
  <c r="E155" i="5"/>
  <c r="D156" i="5"/>
  <c r="E156" i="5"/>
  <c r="D157" i="5"/>
  <c r="E157" i="5"/>
  <c r="D158" i="5"/>
  <c r="F158" i="5" s="1"/>
  <c r="G158" i="5" s="1"/>
  <c r="E158" i="5"/>
  <c r="D159" i="5"/>
  <c r="E159" i="5"/>
  <c r="D160" i="5"/>
  <c r="E160" i="5"/>
  <c r="D161" i="5"/>
  <c r="F161" i="5" s="1"/>
  <c r="E161" i="5"/>
  <c r="D162" i="5"/>
  <c r="F162" i="5" s="1"/>
  <c r="G162" i="5" s="1"/>
  <c r="E162" i="5"/>
  <c r="D163" i="5"/>
  <c r="E163" i="5"/>
  <c r="D164" i="5"/>
  <c r="E164" i="5"/>
  <c r="D165" i="5"/>
  <c r="F165" i="5" s="1"/>
  <c r="E165" i="5"/>
  <c r="D166" i="5"/>
  <c r="F166" i="5" s="1"/>
  <c r="G166" i="5" s="1"/>
  <c r="E166" i="5"/>
  <c r="D167" i="5"/>
  <c r="F167" i="5" s="1"/>
  <c r="E167" i="5"/>
  <c r="D168" i="5"/>
  <c r="E168" i="5"/>
  <c r="D169" i="5"/>
  <c r="F169" i="5" s="1"/>
  <c r="E169" i="5"/>
  <c r="D170" i="5"/>
  <c r="E170" i="5"/>
  <c r="D171" i="5"/>
  <c r="E171" i="5"/>
  <c r="D172" i="5"/>
  <c r="E172" i="5"/>
  <c r="D173" i="5"/>
  <c r="E173" i="5"/>
  <c r="D174" i="5"/>
  <c r="F174" i="5" s="1"/>
  <c r="G174" i="5" s="1"/>
  <c r="E174" i="5"/>
  <c r="D175" i="5"/>
  <c r="E175" i="5"/>
  <c r="D176" i="5"/>
  <c r="F176" i="5" s="1"/>
  <c r="G176" i="5" s="1"/>
  <c r="E176" i="5"/>
  <c r="D177" i="5"/>
  <c r="F177" i="5" s="1"/>
  <c r="E177" i="5"/>
  <c r="D178" i="5"/>
  <c r="F178" i="5" s="1"/>
  <c r="G178" i="5" s="1"/>
  <c r="E178" i="5"/>
  <c r="D179" i="5"/>
  <c r="E179" i="5"/>
  <c r="D180" i="5"/>
  <c r="F180" i="5" s="1"/>
  <c r="G180" i="5" s="1"/>
  <c r="E180" i="5"/>
  <c r="D181" i="5"/>
  <c r="F181" i="5" s="1"/>
  <c r="E181" i="5"/>
  <c r="D182" i="5"/>
  <c r="F182" i="5" s="1"/>
  <c r="G182" i="5" s="1"/>
  <c r="E182" i="5"/>
  <c r="D183" i="5"/>
  <c r="E183" i="5"/>
  <c r="D184" i="5"/>
  <c r="F184" i="5" s="1"/>
  <c r="G184" i="5" s="1"/>
  <c r="E184" i="5"/>
  <c r="D185" i="5"/>
  <c r="F185" i="5" s="1"/>
  <c r="E185" i="5"/>
  <c r="D186" i="5"/>
  <c r="F186" i="5" s="1"/>
  <c r="G186" i="5" s="1"/>
  <c r="E186" i="5"/>
  <c r="D187" i="5"/>
  <c r="E187" i="5"/>
  <c r="D188" i="5"/>
  <c r="F188" i="5" s="1"/>
  <c r="G188" i="5" s="1"/>
  <c r="E188" i="5"/>
  <c r="D189" i="5"/>
  <c r="F189" i="5" s="1"/>
  <c r="E189" i="5"/>
  <c r="D190" i="5"/>
  <c r="F190" i="5" s="1"/>
  <c r="G190" i="5" s="1"/>
  <c r="E190" i="5"/>
  <c r="D191" i="5"/>
  <c r="F191" i="5" s="1"/>
  <c r="E191" i="5"/>
  <c r="D192" i="5"/>
  <c r="F192" i="5" s="1"/>
  <c r="G192" i="5" s="1"/>
  <c r="E192" i="5"/>
  <c r="D193" i="5"/>
  <c r="F193" i="5" s="1"/>
  <c r="E193" i="5"/>
  <c r="D194" i="5"/>
  <c r="F194" i="5" s="1"/>
  <c r="E194" i="5"/>
  <c r="D195" i="5"/>
  <c r="E195" i="5"/>
  <c r="D196" i="5"/>
  <c r="F196" i="5" s="1"/>
  <c r="E196" i="5"/>
  <c r="D197" i="5"/>
  <c r="F197" i="5" s="1"/>
  <c r="E197" i="5"/>
  <c r="D198" i="5"/>
  <c r="F198" i="5" s="1"/>
  <c r="E198" i="5"/>
  <c r="D199" i="5"/>
  <c r="F199" i="5" s="1"/>
  <c r="E199" i="5"/>
  <c r="D200" i="5"/>
  <c r="F200" i="5" s="1"/>
  <c r="E200" i="5"/>
  <c r="D201" i="5"/>
  <c r="F201" i="5" s="1"/>
  <c r="E201" i="5"/>
  <c r="D202" i="5"/>
  <c r="F202" i="5" s="1"/>
  <c r="E202" i="5"/>
  <c r="D203" i="5"/>
  <c r="E203" i="5"/>
  <c r="D204" i="5"/>
  <c r="F204" i="5" s="1"/>
  <c r="E204" i="5"/>
  <c r="D205" i="5"/>
  <c r="F205" i="5" s="1"/>
  <c r="E205" i="5"/>
  <c r="D206" i="5"/>
  <c r="F206" i="5" s="1"/>
  <c r="E206" i="5"/>
  <c r="D207" i="5"/>
  <c r="F207" i="5" s="1"/>
  <c r="E207" i="5"/>
  <c r="D208" i="5"/>
  <c r="F208" i="5" s="1"/>
  <c r="E208" i="5"/>
  <c r="D209" i="5"/>
  <c r="F209" i="5" s="1"/>
  <c r="E209" i="5"/>
  <c r="D210" i="5"/>
  <c r="F210" i="5" s="1"/>
  <c r="E210" i="5"/>
  <c r="D211" i="5"/>
  <c r="E211" i="5"/>
  <c r="D212" i="5"/>
  <c r="F212" i="5" s="1"/>
  <c r="E212" i="5"/>
  <c r="D213" i="5"/>
  <c r="F213" i="5" s="1"/>
  <c r="E213" i="5"/>
  <c r="D214" i="5"/>
  <c r="F214" i="5" s="1"/>
  <c r="E214" i="5"/>
  <c r="D215" i="5"/>
  <c r="F215" i="5" s="1"/>
  <c r="E215" i="5"/>
  <c r="D216" i="5"/>
  <c r="F216" i="5" s="1"/>
  <c r="E216" i="5"/>
  <c r="D217" i="5"/>
  <c r="F217" i="5" s="1"/>
  <c r="E217" i="5"/>
  <c r="D218" i="5"/>
  <c r="F218" i="5" s="1"/>
  <c r="E218" i="5"/>
  <c r="D219" i="5"/>
  <c r="E219" i="5"/>
  <c r="D220" i="5"/>
  <c r="E220" i="5"/>
  <c r="D221" i="5"/>
  <c r="E221" i="5"/>
  <c r="D222" i="5"/>
  <c r="F222" i="5" s="1"/>
  <c r="E222" i="5"/>
  <c r="D223" i="5"/>
  <c r="E223" i="5"/>
  <c r="D224" i="5"/>
  <c r="F224" i="5" s="1"/>
  <c r="E224" i="5"/>
  <c r="D225" i="5"/>
  <c r="F225" i="5" s="1"/>
  <c r="E225" i="5"/>
  <c r="D226" i="5"/>
  <c r="F226" i="5" s="1"/>
  <c r="E226" i="5"/>
  <c r="D227" i="5"/>
  <c r="E227" i="5"/>
  <c r="D228" i="5"/>
  <c r="E228" i="5"/>
  <c r="D229" i="5"/>
  <c r="F229" i="5" s="1"/>
  <c r="E229" i="5"/>
  <c r="D230" i="5"/>
  <c r="F230" i="5" s="1"/>
  <c r="G230" i="5" s="1"/>
  <c r="E230" i="5"/>
  <c r="D231" i="5"/>
  <c r="F231" i="5" s="1"/>
  <c r="E231" i="5"/>
  <c r="D232" i="5"/>
  <c r="F232" i="5" s="1"/>
  <c r="G232" i="5" s="1"/>
  <c r="E232" i="5"/>
  <c r="D233" i="5"/>
  <c r="F233" i="5" s="1"/>
  <c r="E233" i="5"/>
  <c r="D234" i="5"/>
  <c r="E234" i="5"/>
  <c r="D235" i="5"/>
  <c r="F235" i="5" s="1"/>
  <c r="E235" i="5"/>
  <c r="D236" i="5"/>
  <c r="F236" i="5" s="1"/>
  <c r="E236" i="5"/>
  <c r="D237" i="5"/>
  <c r="E237" i="5"/>
  <c r="D238" i="5"/>
  <c r="E238" i="5"/>
  <c r="D239" i="5"/>
  <c r="F239" i="5" s="1"/>
  <c r="E239" i="5"/>
  <c r="D240" i="5"/>
  <c r="F240" i="5" s="1"/>
  <c r="E240" i="5"/>
  <c r="D241" i="5"/>
  <c r="F241" i="5" s="1"/>
  <c r="E241" i="5"/>
  <c r="D242" i="5"/>
  <c r="F242" i="5" s="1"/>
  <c r="G242" i="5" s="1"/>
  <c r="E242" i="5"/>
  <c r="D243" i="5"/>
  <c r="E243" i="5"/>
  <c r="D244" i="5"/>
  <c r="E244" i="5"/>
  <c r="D245" i="5"/>
  <c r="F245" i="5" s="1"/>
  <c r="E245" i="5"/>
  <c r="D246" i="5"/>
  <c r="F246" i="5" s="1"/>
  <c r="G246" i="5" s="1"/>
  <c r="E246" i="5"/>
  <c r="D247" i="5"/>
  <c r="E247" i="5"/>
  <c r="D248" i="5"/>
  <c r="F248" i="5" s="1"/>
  <c r="G248" i="5" s="1"/>
  <c r="E248" i="5"/>
  <c r="D249" i="5"/>
  <c r="E249" i="5"/>
  <c r="D250" i="5"/>
  <c r="E250" i="5"/>
  <c r="D251" i="5"/>
  <c r="F251" i="5" s="1"/>
  <c r="E251" i="5"/>
  <c r="D252" i="5"/>
  <c r="F252" i="5" s="1"/>
  <c r="E252" i="5"/>
  <c r="D253" i="5"/>
  <c r="E253" i="5"/>
  <c r="D254" i="5"/>
  <c r="F254" i="5" s="1"/>
  <c r="G254" i="5" s="1"/>
  <c r="E254" i="5"/>
  <c r="D255" i="5"/>
  <c r="F255" i="5" s="1"/>
  <c r="E255" i="5"/>
  <c r="D256" i="5"/>
  <c r="F256" i="5" s="1"/>
  <c r="E256" i="5"/>
  <c r="D257" i="5"/>
  <c r="F257" i="5" s="1"/>
  <c r="G257" i="5" s="1"/>
  <c r="E257" i="5"/>
  <c r="D258" i="5"/>
  <c r="F258" i="5" s="1"/>
  <c r="E258" i="5"/>
  <c r="D259" i="5"/>
  <c r="F259" i="5" s="1"/>
  <c r="G259" i="5" s="1"/>
  <c r="E259" i="5"/>
  <c r="D260" i="5"/>
  <c r="E260" i="5"/>
  <c r="D261" i="5"/>
  <c r="F261" i="5" s="1"/>
  <c r="G261" i="5" s="1"/>
  <c r="E261" i="5"/>
  <c r="D262" i="5"/>
  <c r="F262" i="5" s="1"/>
  <c r="E262" i="5"/>
  <c r="D263" i="5"/>
  <c r="F263" i="5" s="1"/>
  <c r="G263" i="5" s="1"/>
  <c r="E263" i="5"/>
  <c r="D264" i="5"/>
  <c r="F264" i="5" s="1"/>
  <c r="E264" i="5"/>
  <c r="D265" i="5"/>
  <c r="F265" i="5" s="1"/>
  <c r="G265" i="5" s="1"/>
  <c r="E265" i="5"/>
  <c r="D266" i="5"/>
  <c r="F266" i="5" s="1"/>
  <c r="E266" i="5"/>
  <c r="D267" i="5"/>
  <c r="F267" i="5" s="1"/>
  <c r="G267" i="5" s="1"/>
  <c r="E267" i="5"/>
  <c r="D268" i="5"/>
  <c r="F268" i="5" s="1"/>
  <c r="E268" i="5"/>
  <c r="D269" i="5"/>
  <c r="F269" i="5" s="1"/>
  <c r="G269" i="5" s="1"/>
  <c r="E269" i="5"/>
  <c r="D270" i="5"/>
  <c r="F270" i="5" s="1"/>
  <c r="E270" i="5"/>
  <c r="D271" i="5"/>
  <c r="F271" i="5" s="1"/>
  <c r="G271" i="5" s="1"/>
  <c r="E271" i="5"/>
  <c r="D272" i="5"/>
  <c r="F272" i="5" s="1"/>
  <c r="E272" i="5"/>
  <c r="D273" i="5"/>
  <c r="F273" i="5" s="1"/>
  <c r="G273" i="5" s="1"/>
  <c r="E273" i="5"/>
  <c r="D274" i="5"/>
  <c r="F274" i="5" s="1"/>
  <c r="E274" i="5"/>
  <c r="D275" i="5"/>
  <c r="F275" i="5" s="1"/>
  <c r="G275" i="5" s="1"/>
  <c r="E275" i="5"/>
  <c r="D276" i="5"/>
  <c r="F276" i="5" s="1"/>
  <c r="E276" i="5"/>
  <c r="D277" i="5"/>
  <c r="F277" i="5" s="1"/>
  <c r="G277" i="5" s="1"/>
  <c r="E277" i="5"/>
  <c r="D278" i="5"/>
  <c r="F278" i="5" s="1"/>
  <c r="E278" i="5"/>
  <c r="D279" i="5"/>
  <c r="F279" i="5" s="1"/>
  <c r="G279" i="5" s="1"/>
  <c r="E279" i="5"/>
  <c r="D280" i="5"/>
  <c r="F280" i="5" s="1"/>
  <c r="E280" i="5"/>
  <c r="D281" i="5"/>
  <c r="F281" i="5" s="1"/>
  <c r="G281" i="5" s="1"/>
  <c r="E281" i="5"/>
  <c r="D282" i="5"/>
  <c r="F282" i="5" s="1"/>
  <c r="E282" i="5"/>
  <c r="D283" i="5"/>
  <c r="F283" i="5" s="1"/>
  <c r="G283" i="5" s="1"/>
  <c r="E283" i="5"/>
  <c r="D284" i="5"/>
  <c r="F284" i="5" s="1"/>
  <c r="E284" i="5"/>
  <c r="D285" i="5"/>
  <c r="F285" i="5" s="1"/>
  <c r="G285" i="5" s="1"/>
  <c r="E285" i="5"/>
  <c r="D286" i="5"/>
  <c r="F286" i="5" s="1"/>
  <c r="E286" i="5"/>
  <c r="D287" i="5"/>
  <c r="F287" i="5" s="1"/>
  <c r="G287" i="5" s="1"/>
  <c r="E287" i="5"/>
  <c r="D288" i="5"/>
  <c r="F288" i="5" s="1"/>
  <c r="E288" i="5"/>
  <c r="D289" i="5"/>
  <c r="F289" i="5" s="1"/>
  <c r="G289" i="5" s="1"/>
  <c r="E289" i="5"/>
  <c r="D290" i="5"/>
  <c r="F290" i="5" s="1"/>
  <c r="E290" i="5"/>
  <c r="D291" i="5"/>
  <c r="F291" i="5" s="1"/>
  <c r="G291" i="5" s="1"/>
  <c r="E291" i="5"/>
  <c r="D292" i="5"/>
  <c r="F292" i="5" s="1"/>
  <c r="E292" i="5"/>
  <c r="D293" i="5"/>
  <c r="F293" i="5" s="1"/>
  <c r="G293" i="5" s="1"/>
  <c r="E293" i="5"/>
  <c r="D294" i="5"/>
  <c r="F294" i="5" s="1"/>
  <c r="E294" i="5"/>
  <c r="D295" i="5"/>
  <c r="F295" i="5" s="1"/>
  <c r="G295" i="5" s="1"/>
  <c r="E295" i="5"/>
  <c r="D296" i="5"/>
  <c r="E296" i="5"/>
  <c r="D297" i="5"/>
  <c r="F297" i="5" s="1"/>
  <c r="G297" i="5" s="1"/>
  <c r="E297" i="5"/>
  <c r="D298" i="5"/>
  <c r="F298" i="5" s="1"/>
  <c r="E298" i="5"/>
  <c r="D299" i="5"/>
  <c r="F299" i="5" s="1"/>
  <c r="G299" i="5" s="1"/>
  <c r="E299" i="5"/>
  <c r="D300" i="5"/>
  <c r="F300" i="5" s="1"/>
  <c r="E300" i="5"/>
  <c r="D301" i="5"/>
  <c r="F301" i="5" s="1"/>
  <c r="G301" i="5" s="1"/>
  <c r="E301" i="5"/>
  <c r="D302" i="5"/>
  <c r="F302" i="5" s="1"/>
  <c r="E302" i="5"/>
  <c r="D303" i="5"/>
  <c r="F303" i="5" s="1"/>
  <c r="G303" i="5" s="1"/>
  <c r="E303" i="5"/>
  <c r="D304" i="5"/>
  <c r="F304" i="5" s="1"/>
  <c r="E304" i="5"/>
  <c r="D305" i="5"/>
  <c r="F305" i="5" s="1"/>
  <c r="G305" i="5" s="1"/>
  <c r="E305" i="5"/>
  <c r="D306" i="5"/>
  <c r="F306" i="5" s="1"/>
  <c r="E306" i="5"/>
  <c r="D307" i="5"/>
  <c r="F307" i="5" s="1"/>
  <c r="G307" i="5" s="1"/>
  <c r="E307" i="5"/>
  <c r="D308" i="5"/>
  <c r="F308" i="5" s="1"/>
  <c r="E308" i="5"/>
  <c r="D309" i="5"/>
  <c r="E309" i="5"/>
  <c r="D310" i="5"/>
  <c r="F310" i="5" s="1"/>
  <c r="E310" i="5"/>
  <c r="D311" i="5"/>
  <c r="F311" i="5" s="1"/>
  <c r="G311" i="5" s="1"/>
  <c r="E311" i="5"/>
  <c r="D312" i="5"/>
  <c r="E312" i="5"/>
  <c r="D313" i="5"/>
  <c r="E313" i="5"/>
  <c r="D314" i="5"/>
  <c r="F314" i="5" s="1"/>
  <c r="E314" i="5"/>
  <c r="D315" i="5"/>
  <c r="F315" i="5" s="1"/>
  <c r="G315" i="5" s="1"/>
  <c r="E315" i="5"/>
  <c r="D316" i="5"/>
  <c r="F316" i="5" s="1"/>
  <c r="E316" i="5"/>
  <c r="D317" i="5"/>
  <c r="E317" i="5"/>
  <c r="D318" i="5"/>
  <c r="F318" i="5" s="1"/>
  <c r="E318" i="5"/>
  <c r="D319" i="5"/>
  <c r="F319" i="5" s="1"/>
  <c r="G319" i="5" s="1"/>
  <c r="E319" i="5"/>
  <c r="D320" i="5"/>
  <c r="F320" i="5" s="1"/>
  <c r="E320" i="5"/>
  <c r="D321" i="5"/>
  <c r="E321" i="5"/>
  <c r="D322" i="5"/>
  <c r="F322" i="5" s="1"/>
  <c r="E322" i="5"/>
  <c r="D323" i="5"/>
  <c r="F323" i="5" s="1"/>
  <c r="G323" i="5" s="1"/>
  <c r="E323" i="5"/>
  <c r="D324" i="5"/>
  <c r="F324" i="5" s="1"/>
  <c r="E324" i="5"/>
  <c r="D325" i="5"/>
  <c r="E325" i="5"/>
  <c r="D326" i="5"/>
  <c r="F326" i="5" s="1"/>
  <c r="E326" i="5"/>
  <c r="D327" i="5"/>
  <c r="F327" i="5" s="1"/>
  <c r="G327" i="5" s="1"/>
  <c r="E327" i="5"/>
  <c r="D328" i="5"/>
  <c r="E328" i="5"/>
  <c r="D329" i="5"/>
  <c r="E329" i="5"/>
  <c r="D330" i="5"/>
  <c r="F330" i="5" s="1"/>
  <c r="E330" i="5"/>
  <c r="D331" i="5"/>
  <c r="F331" i="5" s="1"/>
  <c r="G331" i="5" s="1"/>
  <c r="E331" i="5"/>
  <c r="D332" i="5"/>
  <c r="F332" i="5" s="1"/>
  <c r="E332" i="5"/>
  <c r="D333" i="5"/>
  <c r="E333" i="5"/>
  <c r="D334" i="5"/>
  <c r="F334" i="5" s="1"/>
  <c r="E334" i="5"/>
  <c r="D335" i="5"/>
  <c r="F335" i="5" s="1"/>
  <c r="G335" i="5" s="1"/>
  <c r="E335" i="5"/>
  <c r="D336" i="5"/>
  <c r="F336" i="5" s="1"/>
  <c r="E336" i="5"/>
  <c r="D337" i="5"/>
  <c r="E337" i="5"/>
  <c r="D338" i="5"/>
  <c r="F338" i="5" s="1"/>
  <c r="E338" i="5"/>
  <c r="D339" i="5"/>
  <c r="F339" i="5" s="1"/>
  <c r="G339" i="5" s="1"/>
  <c r="E339" i="5"/>
  <c r="D340" i="5"/>
  <c r="F340" i="5" s="1"/>
  <c r="E340" i="5"/>
  <c r="D341" i="5"/>
  <c r="E341" i="5"/>
  <c r="D342" i="5"/>
  <c r="F342" i="5" s="1"/>
  <c r="E342" i="5"/>
  <c r="D343" i="5"/>
  <c r="F343" i="5" s="1"/>
  <c r="G343" i="5" s="1"/>
  <c r="E343" i="5"/>
  <c r="D344" i="5"/>
  <c r="E344" i="5"/>
  <c r="D345" i="5"/>
  <c r="E345" i="5"/>
  <c r="D346" i="5"/>
  <c r="F346" i="5" s="1"/>
  <c r="E346" i="5"/>
  <c r="D347" i="5"/>
  <c r="F347" i="5" s="1"/>
  <c r="G347" i="5" s="1"/>
  <c r="E347" i="5"/>
  <c r="D348" i="5"/>
  <c r="F348" i="5" s="1"/>
  <c r="E348" i="5"/>
  <c r="D349" i="5"/>
  <c r="E349" i="5"/>
  <c r="D350" i="5"/>
  <c r="F350" i="5" s="1"/>
  <c r="E350" i="5"/>
  <c r="D351" i="5"/>
  <c r="F351" i="5" s="1"/>
  <c r="G351" i="5" s="1"/>
  <c r="E351" i="5"/>
  <c r="D352" i="5"/>
  <c r="F352" i="5" s="1"/>
  <c r="E352" i="5"/>
  <c r="D353" i="5"/>
  <c r="E353" i="5"/>
  <c r="D354" i="5"/>
  <c r="F354" i="5" s="1"/>
  <c r="E354" i="5"/>
  <c r="D355" i="5"/>
  <c r="F355" i="5" s="1"/>
  <c r="G355" i="5" s="1"/>
  <c r="E355" i="5"/>
  <c r="D356" i="5"/>
  <c r="F356" i="5" s="1"/>
  <c r="E356" i="5"/>
  <c r="D357" i="5"/>
  <c r="E357" i="5"/>
  <c r="D358" i="5"/>
  <c r="F358" i="5" s="1"/>
  <c r="E358" i="5"/>
  <c r="D359" i="5"/>
  <c r="F359" i="5" s="1"/>
  <c r="G359" i="5" s="1"/>
  <c r="E359" i="5"/>
  <c r="D360" i="5"/>
  <c r="E360" i="5"/>
  <c r="D361" i="5"/>
  <c r="E361" i="5"/>
  <c r="D362" i="5"/>
  <c r="F362" i="5" s="1"/>
  <c r="E362" i="5"/>
  <c r="D363" i="5"/>
  <c r="F363" i="5" s="1"/>
  <c r="G363" i="5" s="1"/>
  <c r="E363" i="5"/>
  <c r="D364" i="5"/>
  <c r="F364" i="5" s="1"/>
  <c r="G364" i="5" s="1"/>
  <c r="E364" i="5"/>
  <c r="D365" i="5"/>
  <c r="E365" i="5"/>
  <c r="D366" i="5"/>
  <c r="F366" i="5" s="1"/>
  <c r="G366" i="5" s="1"/>
  <c r="E366" i="5"/>
  <c r="D367" i="5"/>
  <c r="F367" i="5" s="1"/>
  <c r="E367" i="5"/>
  <c r="D368" i="5"/>
  <c r="F368" i="5" s="1"/>
  <c r="G368" i="5" s="1"/>
  <c r="E368" i="5"/>
  <c r="D369" i="5"/>
  <c r="F369" i="5" s="1"/>
  <c r="E369" i="5"/>
  <c r="D370" i="5"/>
  <c r="F370" i="5" s="1"/>
  <c r="E370" i="5"/>
  <c r="D371" i="5"/>
  <c r="F371" i="5" s="1"/>
  <c r="G371" i="5" s="1"/>
  <c r="E371" i="5"/>
  <c r="D372" i="5"/>
  <c r="F372" i="5" s="1"/>
  <c r="G372" i="5" s="1"/>
  <c r="E372" i="5"/>
  <c r="D373" i="5"/>
  <c r="F373" i="5" s="1"/>
  <c r="G373" i="5" s="1"/>
  <c r="E373" i="5"/>
  <c r="D374" i="5"/>
  <c r="E374" i="5"/>
  <c r="D375" i="5"/>
  <c r="E375" i="5"/>
  <c r="D376" i="5"/>
  <c r="E376" i="5"/>
  <c r="D377" i="5"/>
  <c r="F377" i="5" s="1"/>
  <c r="E377" i="5"/>
  <c r="D378" i="5"/>
  <c r="F378" i="5" s="1"/>
  <c r="E378" i="5"/>
  <c r="D379" i="5"/>
  <c r="F379" i="5" s="1"/>
  <c r="G379" i="5" s="1"/>
  <c r="E379" i="5"/>
  <c r="D380" i="5"/>
  <c r="F380" i="5" s="1"/>
  <c r="G380" i="5" s="1"/>
  <c r="E380" i="5"/>
  <c r="D381" i="5"/>
  <c r="F381" i="5" s="1"/>
  <c r="G381" i="5" s="1"/>
  <c r="E381" i="5"/>
  <c r="D382" i="5"/>
  <c r="E382" i="5"/>
  <c r="D383" i="5"/>
  <c r="E383" i="5"/>
  <c r="D384" i="5"/>
  <c r="E384" i="5"/>
  <c r="D385" i="5"/>
  <c r="F385" i="5" s="1"/>
  <c r="E385" i="5"/>
  <c r="D386" i="5"/>
  <c r="F386" i="5" s="1"/>
  <c r="E386" i="5"/>
  <c r="D387" i="5"/>
  <c r="F387" i="5" s="1"/>
  <c r="G387" i="5" s="1"/>
  <c r="E387" i="5"/>
  <c r="D388" i="5"/>
  <c r="F388" i="5" s="1"/>
  <c r="G388" i="5" s="1"/>
  <c r="E388" i="5"/>
  <c r="D389" i="5"/>
  <c r="F389" i="5" s="1"/>
  <c r="G389" i="5" s="1"/>
  <c r="E389" i="5"/>
  <c r="D390" i="5"/>
  <c r="E390" i="5"/>
  <c r="D391" i="5"/>
  <c r="F391" i="5" s="1"/>
  <c r="E391" i="5"/>
  <c r="D392" i="5"/>
  <c r="F392" i="5" s="1"/>
  <c r="G392" i="5" s="1"/>
  <c r="E392" i="5"/>
  <c r="D393" i="5"/>
  <c r="E393" i="5"/>
  <c r="D394" i="5"/>
  <c r="E394" i="5"/>
  <c r="D395" i="5"/>
  <c r="F395" i="5" s="1"/>
  <c r="G395" i="5" s="1"/>
  <c r="E395" i="5"/>
  <c r="D396" i="5"/>
  <c r="F396" i="5" s="1"/>
  <c r="G396" i="5" s="1"/>
  <c r="E396" i="5"/>
  <c r="D397" i="5"/>
  <c r="F397" i="5" s="1"/>
  <c r="E397" i="5"/>
  <c r="D398" i="5"/>
  <c r="F398" i="5" s="1"/>
  <c r="G398" i="5" s="1"/>
  <c r="E398" i="5"/>
  <c r="D399" i="5"/>
  <c r="E399" i="5"/>
  <c r="D400" i="5"/>
  <c r="F400" i="5" s="1"/>
  <c r="E400" i="5"/>
  <c r="D401" i="5"/>
  <c r="F401" i="5" s="1"/>
  <c r="G401" i="5" s="1"/>
  <c r="E401" i="5"/>
  <c r="D402" i="5"/>
  <c r="F402" i="5" s="1"/>
  <c r="E402" i="5"/>
  <c r="D403" i="5"/>
  <c r="E403" i="5"/>
  <c r="D404" i="5"/>
  <c r="F404" i="5" s="1"/>
  <c r="E404" i="5"/>
  <c r="D405" i="5"/>
  <c r="F405" i="5" s="1"/>
  <c r="G405" i="5" s="1"/>
  <c r="E405" i="5"/>
  <c r="D406" i="5"/>
  <c r="E406" i="5"/>
  <c r="D407" i="5"/>
  <c r="F407" i="5" s="1"/>
  <c r="E407" i="5"/>
  <c r="D408" i="5"/>
  <c r="F408" i="5" s="1"/>
  <c r="G408" i="5" s="1"/>
  <c r="E408" i="5"/>
  <c r="D409" i="5"/>
  <c r="E409" i="5"/>
  <c r="D410" i="5"/>
  <c r="E410" i="5"/>
  <c r="D411" i="5"/>
  <c r="F411" i="5" s="1"/>
  <c r="G411" i="5" s="1"/>
  <c r="E411" i="5"/>
  <c r="D412" i="5"/>
  <c r="F412" i="5" s="1"/>
  <c r="G412" i="5" s="1"/>
  <c r="E412" i="5"/>
  <c r="D413" i="5"/>
  <c r="F413" i="5" s="1"/>
  <c r="E413" i="5"/>
  <c r="D414" i="5"/>
  <c r="F414" i="5" s="1"/>
  <c r="G414" i="5" s="1"/>
  <c r="E414" i="5"/>
  <c r="D415" i="5"/>
  <c r="E415" i="5"/>
  <c r="D416" i="5"/>
  <c r="F416" i="5" s="1"/>
  <c r="E416" i="5"/>
  <c r="D417" i="5"/>
  <c r="F417" i="5" s="1"/>
  <c r="G417" i="5" s="1"/>
  <c r="E417" i="5"/>
  <c r="D418" i="5"/>
  <c r="F418" i="5" s="1"/>
  <c r="E418" i="5"/>
  <c r="D419" i="5"/>
  <c r="E419" i="5"/>
  <c r="D420" i="5"/>
  <c r="F420" i="5" s="1"/>
  <c r="E420" i="5"/>
  <c r="D421" i="5"/>
  <c r="F421" i="5" s="1"/>
  <c r="G421" i="5" s="1"/>
  <c r="E421" i="5"/>
  <c r="D422" i="5"/>
  <c r="E422" i="5"/>
  <c r="D423" i="5"/>
  <c r="F423" i="5" s="1"/>
  <c r="E423" i="5"/>
  <c r="D424" i="5"/>
  <c r="F424" i="5" s="1"/>
  <c r="G424" i="5" s="1"/>
  <c r="E424" i="5"/>
  <c r="D425" i="5"/>
  <c r="E425" i="5"/>
  <c r="D426" i="5"/>
  <c r="E426" i="5"/>
  <c r="D427" i="5"/>
  <c r="F427" i="5" s="1"/>
  <c r="G427" i="5" s="1"/>
  <c r="E427" i="5"/>
  <c r="D428" i="5"/>
  <c r="F428" i="5" s="1"/>
  <c r="G428" i="5" s="1"/>
  <c r="E428" i="5"/>
  <c r="D429" i="5"/>
  <c r="F429" i="5" s="1"/>
  <c r="E429" i="5"/>
  <c r="D430" i="5"/>
  <c r="F430" i="5" s="1"/>
  <c r="G430" i="5" s="1"/>
  <c r="E430" i="5"/>
  <c r="D431" i="5"/>
  <c r="E431" i="5"/>
  <c r="D432" i="5"/>
  <c r="E432" i="5"/>
  <c r="D433" i="5"/>
  <c r="F433" i="5" s="1"/>
  <c r="G433" i="5" s="1"/>
  <c r="E433" i="5"/>
  <c r="D434" i="5"/>
  <c r="F434" i="5" s="1"/>
  <c r="G434" i="5" s="1"/>
  <c r="E434" i="5"/>
  <c r="D435" i="5"/>
  <c r="E435" i="5"/>
  <c r="D436" i="5"/>
  <c r="F436" i="5" s="1"/>
  <c r="E436" i="5"/>
  <c r="D437" i="5"/>
  <c r="F437" i="5" s="1"/>
  <c r="G437" i="5" s="1"/>
  <c r="E437" i="5"/>
  <c r="D438" i="5"/>
  <c r="E438" i="5"/>
  <c r="D439" i="5"/>
  <c r="F439" i="5" s="1"/>
  <c r="E439" i="5"/>
  <c r="D440" i="5"/>
  <c r="F440" i="5" s="1"/>
  <c r="G440" i="5" s="1"/>
  <c r="E440" i="5"/>
  <c r="D441" i="5"/>
  <c r="E441" i="5"/>
  <c r="D442" i="5"/>
  <c r="E442" i="5"/>
  <c r="D443" i="5"/>
  <c r="F443" i="5" s="1"/>
  <c r="G443" i="5" s="1"/>
  <c r="E443" i="5"/>
  <c r="D444" i="5"/>
  <c r="F444" i="5" s="1"/>
  <c r="G444" i="5" s="1"/>
  <c r="E444" i="5"/>
  <c r="D445" i="5"/>
  <c r="F445" i="5" s="1"/>
  <c r="E445" i="5"/>
  <c r="D446" i="5"/>
  <c r="F446" i="5" s="1"/>
  <c r="G446" i="5" s="1"/>
  <c r="E446" i="5"/>
  <c r="D447" i="5"/>
  <c r="E447" i="5"/>
  <c r="D448" i="5"/>
  <c r="E448" i="5"/>
  <c r="D449" i="5"/>
  <c r="F449" i="5" s="1"/>
  <c r="G449" i="5" s="1"/>
  <c r="E449" i="5"/>
  <c r="D450" i="5"/>
  <c r="F450" i="5" s="1"/>
  <c r="G450" i="5" s="1"/>
  <c r="E450" i="5"/>
  <c r="D451" i="5"/>
  <c r="E451" i="5"/>
  <c r="D452" i="5"/>
  <c r="F452" i="5" s="1"/>
  <c r="E452" i="5"/>
  <c r="D453" i="5"/>
  <c r="F453" i="5" s="1"/>
  <c r="G453" i="5" s="1"/>
  <c r="E453" i="5"/>
  <c r="D454" i="5"/>
  <c r="E454" i="5"/>
  <c r="D455" i="5"/>
  <c r="F455" i="5" s="1"/>
  <c r="E455" i="5"/>
  <c r="D456" i="5"/>
  <c r="F456" i="5" s="1"/>
  <c r="G456" i="5" s="1"/>
  <c r="E456" i="5"/>
  <c r="D457" i="5"/>
  <c r="E457" i="5"/>
  <c r="D458" i="5"/>
  <c r="E458" i="5"/>
  <c r="D459" i="5"/>
  <c r="F459" i="5" s="1"/>
  <c r="G459" i="5" s="1"/>
  <c r="E459" i="5"/>
  <c r="D460" i="5"/>
  <c r="F460" i="5" s="1"/>
  <c r="G460" i="5" s="1"/>
  <c r="E460" i="5"/>
  <c r="D461" i="5"/>
  <c r="F461" i="5" s="1"/>
  <c r="E461" i="5"/>
  <c r="D462" i="5"/>
  <c r="F462" i="5" s="1"/>
  <c r="G462" i="5" s="1"/>
  <c r="E462" i="5"/>
  <c r="D463" i="5"/>
  <c r="E463" i="5"/>
  <c r="D464" i="5"/>
  <c r="E464" i="5"/>
  <c r="D465" i="5"/>
  <c r="F465" i="5" s="1"/>
  <c r="G465" i="5" s="1"/>
  <c r="E465" i="5"/>
  <c r="D466" i="5"/>
  <c r="F466" i="5" s="1"/>
  <c r="G466" i="5" s="1"/>
  <c r="E466" i="5"/>
  <c r="D467" i="5"/>
  <c r="E467" i="5"/>
  <c r="D468" i="5"/>
  <c r="F468" i="5" s="1"/>
  <c r="E468" i="5"/>
  <c r="D469" i="5"/>
  <c r="F469" i="5" s="1"/>
  <c r="G469" i="5" s="1"/>
  <c r="E469" i="5"/>
  <c r="D470" i="5"/>
  <c r="E470" i="5"/>
  <c r="D471" i="5"/>
  <c r="F471" i="5" s="1"/>
  <c r="E471" i="5"/>
  <c r="D472" i="5"/>
  <c r="F472" i="5" s="1"/>
  <c r="G472" i="5" s="1"/>
  <c r="E472" i="5"/>
  <c r="D473" i="5"/>
  <c r="E473" i="5"/>
  <c r="D474" i="5"/>
  <c r="E474" i="5"/>
  <c r="D475" i="5"/>
  <c r="F475" i="5" s="1"/>
  <c r="G475" i="5" s="1"/>
  <c r="E475" i="5"/>
  <c r="D476" i="5"/>
  <c r="F476" i="5" s="1"/>
  <c r="G476" i="5" s="1"/>
  <c r="E476" i="5"/>
  <c r="D477" i="5"/>
  <c r="F477" i="5" s="1"/>
  <c r="E477" i="5"/>
  <c r="D478" i="5"/>
  <c r="F478" i="5" s="1"/>
  <c r="G478" i="5" s="1"/>
  <c r="E478" i="5"/>
  <c r="D479" i="5"/>
  <c r="E479" i="5"/>
  <c r="D480" i="5"/>
  <c r="E480" i="5"/>
  <c r="D481" i="5"/>
  <c r="F481" i="5" s="1"/>
  <c r="G481" i="5" s="1"/>
  <c r="E481" i="5"/>
  <c r="D482" i="5"/>
  <c r="F482" i="5" s="1"/>
  <c r="G482" i="5" s="1"/>
  <c r="E482" i="5"/>
  <c r="D483" i="5"/>
  <c r="E483" i="5"/>
  <c r="D484" i="5"/>
  <c r="F484" i="5" s="1"/>
  <c r="E484" i="5"/>
  <c r="D485" i="5"/>
  <c r="F485" i="5" s="1"/>
  <c r="G485" i="5" s="1"/>
  <c r="E485" i="5"/>
  <c r="D486" i="5"/>
  <c r="E486" i="5"/>
  <c r="D487" i="5"/>
  <c r="F487" i="5" s="1"/>
  <c r="E487" i="5"/>
  <c r="D488" i="5"/>
  <c r="F488" i="5" s="1"/>
  <c r="G488" i="5" s="1"/>
  <c r="E488" i="5"/>
  <c r="D489" i="5"/>
  <c r="E489" i="5"/>
  <c r="D490" i="5"/>
  <c r="F490" i="5" s="1"/>
  <c r="G490" i="5" s="1"/>
  <c r="E490" i="5"/>
  <c r="D491" i="5"/>
  <c r="E491" i="5"/>
  <c r="D492" i="5"/>
  <c r="F492" i="5" s="1"/>
  <c r="G492" i="5" s="1"/>
  <c r="E492" i="5"/>
  <c r="D493" i="5"/>
  <c r="E493" i="5"/>
  <c r="D494" i="5"/>
  <c r="F494" i="5" s="1"/>
  <c r="G494" i="5" s="1"/>
  <c r="E494" i="5"/>
  <c r="D495" i="5"/>
  <c r="E495" i="5"/>
  <c r="D496" i="5"/>
  <c r="F496" i="5" s="1"/>
  <c r="G496" i="5" s="1"/>
  <c r="E496" i="5"/>
  <c r="D497" i="5"/>
  <c r="E497" i="5"/>
  <c r="D498" i="5"/>
  <c r="F498" i="5" s="1"/>
  <c r="G498" i="5" s="1"/>
  <c r="E498" i="5"/>
  <c r="D499" i="5"/>
  <c r="F499" i="5" s="1"/>
  <c r="E499" i="5"/>
  <c r="D500" i="5"/>
  <c r="F500" i="5" s="1"/>
  <c r="G500" i="5" s="1"/>
  <c r="E500" i="5"/>
  <c r="D501" i="5"/>
  <c r="F501" i="5" s="1"/>
  <c r="E501" i="5"/>
  <c r="D502" i="5"/>
  <c r="F502" i="5" s="1"/>
  <c r="G502" i="5" s="1"/>
  <c r="E502" i="5"/>
  <c r="M1" i="1"/>
  <c r="N1" i="1"/>
  <c r="O1" i="1"/>
  <c r="G402" i="5" l="1"/>
  <c r="G445" i="5"/>
  <c r="F464" i="5"/>
  <c r="G464" i="5" s="1"/>
  <c r="G429" i="5"/>
  <c r="G436" i="5"/>
  <c r="F432" i="5"/>
  <c r="G432" i="5" s="1"/>
  <c r="H432" i="5" s="1"/>
  <c r="G52" i="5"/>
  <c r="F228" i="5"/>
  <c r="G228" i="5" s="1"/>
  <c r="G100" i="5"/>
  <c r="F486" i="5"/>
  <c r="G404" i="5"/>
  <c r="G400" i="5"/>
  <c r="G385" i="5"/>
  <c r="J385" i="5" s="1"/>
  <c r="G370" i="5"/>
  <c r="H370" i="5" s="1"/>
  <c r="G68" i="5"/>
  <c r="G477" i="5"/>
  <c r="J477" i="5" s="1"/>
  <c r="G499" i="5"/>
  <c r="F495" i="5"/>
  <c r="G495" i="5" s="1"/>
  <c r="F491" i="5"/>
  <c r="G491" i="5" s="1"/>
  <c r="J491" i="5" s="1"/>
  <c r="G487" i="5"/>
  <c r="G471" i="5"/>
  <c r="F448" i="5"/>
  <c r="G448" i="5" s="1"/>
  <c r="G413" i="5"/>
  <c r="H413" i="5" s="1"/>
  <c r="G397" i="5"/>
  <c r="I397" i="5" s="1"/>
  <c r="G386" i="5"/>
  <c r="G484" i="5"/>
  <c r="F480" i="5"/>
  <c r="G461" i="5"/>
  <c r="G420" i="5"/>
  <c r="G416" i="5"/>
  <c r="J416" i="5" s="1"/>
  <c r="F249" i="5"/>
  <c r="G249" i="5" s="1"/>
  <c r="I249" i="5" s="1"/>
  <c r="F442" i="5"/>
  <c r="G442" i="5" s="1"/>
  <c r="F438" i="5"/>
  <c r="G438" i="5" s="1"/>
  <c r="J438" i="5" s="1"/>
  <c r="G423" i="5"/>
  <c r="G378" i="5"/>
  <c r="G252" i="5"/>
  <c r="G36" i="5"/>
  <c r="F426" i="5"/>
  <c r="G426" i="5" s="1"/>
  <c r="F422" i="5"/>
  <c r="G422" i="5" s="1"/>
  <c r="G407" i="5"/>
  <c r="H407" i="5" s="1"/>
  <c r="G377" i="5"/>
  <c r="F244" i="5"/>
  <c r="F237" i="5"/>
  <c r="G237" i="5" s="1"/>
  <c r="F220" i="5"/>
  <c r="G220" i="5" s="1"/>
  <c r="F173" i="5"/>
  <c r="G501" i="5"/>
  <c r="F497" i="5"/>
  <c r="G497" i="5" s="1"/>
  <c r="F493" i="5"/>
  <c r="G493" i="5" s="1"/>
  <c r="F489" i="5"/>
  <c r="G489" i="5" s="1"/>
  <c r="F474" i="5"/>
  <c r="G474" i="5" s="1"/>
  <c r="F470" i="5"/>
  <c r="G470" i="5" s="1"/>
  <c r="G455" i="5"/>
  <c r="H455" i="5" s="1"/>
  <c r="F410" i="5"/>
  <c r="G410" i="5" s="1"/>
  <c r="F406" i="5"/>
  <c r="G406" i="5" s="1"/>
  <c r="G391" i="5"/>
  <c r="J391" i="5" s="1"/>
  <c r="F260" i="5"/>
  <c r="G260" i="5" s="1"/>
  <c r="F179" i="5"/>
  <c r="G148" i="5"/>
  <c r="G84" i="5"/>
  <c r="F458" i="5"/>
  <c r="G458" i="5" s="1"/>
  <c r="F454" i="5"/>
  <c r="G454" i="5" s="1"/>
  <c r="I454" i="5" s="1"/>
  <c r="G439" i="5"/>
  <c r="J439" i="5" s="1"/>
  <c r="F394" i="5"/>
  <c r="G394" i="5" s="1"/>
  <c r="I394" i="5" s="1"/>
  <c r="F390" i="5"/>
  <c r="G390" i="5" s="1"/>
  <c r="F175" i="5"/>
  <c r="G468" i="5"/>
  <c r="G452" i="5"/>
  <c r="G418" i="5"/>
  <c r="H418" i="5" s="1"/>
  <c r="F483" i="5"/>
  <c r="G483" i="5" s="1"/>
  <c r="G480" i="5"/>
  <c r="H480" i="5" s="1"/>
  <c r="F467" i="5"/>
  <c r="G467" i="5" s="1"/>
  <c r="J467" i="5" s="1"/>
  <c r="F451" i="5"/>
  <c r="G451" i="5" s="1"/>
  <c r="F435" i="5"/>
  <c r="G435" i="5" s="1"/>
  <c r="F419" i="5"/>
  <c r="G419" i="5" s="1"/>
  <c r="J419" i="5" s="1"/>
  <c r="F403" i="5"/>
  <c r="G403" i="5" s="1"/>
  <c r="F384" i="5"/>
  <c r="G384" i="5" s="1"/>
  <c r="I384" i="5" s="1"/>
  <c r="F376" i="5"/>
  <c r="G376" i="5" s="1"/>
  <c r="G367" i="5"/>
  <c r="H367" i="5" s="1"/>
  <c r="G348" i="5"/>
  <c r="I348" i="5" s="1"/>
  <c r="G332" i="5"/>
  <c r="H332" i="5" s="1"/>
  <c r="G316" i="5"/>
  <c r="J316" i="5" s="1"/>
  <c r="G300" i="5"/>
  <c r="I300" i="5" s="1"/>
  <c r="G486" i="5"/>
  <c r="F473" i="5"/>
  <c r="G473" i="5" s="1"/>
  <c r="F457" i="5"/>
  <c r="G457" i="5" s="1"/>
  <c r="F441" i="5"/>
  <c r="G441" i="5" s="1"/>
  <c r="F425" i="5"/>
  <c r="G425" i="5" s="1"/>
  <c r="H425" i="5" s="1"/>
  <c r="F409" i="5"/>
  <c r="G409" i="5" s="1"/>
  <c r="F393" i="5"/>
  <c r="G393" i="5" s="1"/>
  <c r="F383" i="5"/>
  <c r="G383" i="5" s="1"/>
  <c r="F375" i="5"/>
  <c r="G375" i="5" s="1"/>
  <c r="G369" i="5"/>
  <c r="F360" i="5"/>
  <c r="G360" i="5" s="1"/>
  <c r="F344" i="5"/>
  <c r="G344" i="5" s="1"/>
  <c r="F328" i="5"/>
  <c r="G328" i="5" s="1"/>
  <c r="I328" i="5" s="1"/>
  <c r="F312" i="5"/>
  <c r="G312" i="5" s="1"/>
  <c r="F296" i="5"/>
  <c r="G296" i="5" s="1"/>
  <c r="G356" i="5"/>
  <c r="G340" i="5"/>
  <c r="J340" i="5" s="1"/>
  <c r="G324" i="5"/>
  <c r="G308" i="5"/>
  <c r="H308" i="5" s="1"/>
  <c r="G292" i="5"/>
  <c r="F223" i="5"/>
  <c r="G223" i="5" s="1"/>
  <c r="J223" i="5" s="1"/>
  <c r="F479" i="5"/>
  <c r="G479" i="5" s="1"/>
  <c r="F463" i="5"/>
  <c r="G463" i="5" s="1"/>
  <c r="I463" i="5" s="1"/>
  <c r="F447" i="5"/>
  <c r="G447" i="5" s="1"/>
  <c r="F431" i="5"/>
  <c r="G431" i="5" s="1"/>
  <c r="F415" i="5"/>
  <c r="G415" i="5" s="1"/>
  <c r="F399" i="5"/>
  <c r="G399" i="5" s="1"/>
  <c r="F382" i="5"/>
  <c r="G382" i="5" s="1"/>
  <c r="H382" i="5" s="1"/>
  <c r="F374" i="5"/>
  <c r="G374" i="5" s="1"/>
  <c r="F365" i="5"/>
  <c r="G365" i="5" s="1"/>
  <c r="G352" i="5"/>
  <c r="G336" i="5"/>
  <c r="I336" i="5" s="1"/>
  <c r="G320" i="5"/>
  <c r="J320" i="5" s="1"/>
  <c r="G304" i="5"/>
  <c r="G288" i="5"/>
  <c r="J288" i="5" s="1"/>
  <c r="F253" i="5"/>
  <c r="G253" i="5" s="1"/>
  <c r="G362" i="5"/>
  <c r="H362" i="5" s="1"/>
  <c r="F357" i="5"/>
  <c r="G357" i="5" s="1"/>
  <c r="G354" i="5"/>
  <c r="F349" i="5"/>
  <c r="G349" i="5" s="1"/>
  <c r="G346" i="5"/>
  <c r="H346" i="5" s="1"/>
  <c r="F341" i="5"/>
  <c r="G341" i="5" s="1"/>
  <c r="G338" i="5"/>
  <c r="J338" i="5" s="1"/>
  <c r="F333" i="5"/>
  <c r="G333" i="5" s="1"/>
  <c r="G330" i="5"/>
  <c r="F325" i="5"/>
  <c r="G325" i="5" s="1"/>
  <c r="G322" i="5"/>
  <c r="F317" i="5"/>
  <c r="G317" i="5" s="1"/>
  <c r="J317" i="5" s="1"/>
  <c r="G314" i="5"/>
  <c r="I314" i="5" s="1"/>
  <c r="F309" i="5"/>
  <c r="G309" i="5" s="1"/>
  <c r="G306" i="5"/>
  <c r="J306" i="5" s="1"/>
  <c r="G298" i="5"/>
  <c r="G290" i="5"/>
  <c r="H290" i="5" s="1"/>
  <c r="G282" i="5"/>
  <c r="G274" i="5"/>
  <c r="G266" i="5"/>
  <c r="H266" i="5" s="1"/>
  <c r="G258" i="5"/>
  <c r="F250" i="5"/>
  <c r="G250" i="5" s="1"/>
  <c r="F247" i="5"/>
  <c r="G247" i="5" s="1"/>
  <c r="G244" i="5"/>
  <c r="F219" i="5"/>
  <c r="G219" i="5" s="1"/>
  <c r="I219" i="5" s="1"/>
  <c r="G213" i="5"/>
  <c r="G210" i="5"/>
  <c r="G204" i="5"/>
  <c r="J204" i="5" s="1"/>
  <c r="G191" i="5"/>
  <c r="G236" i="5"/>
  <c r="J236" i="5" s="1"/>
  <c r="G233" i="5"/>
  <c r="G207" i="5"/>
  <c r="J207" i="5" s="1"/>
  <c r="F187" i="5"/>
  <c r="G187" i="5" s="1"/>
  <c r="G284" i="5"/>
  <c r="G276" i="5"/>
  <c r="G268" i="5"/>
  <c r="H268" i="5" s="1"/>
  <c r="F203" i="5"/>
  <c r="G203" i="5" s="1"/>
  <c r="F227" i="5"/>
  <c r="G227" i="5" s="1"/>
  <c r="G218" i="5"/>
  <c r="I218" i="5" s="1"/>
  <c r="G212" i="5"/>
  <c r="J212" i="5" s="1"/>
  <c r="F361" i="5"/>
  <c r="G361" i="5" s="1"/>
  <c r="J361" i="5" s="1"/>
  <c r="G358" i="5"/>
  <c r="F353" i="5"/>
  <c r="G353" i="5" s="1"/>
  <c r="G350" i="5"/>
  <c r="H350" i="5" s="1"/>
  <c r="F345" i="5"/>
  <c r="G345" i="5" s="1"/>
  <c r="G342" i="5"/>
  <c r="J342" i="5" s="1"/>
  <c r="F337" i="5"/>
  <c r="G337" i="5" s="1"/>
  <c r="G334" i="5"/>
  <c r="I334" i="5" s="1"/>
  <c r="F329" i="5"/>
  <c r="G329" i="5" s="1"/>
  <c r="G326" i="5"/>
  <c r="F321" i="5"/>
  <c r="G321" i="5" s="1"/>
  <c r="G318" i="5"/>
  <c r="F313" i="5"/>
  <c r="G313" i="5" s="1"/>
  <c r="G310" i="5"/>
  <c r="G302" i="5"/>
  <c r="H302" i="5" s="1"/>
  <c r="G294" i="5"/>
  <c r="G286" i="5"/>
  <c r="H286" i="5" s="1"/>
  <c r="G278" i="5"/>
  <c r="G270" i="5"/>
  <c r="J270" i="5" s="1"/>
  <c r="G262" i="5"/>
  <c r="J262" i="5" s="1"/>
  <c r="F243" i="5"/>
  <c r="G243" i="5" s="1"/>
  <c r="F238" i="5"/>
  <c r="G238" i="5" s="1"/>
  <c r="J238" i="5" s="1"/>
  <c r="G235" i="5"/>
  <c r="F221" i="5"/>
  <c r="G221" i="5" s="1"/>
  <c r="G215" i="5"/>
  <c r="G196" i="5"/>
  <c r="F183" i="5"/>
  <c r="G183" i="5" s="1"/>
  <c r="J183" i="5" s="1"/>
  <c r="G251" i="5"/>
  <c r="G240" i="5"/>
  <c r="H240" i="5" s="1"/>
  <c r="F211" i="5"/>
  <c r="G211" i="5" s="1"/>
  <c r="G205" i="5"/>
  <c r="H205" i="5" s="1"/>
  <c r="G199" i="5"/>
  <c r="H199" i="5" s="1"/>
  <c r="G280" i="5"/>
  <c r="I280" i="5" s="1"/>
  <c r="G272" i="5"/>
  <c r="G264" i="5"/>
  <c r="G256" i="5"/>
  <c r="F234" i="5"/>
  <c r="G234" i="5" s="1"/>
  <c r="G231" i="5"/>
  <c r="H231" i="5" s="1"/>
  <c r="G226" i="5"/>
  <c r="F195" i="5"/>
  <c r="G195" i="5" s="1"/>
  <c r="G255" i="5"/>
  <c r="G239" i="5"/>
  <c r="G225" i="5"/>
  <c r="G217" i="5"/>
  <c r="I217" i="5" s="1"/>
  <c r="G209" i="5"/>
  <c r="G201" i="5"/>
  <c r="G193" i="5"/>
  <c r="G185" i="5"/>
  <c r="I185" i="5" s="1"/>
  <c r="G177" i="5"/>
  <c r="J177" i="5" s="1"/>
  <c r="F164" i="5"/>
  <c r="G164" i="5" s="1"/>
  <c r="G116" i="5"/>
  <c r="G241" i="5"/>
  <c r="I241" i="5" s="1"/>
  <c r="G222" i="5"/>
  <c r="G214" i="5"/>
  <c r="G206" i="5"/>
  <c r="J206" i="5" s="1"/>
  <c r="G198" i="5"/>
  <c r="I198" i="5" s="1"/>
  <c r="G167" i="5"/>
  <c r="H167" i="5" s="1"/>
  <c r="G179" i="5"/>
  <c r="G245" i="5"/>
  <c r="H245" i="5" s="1"/>
  <c r="G229" i="5"/>
  <c r="G224" i="5"/>
  <c r="G216" i="5"/>
  <c r="G208" i="5"/>
  <c r="G200" i="5"/>
  <c r="H200" i="5" s="1"/>
  <c r="G197" i="5"/>
  <c r="I197" i="5" s="1"/>
  <c r="G189" i="5"/>
  <c r="G181" i="5"/>
  <c r="G173" i="5"/>
  <c r="G202" i="5"/>
  <c r="G194" i="5"/>
  <c r="G132" i="5"/>
  <c r="I132" i="5" s="1"/>
  <c r="G175" i="5"/>
  <c r="F172" i="5"/>
  <c r="G172" i="5" s="1"/>
  <c r="J172" i="5" s="1"/>
  <c r="G165" i="5"/>
  <c r="F159" i="5"/>
  <c r="G159" i="5" s="1"/>
  <c r="I159" i="5" s="1"/>
  <c r="F156" i="5"/>
  <c r="G156" i="5" s="1"/>
  <c r="G149" i="5"/>
  <c r="F143" i="5"/>
  <c r="G143" i="5" s="1"/>
  <c r="F140" i="5"/>
  <c r="G140" i="5" s="1"/>
  <c r="G133" i="5"/>
  <c r="F127" i="5"/>
  <c r="G127" i="5" s="1"/>
  <c r="F124" i="5"/>
  <c r="G124" i="5" s="1"/>
  <c r="G117" i="5"/>
  <c r="I117" i="5" s="1"/>
  <c r="F111" i="5"/>
  <c r="G111" i="5" s="1"/>
  <c r="F108" i="5"/>
  <c r="G108" i="5" s="1"/>
  <c r="G101" i="5"/>
  <c r="F95" i="5"/>
  <c r="G95" i="5" s="1"/>
  <c r="F92" i="5"/>
  <c r="G92" i="5" s="1"/>
  <c r="J92" i="5" s="1"/>
  <c r="G85" i="5"/>
  <c r="J85" i="5" s="1"/>
  <c r="F79" i="5"/>
  <c r="G79" i="5" s="1"/>
  <c r="F76" i="5"/>
  <c r="G76" i="5" s="1"/>
  <c r="G69" i="5"/>
  <c r="H69" i="5" s="1"/>
  <c r="F63" i="5"/>
  <c r="G63" i="5" s="1"/>
  <c r="F60" i="5"/>
  <c r="G60" i="5" s="1"/>
  <c r="G53" i="5"/>
  <c r="I53" i="5" s="1"/>
  <c r="F47" i="5"/>
  <c r="G47" i="5" s="1"/>
  <c r="F44" i="5"/>
  <c r="G44" i="5" s="1"/>
  <c r="G37" i="5"/>
  <c r="H37" i="5" s="1"/>
  <c r="F31" i="5"/>
  <c r="G31" i="5" s="1"/>
  <c r="F15" i="5"/>
  <c r="G15" i="5" s="1"/>
  <c r="F171" i="5"/>
  <c r="G171" i="5" s="1"/>
  <c r="F168" i="5"/>
  <c r="G168" i="5" s="1"/>
  <c r="G161" i="5"/>
  <c r="H161" i="5" s="1"/>
  <c r="F155" i="5"/>
  <c r="G155" i="5" s="1"/>
  <c r="F152" i="5"/>
  <c r="G152" i="5" s="1"/>
  <c r="J152" i="5" s="1"/>
  <c r="G145" i="5"/>
  <c r="F139" i="5"/>
  <c r="G139" i="5" s="1"/>
  <c r="F136" i="5"/>
  <c r="G136" i="5" s="1"/>
  <c r="H136" i="5" s="1"/>
  <c r="G129" i="5"/>
  <c r="I129" i="5" s="1"/>
  <c r="F123" i="5"/>
  <c r="G123" i="5" s="1"/>
  <c r="F120" i="5"/>
  <c r="G120" i="5" s="1"/>
  <c r="G113" i="5"/>
  <c r="I113" i="5" s="1"/>
  <c r="F107" i="5"/>
  <c r="G107" i="5" s="1"/>
  <c r="J107" i="5" s="1"/>
  <c r="F104" i="5"/>
  <c r="G104" i="5" s="1"/>
  <c r="H104" i="5" s="1"/>
  <c r="G97" i="5"/>
  <c r="J97" i="5" s="1"/>
  <c r="F91" i="5"/>
  <c r="G91" i="5" s="1"/>
  <c r="J91" i="5" s="1"/>
  <c r="F88" i="5"/>
  <c r="G88" i="5" s="1"/>
  <c r="G81" i="5"/>
  <c r="F75" i="5"/>
  <c r="G75" i="5" s="1"/>
  <c r="F72" i="5"/>
  <c r="G72" i="5" s="1"/>
  <c r="G65" i="5"/>
  <c r="F59" i="5"/>
  <c r="G59" i="5" s="1"/>
  <c r="J59" i="5" s="1"/>
  <c r="F56" i="5"/>
  <c r="G56" i="5" s="1"/>
  <c r="G49" i="5"/>
  <c r="J49" i="5" s="1"/>
  <c r="F43" i="5"/>
  <c r="G43" i="5" s="1"/>
  <c r="F40" i="5"/>
  <c r="G40" i="5" s="1"/>
  <c r="G151" i="5"/>
  <c r="H151" i="5" s="1"/>
  <c r="G135" i="5"/>
  <c r="J135" i="5" s="1"/>
  <c r="G119" i="5"/>
  <c r="H119" i="5" s="1"/>
  <c r="G103" i="5"/>
  <c r="G87" i="5"/>
  <c r="G71" i="5"/>
  <c r="I71" i="5" s="1"/>
  <c r="G55" i="5"/>
  <c r="F46" i="5"/>
  <c r="G46" i="5" s="1"/>
  <c r="I46" i="5" s="1"/>
  <c r="G39" i="5"/>
  <c r="I39" i="5" s="1"/>
  <c r="F33" i="5"/>
  <c r="G33" i="5" s="1"/>
  <c r="F30" i="5"/>
  <c r="G30" i="5" s="1"/>
  <c r="H30" i="5" s="1"/>
  <c r="F170" i="5"/>
  <c r="G170" i="5" s="1"/>
  <c r="F157" i="5"/>
  <c r="G157" i="5" s="1"/>
  <c r="F154" i="5"/>
  <c r="G154" i="5" s="1"/>
  <c r="F141" i="5"/>
  <c r="G141" i="5" s="1"/>
  <c r="J141" i="5" s="1"/>
  <c r="F138" i="5"/>
  <c r="G138" i="5" s="1"/>
  <c r="F125" i="5"/>
  <c r="G125" i="5" s="1"/>
  <c r="F122" i="5"/>
  <c r="G122" i="5" s="1"/>
  <c r="F109" i="5"/>
  <c r="G109" i="5" s="1"/>
  <c r="F106" i="5"/>
  <c r="G106" i="5" s="1"/>
  <c r="F93" i="5"/>
  <c r="G93" i="5" s="1"/>
  <c r="F90" i="5"/>
  <c r="G90" i="5" s="1"/>
  <c r="F77" i="5"/>
  <c r="G77" i="5" s="1"/>
  <c r="F74" i="5"/>
  <c r="G74" i="5" s="1"/>
  <c r="F61" i="5"/>
  <c r="G61" i="5" s="1"/>
  <c r="F58" i="5"/>
  <c r="G58" i="5" s="1"/>
  <c r="F45" i="5"/>
  <c r="G45" i="5" s="1"/>
  <c r="F42" i="5"/>
  <c r="G42" i="5" s="1"/>
  <c r="G169" i="5"/>
  <c r="F163" i="5"/>
  <c r="G163" i="5" s="1"/>
  <c r="F160" i="5"/>
  <c r="G160" i="5" s="1"/>
  <c r="G153" i="5"/>
  <c r="J153" i="5" s="1"/>
  <c r="F147" i="5"/>
  <c r="G147" i="5" s="1"/>
  <c r="F144" i="5"/>
  <c r="G144" i="5" s="1"/>
  <c r="G137" i="5"/>
  <c r="H137" i="5" s="1"/>
  <c r="F131" i="5"/>
  <c r="G131" i="5" s="1"/>
  <c r="F128" i="5"/>
  <c r="G128" i="5" s="1"/>
  <c r="H128" i="5" s="1"/>
  <c r="G121" i="5"/>
  <c r="J121" i="5" s="1"/>
  <c r="F115" i="5"/>
  <c r="G115" i="5" s="1"/>
  <c r="F112" i="5"/>
  <c r="G112" i="5" s="1"/>
  <c r="I112" i="5" s="1"/>
  <c r="G105" i="5"/>
  <c r="I105" i="5" s="1"/>
  <c r="F99" i="5"/>
  <c r="G99" i="5" s="1"/>
  <c r="F96" i="5"/>
  <c r="G96" i="5" s="1"/>
  <c r="H96" i="5" s="1"/>
  <c r="G89" i="5"/>
  <c r="I89" i="5" s="1"/>
  <c r="F83" i="5"/>
  <c r="G83" i="5" s="1"/>
  <c r="F80" i="5"/>
  <c r="G80" i="5" s="1"/>
  <c r="I80" i="5" s="1"/>
  <c r="G73" i="5"/>
  <c r="F67" i="5"/>
  <c r="G67" i="5" s="1"/>
  <c r="F64" i="5"/>
  <c r="G64" i="5" s="1"/>
  <c r="I64" i="5" s="1"/>
  <c r="G57" i="5"/>
  <c r="H57" i="5" s="1"/>
  <c r="F51" i="5"/>
  <c r="G51" i="5" s="1"/>
  <c r="F48" i="5"/>
  <c r="G48" i="5" s="1"/>
  <c r="J48" i="5" s="1"/>
  <c r="G41" i="5"/>
  <c r="I41" i="5" s="1"/>
  <c r="F35" i="5"/>
  <c r="G35" i="5" s="1"/>
  <c r="F32" i="5"/>
  <c r="G32" i="5" s="1"/>
  <c r="F16" i="5"/>
  <c r="G16" i="5" s="1"/>
  <c r="O1" i="5"/>
  <c r="P1" i="5"/>
  <c r="Q1" i="5"/>
  <c r="S1" i="1" s="1"/>
  <c r="R1" i="5"/>
  <c r="T1" i="1" s="1"/>
  <c r="S1" i="5"/>
  <c r="U1" i="1" s="1"/>
  <c r="T1" i="5"/>
  <c r="V1" i="1" s="1"/>
  <c r="U1" i="5"/>
  <c r="W1" i="1" s="1"/>
  <c r="V1" i="5"/>
  <c r="W1" i="5"/>
  <c r="Y1" i="1" s="1"/>
  <c r="X1" i="5"/>
  <c r="Z1" i="1" s="1"/>
  <c r="Y1" i="5"/>
  <c r="AA1" i="1" s="1"/>
  <c r="Z1" i="5"/>
  <c r="AB1" i="1" s="1"/>
  <c r="AA1" i="5"/>
  <c r="AC1" i="1" s="1"/>
  <c r="AB1" i="5"/>
  <c r="AD1" i="1" s="1"/>
  <c r="AC1" i="5"/>
  <c r="AE1" i="1" s="1"/>
  <c r="AD1" i="5"/>
  <c r="AF1" i="1" s="1"/>
  <c r="AE1" i="5"/>
  <c r="AF1" i="5"/>
  <c r="AG1" i="5"/>
  <c r="AI1" i="1" s="1"/>
  <c r="AH1" i="5"/>
  <c r="AJ1" i="1" s="1"/>
  <c r="AI1" i="5"/>
  <c r="AK1" i="1" s="1"/>
  <c r="AJ1" i="5"/>
  <c r="AL1" i="1" s="1"/>
  <c r="AK1" i="5"/>
  <c r="AM1" i="1" s="1"/>
  <c r="AL1" i="5"/>
  <c r="AM1" i="5"/>
  <c r="AN1" i="5"/>
  <c r="AO1" i="5"/>
  <c r="AQ1" i="1" s="1"/>
  <c r="AP1" i="5"/>
  <c r="AR1" i="1" s="1"/>
  <c r="AQ1" i="5"/>
  <c r="AR1" i="5"/>
  <c r="AS1" i="5"/>
  <c r="AU1" i="1" s="1"/>
  <c r="AT1" i="5"/>
  <c r="AU1" i="5"/>
  <c r="AV1" i="5"/>
  <c r="AW1" i="5"/>
  <c r="AX1" i="5"/>
  <c r="AZ1" i="1" s="1"/>
  <c r="AY1" i="5"/>
  <c r="O2" i="5"/>
  <c r="P2" i="5"/>
  <c r="Q2" i="5"/>
  <c r="R2" i="5"/>
  <c r="S2" i="5"/>
  <c r="M2" i="5" s="1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O3" i="5"/>
  <c r="K3" i="5" s="1"/>
  <c r="L3" i="5" s="1"/>
  <c r="P3" i="5"/>
  <c r="Q3" i="5"/>
  <c r="R3" i="5"/>
  <c r="S3" i="5"/>
  <c r="M3" i="5" s="1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O4" i="5"/>
  <c r="K4" i="5" s="1"/>
  <c r="L4" i="5" s="1"/>
  <c r="P4" i="5"/>
  <c r="Q4" i="5"/>
  <c r="R4" i="5"/>
  <c r="S4" i="5"/>
  <c r="M4" i="5" s="1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O5" i="5"/>
  <c r="P5" i="5"/>
  <c r="Q5" i="5"/>
  <c r="R5" i="5"/>
  <c r="S5" i="5"/>
  <c r="M5" i="5" s="1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P1" i="1"/>
  <c r="BB1" i="1"/>
  <c r="BC1" i="1"/>
  <c r="BD1" i="1"/>
  <c r="BE1" i="1"/>
  <c r="BF1" i="1"/>
  <c r="BG1" i="1"/>
  <c r="BH1" i="1"/>
  <c r="BI1" i="1"/>
  <c r="BJ1" i="1"/>
  <c r="BK1" i="1"/>
  <c r="BL1" i="1"/>
  <c r="BM1" i="1"/>
  <c r="BN1" i="1"/>
  <c r="BO1" i="1"/>
  <c r="BP1" i="1"/>
  <c r="BQ1" i="1"/>
  <c r="BR1" i="1"/>
  <c r="A23" i="1"/>
  <c r="A24" i="1"/>
  <c r="A25" i="1"/>
  <c r="A26" i="1"/>
  <c r="A27" i="1"/>
  <c r="A28" i="1"/>
  <c r="A29" i="1"/>
  <c r="A30" i="1"/>
  <c r="A31" i="1"/>
  <c r="A32" i="1"/>
  <c r="A33" i="1"/>
  <c r="O6" i="5"/>
  <c r="B6" i="5" s="1"/>
  <c r="D6" i="5" s="1"/>
  <c r="P6" i="5"/>
  <c r="Q6" i="5"/>
  <c r="R6" i="5"/>
  <c r="S6" i="5"/>
  <c r="M6" i="5" s="1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O7" i="5"/>
  <c r="K7" i="5" s="1"/>
  <c r="L7" i="5" s="1"/>
  <c r="P7" i="5"/>
  <c r="Q7" i="5"/>
  <c r="R7" i="5"/>
  <c r="S7" i="5"/>
  <c r="M7" i="5" s="1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O8" i="5"/>
  <c r="K8" i="5"/>
  <c r="L8" i="5" s="1"/>
  <c r="P8" i="5"/>
  <c r="Q8" i="5"/>
  <c r="R8" i="5"/>
  <c r="S8" i="5"/>
  <c r="M8" i="5" s="1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O9" i="5"/>
  <c r="C9" i="5" s="1"/>
  <c r="E9" i="5" s="1"/>
  <c r="P9" i="5"/>
  <c r="Q9" i="5"/>
  <c r="R9" i="5"/>
  <c r="S9" i="5"/>
  <c r="M9" i="5" s="1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AX9" i="5"/>
  <c r="AY9" i="5"/>
  <c r="O10" i="5"/>
  <c r="K10" i="5" s="1"/>
  <c r="L10" i="5" s="1"/>
  <c r="P10" i="5"/>
  <c r="Q10" i="5"/>
  <c r="R10" i="5"/>
  <c r="S10" i="5"/>
  <c r="M10" i="5" s="1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O11" i="5"/>
  <c r="K11" i="5" s="1"/>
  <c r="L11" i="5" s="1"/>
  <c r="P11" i="5"/>
  <c r="Q11" i="5"/>
  <c r="R11" i="5"/>
  <c r="S11" i="5"/>
  <c r="M11" i="5" s="1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O12" i="5"/>
  <c r="P12" i="5"/>
  <c r="Q12" i="5"/>
  <c r="C12" i="5" s="1"/>
  <c r="E12" i="5" s="1"/>
  <c r="R12" i="5"/>
  <c r="S12" i="5"/>
  <c r="M12" i="5" s="1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O13" i="5"/>
  <c r="C13" i="5" s="1"/>
  <c r="E13" i="5" s="1"/>
  <c r="P13" i="5"/>
  <c r="Q13" i="5"/>
  <c r="R13" i="5"/>
  <c r="S13" i="5"/>
  <c r="M13" i="5" s="1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O14" i="5"/>
  <c r="B14" i="5" s="1"/>
  <c r="D14" i="5" s="1"/>
  <c r="P14" i="5"/>
  <c r="Q14" i="5"/>
  <c r="R14" i="5"/>
  <c r="S14" i="5"/>
  <c r="M14" i="5" s="1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O15" i="5"/>
  <c r="B15" i="5" s="1"/>
  <c r="D15" i="5" s="1"/>
  <c r="P15" i="5"/>
  <c r="Q15" i="5"/>
  <c r="C15" i="5" s="1"/>
  <c r="E15" i="5" s="1"/>
  <c r="R15" i="5"/>
  <c r="S15" i="5"/>
  <c r="M15" i="5" s="1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O16" i="5"/>
  <c r="P16" i="5"/>
  <c r="Q16" i="5"/>
  <c r="R16" i="5"/>
  <c r="S16" i="5"/>
  <c r="M16" i="5" s="1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O17" i="5"/>
  <c r="K17" i="5" s="1"/>
  <c r="L17" i="5" s="1"/>
  <c r="P17" i="5"/>
  <c r="Q17" i="5"/>
  <c r="R17" i="5"/>
  <c r="S17" i="5"/>
  <c r="M17" i="5" s="1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O18" i="5"/>
  <c r="P18" i="5"/>
  <c r="Q18" i="5"/>
  <c r="R18" i="5"/>
  <c r="S18" i="5"/>
  <c r="M18" i="5" s="1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O19" i="5"/>
  <c r="P19" i="5"/>
  <c r="Q19" i="5"/>
  <c r="C19" i="5" s="1"/>
  <c r="E19" i="5" s="1"/>
  <c r="R19" i="5"/>
  <c r="S19" i="5"/>
  <c r="M19" i="5" s="1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O20" i="5"/>
  <c r="K20" i="5" s="1"/>
  <c r="L20" i="5" s="1"/>
  <c r="P20" i="5"/>
  <c r="Q20" i="5"/>
  <c r="R20" i="5"/>
  <c r="S20" i="5"/>
  <c r="M20" i="5" s="1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O21" i="5"/>
  <c r="B21" i="5" s="1"/>
  <c r="D21" i="5" s="1"/>
  <c r="P21" i="5"/>
  <c r="Q21" i="5"/>
  <c r="R21" i="5"/>
  <c r="S21" i="5"/>
  <c r="M21" i="5" s="1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O22" i="5"/>
  <c r="P22" i="5"/>
  <c r="Q22" i="5"/>
  <c r="R22" i="5"/>
  <c r="S22" i="5"/>
  <c r="M22" i="5" s="1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O23" i="5"/>
  <c r="K23" i="5" s="1"/>
  <c r="L23" i="5" s="1"/>
  <c r="P23" i="5"/>
  <c r="Q23" i="5"/>
  <c r="C23" i="5" s="1"/>
  <c r="E23" i="5" s="1"/>
  <c r="G23" i="5" s="1"/>
  <c r="R23" i="5"/>
  <c r="S23" i="5"/>
  <c r="M23" i="5" s="1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O24" i="5"/>
  <c r="P24" i="5"/>
  <c r="Q24" i="5"/>
  <c r="R24" i="5"/>
  <c r="S24" i="5"/>
  <c r="M24" i="5" s="1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O25" i="5"/>
  <c r="K25" i="5" s="1"/>
  <c r="L25" i="5" s="1"/>
  <c r="P25" i="5"/>
  <c r="Q25" i="5"/>
  <c r="R25" i="5"/>
  <c r="S25" i="5"/>
  <c r="M25" i="5" s="1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O26" i="5"/>
  <c r="B26" i="5" s="1"/>
  <c r="D26" i="5" s="1"/>
  <c r="P26" i="5"/>
  <c r="Q26" i="5"/>
  <c r="R26" i="5"/>
  <c r="S26" i="5"/>
  <c r="M26" i="5" s="1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O27" i="5"/>
  <c r="P27" i="5"/>
  <c r="Q27" i="5"/>
  <c r="C27" i="5" s="1"/>
  <c r="E27" i="5" s="1"/>
  <c r="R27" i="5"/>
  <c r="S27" i="5"/>
  <c r="M27" i="5" s="1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O28" i="5"/>
  <c r="K28" i="5" s="1"/>
  <c r="L28" i="5" s="1"/>
  <c r="P28" i="5"/>
  <c r="Q28" i="5"/>
  <c r="R28" i="5"/>
  <c r="S28" i="5"/>
  <c r="M28" i="5" s="1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O29" i="5"/>
  <c r="K29" i="5" s="1"/>
  <c r="L29" i="5" s="1"/>
  <c r="P29" i="5"/>
  <c r="Q29" i="5"/>
  <c r="R29" i="5"/>
  <c r="S29" i="5"/>
  <c r="M29" i="5" s="1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O32" i="5"/>
  <c r="K32" i="5" s="1"/>
  <c r="L32" i="5" s="1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AU35" i="5"/>
  <c r="AV35" i="5"/>
  <c r="AW35" i="5"/>
  <c r="AX35" i="5"/>
  <c r="AY35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AU37" i="5"/>
  <c r="AV37" i="5"/>
  <c r="AW37" i="5"/>
  <c r="AX37" i="5"/>
  <c r="AY37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AW40" i="5"/>
  <c r="AX40" i="5"/>
  <c r="AY40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O43" i="5"/>
  <c r="K43" i="5" s="1"/>
  <c r="L43" i="5" s="1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AT43" i="5"/>
  <c r="AU43" i="5"/>
  <c r="AV43" i="5"/>
  <c r="AW43" i="5"/>
  <c r="AX43" i="5"/>
  <c r="AY43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O45" i="5"/>
  <c r="P45" i="5"/>
  <c r="Q45" i="5"/>
  <c r="C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U45" i="5"/>
  <c r="AV45" i="5"/>
  <c r="AW45" i="5"/>
  <c r="AX45" i="5"/>
  <c r="AY45" i="5"/>
  <c r="O46" i="5"/>
  <c r="K46" i="5"/>
  <c r="L46" i="5" s="1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AX46" i="5"/>
  <c r="AY46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AT47" i="5"/>
  <c r="AU47" i="5"/>
  <c r="AV47" i="5"/>
  <c r="AW47" i="5"/>
  <c r="AX47" i="5"/>
  <c r="AY47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O49" i="5"/>
  <c r="K49" i="5"/>
  <c r="L49" i="5" s="1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O50" i="5"/>
  <c r="P50" i="5"/>
  <c r="Q50" i="5"/>
  <c r="C50" i="5" s="1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AU50" i="5"/>
  <c r="AV50" i="5"/>
  <c r="AW50" i="5"/>
  <c r="AX50" i="5"/>
  <c r="AY50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R54" i="5"/>
  <c r="AS54" i="5"/>
  <c r="AT54" i="5"/>
  <c r="AU54" i="5"/>
  <c r="AV54" i="5"/>
  <c r="AW54" i="5"/>
  <c r="AX54" i="5"/>
  <c r="AY54" i="5"/>
  <c r="O55" i="5"/>
  <c r="K55" i="5"/>
  <c r="L55" i="5" s="1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O58" i="5"/>
  <c r="B58" i="5"/>
  <c r="P58" i="5"/>
  <c r="Q58" i="5"/>
  <c r="R58" i="5"/>
  <c r="S58" i="5"/>
  <c r="T58" i="5"/>
  <c r="U58" i="5"/>
  <c r="V58" i="5"/>
  <c r="W58" i="5"/>
  <c r="X58" i="5"/>
  <c r="Y58" i="5"/>
  <c r="Z58" i="5"/>
  <c r="AA58" i="5"/>
  <c r="AB58" i="5"/>
  <c r="AC58" i="5"/>
  <c r="AD58" i="5"/>
  <c r="AE58" i="5"/>
  <c r="AF58" i="5"/>
  <c r="AG58" i="5"/>
  <c r="AH58" i="5"/>
  <c r="AI58" i="5"/>
  <c r="AJ58" i="5"/>
  <c r="AK58" i="5"/>
  <c r="AL58" i="5"/>
  <c r="AM58" i="5"/>
  <c r="AN58" i="5"/>
  <c r="AO58" i="5"/>
  <c r="AP58" i="5"/>
  <c r="AQ58" i="5"/>
  <c r="AR58" i="5"/>
  <c r="AS58" i="5"/>
  <c r="AT58" i="5"/>
  <c r="AU58" i="5"/>
  <c r="AV58" i="5"/>
  <c r="AW58" i="5"/>
  <c r="AX58" i="5"/>
  <c r="AY58" i="5"/>
  <c r="O59" i="5"/>
  <c r="P59" i="5"/>
  <c r="Q59" i="5"/>
  <c r="C59" i="5" s="1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AT59" i="5"/>
  <c r="AU59" i="5"/>
  <c r="AV59" i="5"/>
  <c r="AW59" i="5"/>
  <c r="AX59" i="5"/>
  <c r="AY59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R60" i="5"/>
  <c r="AS60" i="5"/>
  <c r="AT60" i="5"/>
  <c r="AU60" i="5"/>
  <c r="AV60" i="5"/>
  <c r="AW60" i="5"/>
  <c r="AX60" i="5"/>
  <c r="AY60" i="5"/>
  <c r="O61" i="5"/>
  <c r="P61" i="5"/>
  <c r="Q61" i="5"/>
  <c r="R61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I61" i="5"/>
  <c r="AJ61" i="5"/>
  <c r="AK61" i="5"/>
  <c r="AL61" i="5"/>
  <c r="AM61" i="5"/>
  <c r="AN61" i="5"/>
  <c r="AO61" i="5"/>
  <c r="AP61" i="5"/>
  <c r="AQ61" i="5"/>
  <c r="AR61" i="5"/>
  <c r="AS61" i="5"/>
  <c r="AT61" i="5"/>
  <c r="AU61" i="5"/>
  <c r="AV61" i="5"/>
  <c r="AW61" i="5"/>
  <c r="AX61" i="5"/>
  <c r="AY61" i="5"/>
  <c r="O62" i="5"/>
  <c r="P62" i="5"/>
  <c r="Q62" i="5"/>
  <c r="C62" i="5"/>
  <c r="R62" i="5"/>
  <c r="S62" i="5"/>
  <c r="T62" i="5"/>
  <c r="U62" i="5"/>
  <c r="V62" i="5"/>
  <c r="W62" i="5"/>
  <c r="X62" i="5"/>
  <c r="Y62" i="5"/>
  <c r="Z62" i="5"/>
  <c r="AA62" i="5"/>
  <c r="AB62" i="5"/>
  <c r="AC62" i="5"/>
  <c r="AD62" i="5"/>
  <c r="AE62" i="5"/>
  <c r="AF62" i="5"/>
  <c r="AG62" i="5"/>
  <c r="AH62" i="5"/>
  <c r="AI62" i="5"/>
  <c r="AJ62" i="5"/>
  <c r="AK62" i="5"/>
  <c r="AL62" i="5"/>
  <c r="AM62" i="5"/>
  <c r="AN62" i="5"/>
  <c r="AO62" i="5"/>
  <c r="AP62" i="5"/>
  <c r="AQ62" i="5"/>
  <c r="AR62" i="5"/>
  <c r="AS62" i="5"/>
  <c r="AT62" i="5"/>
  <c r="AU62" i="5"/>
  <c r="AV62" i="5"/>
  <c r="AW62" i="5"/>
  <c r="AX62" i="5"/>
  <c r="AY62" i="5"/>
  <c r="O63" i="5"/>
  <c r="K63" i="5" s="1"/>
  <c r="L63" i="5" s="1"/>
  <c r="P63" i="5"/>
  <c r="Q63" i="5"/>
  <c r="R63" i="5"/>
  <c r="S63" i="5"/>
  <c r="T63" i="5"/>
  <c r="U63" i="5"/>
  <c r="V63" i="5"/>
  <c r="W63" i="5"/>
  <c r="X63" i="5"/>
  <c r="Y63" i="5"/>
  <c r="Z63" i="5"/>
  <c r="AA63" i="5"/>
  <c r="AB63" i="5"/>
  <c r="AC63" i="5"/>
  <c r="AD63" i="5"/>
  <c r="AE63" i="5"/>
  <c r="AF63" i="5"/>
  <c r="AG63" i="5"/>
  <c r="AH63" i="5"/>
  <c r="AI63" i="5"/>
  <c r="AJ63" i="5"/>
  <c r="AK63" i="5"/>
  <c r="AL63" i="5"/>
  <c r="AM63" i="5"/>
  <c r="AN63" i="5"/>
  <c r="AO63" i="5"/>
  <c r="AP63" i="5"/>
  <c r="AQ63" i="5"/>
  <c r="AR63" i="5"/>
  <c r="AS63" i="5"/>
  <c r="AT63" i="5"/>
  <c r="AU63" i="5"/>
  <c r="AV63" i="5"/>
  <c r="AW63" i="5"/>
  <c r="AX63" i="5"/>
  <c r="AY63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AW64" i="5"/>
  <c r="AX64" i="5"/>
  <c r="AY64" i="5"/>
  <c r="O65" i="5"/>
  <c r="P65" i="5"/>
  <c r="Q65" i="5"/>
  <c r="C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H65" i="5"/>
  <c r="AI65" i="5"/>
  <c r="AJ65" i="5"/>
  <c r="AK65" i="5"/>
  <c r="AL65" i="5"/>
  <c r="AM65" i="5"/>
  <c r="AN65" i="5"/>
  <c r="AO65" i="5"/>
  <c r="AP65" i="5"/>
  <c r="AQ65" i="5"/>
  <c r="AR65" i="5"/>
  <c r="AS65" i="5"/>
  <c r="AT65" i="5"/>
  <c r="AU65" i="5"/>
  <c r="AV65" i="5"/>
  <c r="AW65" i="5"/>
  <c r="AX65" i="5"/>
  <c r="AY65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AT66" i="5"/>
  <c r="AU66" i="5"/>
  <c r="AV66" i="5"/>
  <c r="AW66" i="5"/>
  <c r="AX66" i="5"/>
  <c r="AY66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AW67" i="5"/>
  <c r="AX67" i="5"/>
  <c r="AY67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O70" i="5"/>
  <c r="K70" i="5" s="1"/>
  <c r="L70" i="5" s="1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AT70" i="5"/>
  <c r="AU70" i="5"/>
  <c r="AV70" i="5"/>
  <c r="AW70" i="5"/>
  <c r="AX70" i="5"/>
  <c r="AY70" i="5"/>
  <c r="O71" i="5"/>
  <c r="P71" i="5"/>
  <c r="Q71" i="5"/>
  <c r="R71" i="5"/>
  <c r="S71" i="5"/>
  <c r="T71" i="5"/>
  <c r="U71" i="5"/>
  <c r="V71" i="5"/>
  <c r="W71" i="5"/>
  <c r="X71" i="5"/>
  <c r="Y71" i="5"/>
  <c r="Z71" i="5"/>
  <c r="AA71" i="5"/>
  <c r="AB71" i="5"/>
  <c r="AC71" i="5"/>
  <c r="AD71" i="5"/>
  <c r="AE71" i="5"/>
  <c r="AF71" i="5"/>
  <c r="AG71" i="5"/>
  <c r="AH71" i="5"/>
  <c r="AI71" i="5"/>
  <c r="AJ71" i="5"/>
  <c r="AK71" i="5"/>
  <c r="AL71" i="5"/>
  <c r="AM71" i="5"/>
  <c r="AN71" i="5"/>
  <c r="AO71" i="5"/>
  <c r="AP71" i="5"/>
  <c r="AQ71" i="5"/>
  <c r="AR71" i="5"/>
  <c r="AS71" i="5"/>
  <c r="AT71" i="5"/>
  <c r="AU71" i="5"/>
  <c r="AV71" i="5"/>
  <c r="AW71" i="5"/>
  <c r="AX71" i="5"/>
  <c r="AY71" i="5"/>
  <c r="O72" i="5"/>
  <c r="K72" i="5"/>
  <c r="L72" i="5" s="1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O73" i="5"/>
  <c r="P73" i="5"/>
  <c r="Q73" i="5"/>
  <c r="R73" i="5"/>
  <c r="S73" i="5"/>
  <c r="T73" i="5"/>
  <c r="U73" i="5"/>
  <c r="V73" i="5"/>
  <c r="W73" i="5"/>
  <c r="X73" i="5"/>
  <c r="Y73" i="5"/>
  <c r="Z73" i="5"/>
  <c r="AA73" i="5"/>
  <c r="AB73" i="5"/>
  <c r="AC73" i="5"/>
  <c r="AD73" i="5"/>
  <c r="AE73" i="5"/>
  <c r="AF73" i="5"/>
  <c r="AG73" i="5"/>
  <c r="AH73" i="5"/>
  <c r="AI73" i="5"/>
  <c r="AJ73" i="5"/>
  <c r="AK73" i="5"/>
  <c r="AL73" i="5"/>
  <c r="AM73" i="5"/>
  <c r="AN73" i="5"/>
  <c r="AO73" i="5"/>
  <c r="AP73" i="5"/>
  <c r="AQ73" i="5"/>
  <c r="AR73" i="5"/>
  <c r="AS73" i="5"/>
  <c r="AT73" i="5"/>
  <c r="AU73" i="5"/>
  <c r="AV73" i="5"/>
  <c r="AW73" i="5"/>
  <c r="AX73" i="5"/>
  <c r="AY73" i="5"/>
  <c r="O74" i="5"/>
  <c r="P74" i="5"/>
  <c r="Q74" i="5"/>
  <c r="R74" i="5"/>
  <c r="S74" i="5"/>
  <c r="T74" i="5"/>
  <c r="U74" i="5"/>
  <c r="V74" i="5"/>
  <c r="W74" i="5"/>
  <c r="X74" i="5"/>
  <c r="Y74" i="5"/>
  <c r="Z74" i="5"/>
  <c r="AA74" i="5"/>
  <c r="AB74" i="5"/>
  <c r="AC74" i="5"/>
  <c r="AD74" i="5"/>
  <c r="AE74" i="5"/>
  <c r="AF74" i="5"/>
  <c r="AG74" i="5"/>
  <c r="AH74" i="5"/>
  <c r="AI74" i="5"/>
  <c r="AJ74" i="5"/>
  <c r="AK74" i="5"/>
  <c r="AL74" i="5"/>
  <c r="AM74" i="5"/>
  <c r="AN74" i="5"/>
  <c r="AO74" i="5"/>
  <c r="AP74" i="5"/>
  <c r="AQ74" i="5"/>
  <c r="AR74" i="5"/>
  <c r="AS74" i="5"/>
  <c r="AT74" i="5"/>
  <c r="AU74" i="5"/>
  <c r="AV74" i="5"/>
  <c r="AW74" i="5"/>
  <c r="AX74" i="5"/>
  <c r="AY74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AL75" i="5"/>
  <c r="AM75" i="5"/>
  <c r="AN75" i="5"/>
  <c r="AO75" i="5"/>
  <c r="AP75" i="5"/>
  <c r="AQ75" i="5"/>
  <c r="AR75" i="5"/>
  <c r="AS75" i="5"/>
  <c r="AT75" i="5"/>
  <c r="AU75" i="5"/>
  <c r="AV75" i="5"/>
  <c r="AW75" i="5"/>
  <c r="AX75" i="5"/>
  <c r="AY75" i="5"/>
  <c r="O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AL76" i="5"/>
  <c r="AM76" i="5"/>
  <c r="AN76" i="5"/>
  <c r="AO76" i="5"/>
  <c r="AP76" i="5"/>
  <c r="AQ76" i="5"/>
  <c r="AR76" i="5"/>
  <c r="AS76" i="5"/>
  <c r="AT76" i="5"/>
  <c r="AU76" i="5"/>
  <c r="AV76" i="5"/>
  <c r="AW76" i="5"/>
  <c r="AX76" i="5"/>
  <c r="AY76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AO77" i="5"/>
  <c r="AP77" i="5"/>
  <c r="AQ77" i="5"/>
  <c r="AR77" i="5"/>
  <c r="AS77" i="5"/>
  <c r="AT77" i="5"/>
  <c r="AU77" i="5"/>
  <c r="AV77" i="5"/>
  <c r="AW77" i="5"/>
  <c r="AX77" i="5"/>
  <c r="AY77" i="5"/>
  <c r="O78" i="5"/>
  <c r="K78" i="5"/>
  <c r="L78" i="5" s="1"/>
  <c r="P78" i="5"/>
  <c r="Q78" i="5"/>
  <c r="R78" i="5"/>
  <c r="S78" i="5"/>
  <c r="T78" i="5"/>
  <c r="U78" i="5"/>
  <c r="V78" i="5"/>
  <c r="W78" i="5"/>
  <c r="X78" i="5"/>
  <c r="Y78" i="5"/>
  <c r="Z78" i="5"/>
  <c r="AA78" i="5"/>
  <c r="AB78" i="5"/>
  <c r="AC78" i="5"/>
  <c r="AD78" i="5"/>
  <c r="AE78" i="5"/>
  <c r="AF78" i="5"/>
  <c r="AG78" i="5"/>
  <c r="AH78" i="5"/>
  <c r="AI78" i="5"/>
  <c r="AJ78" i="5"/>
  <c r="AK78" i="5"/>
  <c r="AL78" i="5"/>
  <c r="AM78" i="5"/>
  <c r="AN78" i="5"/>
  <c r="AO78" i="5"/>
  <c r="AP78" i="5"/>
  <c r="AQ78" i="5"/>
  <c r="AR78" i="5"/>
  <c r="AS78" i="5"/>
  <c r="AT78" i="5"/>
  <c r="AU78" i="5"/>
  <c r="AV78" i="5"/>
  <c r="AW78" i="5"/>
  <c r="AX78" i="5"/>
  <c r="AY78" i="5"/>
  <c r="O79" i="5"/>
  <c r="B79" i="5" s="1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G80" i="5"/>
  <c r="AH80" i="5"/>
  <c r="AI80" i="5"/>
  <c r="AJ80" i="5"/>
  <c r="AK80" i="5"/>
  <c r="AL80" i="5"/>
  <c r="AM80" i="5"/>
  <c r="AN80" i="5"/>
  <c r="AO80" i="5"/>
  <c r="AP80" i="5"/>
  <c r="AQ80" i="5"/>
  <c r="AR80" i="5"/>
  <c r="AS80" i="5"/>
  <c r="AT80" i="5"/>
  <c r="AU80" i="5"/>
  <c r="AV80" i="5"/>
  <c r="AW80" i="5"/>
  <c r="AX80" i="5"/>
  <c r="AY80" i="5"/>
  <c r="O81" i="5"/>
  <c r="P81" i="5"/>
  <c r="Q81" i="5"/>
  <c r="C81" i="5" s="1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O82" i="5"/>
  <c r="P82" i="5"/>
  <c r="Q82" i="5"/>
  <c r="R82" i="5"/>
  <c r="S82" i="5"/>
  <c r="T82" i="5"/>
  <c r="U82" i="5"/>
  <c r="V82" i="5"/>
  <c r="W82" i="5"/>
  <c r="X82" i="5"/>
  <c r="Y82" i="5"/>
  <c r="Z82" i="5"/>
  <c r="AA82" i="5"/>
  <c r="AB82" i="5"/>
  <c r="AC82" i="5"/>
  <c r="AD82" i="5"/>
  <c r="AE82" i="5"/>
  <c r="AF82" i="5"/>
  <c r="AG82" i="5"/>
  <c r="AH82" i="5"/>
  <c r="AI82" i="5"/>
  <c r="AJ82" i="5"/>
  <c r="AK82" i="5"/>
  <c r="AL82" i="5"/>
  <c r="AM82" i="5"/>
  <c r="AN82" i="5"/>
  <c r="AO82" i="5"/>
  <c r="AP82" i="5"/>
  <c r="AQ82" i="5"/>
  <c r="AR82" i="5"/>
  <c r="AS82" i="5"/>
  <c r="AT82" i="5"/>
  <c r="AU82" i="5"/>
  <c r="AV82" i="5"/>
  <c r="AW82" i="5"/>
  <c r="AX82" i="5"/>
  <c r="AY82" i="5"/>
  <c r="O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AJ83" i="5"/>
  <c r="AK83" i="5"/>
  <c r="AL83" i="5"/>
  <c r="AM83" i="5"/>
  <c r="AN83" i="5"/>
  <c r="AO83" i="5"/>
  <c r="AP83" i="5"/>
  <c r="AQ83" i="5"/>
  <c r="AR83" i="5"/>
  <c r="AS83" i="5"/>
  <c r="AT83" i="5"/>
  <c r="AU83" i="5"/>
  <c r="AV83" i="5"/>
  <c r="AW83" i="5"/>
  <c r="AX83" i="5"/>
  <c r="AY83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AR84" i="5"/>
  <c r="AS84" i="5"/>
  <c r="AT84" i="5"/>
  <c r="AU84" i="5"/>
  <c r="AV84" i="5"/>
  <c r="AW84" i="5"/>
  <c r="AX84" i="5"/>
  <c r="AY84" i="5"/>
  <c r="O85" i="5"/>
  <c r="P85" i="5"/>
  <c r="Q85" i="5"/>
  <c r="R85" i="5"/>
  <c r="S85" i="5"/>
  <c r="T85" i="5"/>
  <c r="U85" i="5"/>
  <c r="V85" i="5"/>
  <c r="W85" i="5"/>
  <c r="X85" i="5"/>
  <c r="Y85" i="5"/>
  <c r="Z85" i="5"/>
  <c r="AA85" i="5"/>
  <c r="AB85" i="5"/>
  <c r="AC85" i="5"/>
  <c r="AD85" i="5"/>
  <c r="AE85" i="5"/>
  <c r="AF85" i="5"/>
  <c r="AG85" i="5"/>
  <c r="AH85" i="5"/>
  <c r="AI85" i="5"/>
  <c r="AJ85" i="5"/>
  <c r="AK85" i="5"/>
  <c r="AL85" i="5"/>
  <c r="AM85" i="5"/>
  <c r="AN85" i="5"/>
  <c r="AO85" i="5"/>
  <c r="AP85" i="5"/>
  <c r="AQ85" i="5"/>
  <c r="AR85" i="5"/>
  <c r="AS85" i="5"/>
  <c r="AT85" i="5"/>
  <c r="AU85" i="5"/>
  <c r="AV85" i="5"/>
  <c r="AW85" i="5"/>
  <c r="AX85" i="5"/>
  <c r="AY85" i="5"/>
  <c r="O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AL86" i="5"/>
  <c r="AM86" i="5"/>
  <c r="AN86" i="5"/>
  <c r="AO86" i="5"/>
  <c r="AP86" i="5"/>
  <c r="AQ86" i="5"/>
  <c r="AR86" i="5"/>
  <c r="AS86" i="5"/>
  <c r="AT86" i="5"/>
  <c r="AU86" i="5"/>
  <c r="AV86" i="5"/>
  <c r="AW86" i="5"/>
  <c r="AX86" i="5"/>
  <c r="AY86" i="5"/>
  <c r="O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AR87" i="5"/>
  <c r="AS87" i="5"/>
  <c r="AT87" i="5"/>
  <c r="AU87" i="5"/>
  <c r="AV87" i="5"/>
  <c r="AW87" i="5"/>
  <c r="AX87" i="5"/>
  <c r="AY87" i="5"/>
  <c r="O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AL88" i="5"/>
  <c r="AM88" i="5"/>
  <c r="AN88" i="5"/>
  <c r="AO88" i="5"/>
  <c r="AP88" i="5"/>
  <c r="AQ88" i="5"/>
  <c r="AR88" i="5"/>
  <c r="AS88" i="5"/>
  <c r="AT88" i="5"/>
  <c r="AU88" i="5"/>
  <c r="AV88" i="5"/>
  <c r="AW88" i="5"/>
  <c r="AX88" i="5"/>
  <c r="AY88" i="5"/>
  <c r="O89" i="5"/>
  <c r="C89" i="5" s="1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O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AQ90" i="5"/>
  <c r="AR90" i="5"/>
  <c r="AS90" i="5"/>
  <c r="AT90" i="5"/>
  <c r="AU90" i="5"/>
  <c r="AV90" i="5"/>
  <c r="AW90" i="5"/>
  <c r="AX90" i="5"/>
  <c r="AY90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AL91" i="5"/>
  <c r="AM91" i="5"/>
  <c r="AN91" i="5"/>
  <c r="AO91" i="5"/>
  <c r="AP91" i="5"/>
  <c r="AQ91" i="5"/>
  <c r="AR91" i="5"/>
  <c r="AS91" i="5"/>
  <c r="AT91" i="5"/>
  <c r="AU91" i="5"/>
  <c r="AV91" i="5"/>
  <c r="AW91" i="5"/>
  <c r="AX91" i="5"/>
  <c r="AY91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AJ92" i="5"/>
  <c r="AK92" i="5"/>
  <c r="AL92" i="5"/>
  <c r="AM92" i="5"/>
  <c r="AN92" i="5"/>
  <c r="AO92" i="5"/>
  <c r="AP92" i="5"/>
  <c r="AQ92" i="5"/>
  <c r="AR92" i="5"/>
  <c r="AS92" i="5"/>
  <c r="AT92" i="5"/>
  <c r="AU92" i="5"/>
  <c r="AV92" i="5"/>
  <c r="AW92" i="5"/>
  <c r="AX92" i="5"/>
  <c r="AY92" i="5"/>
  <c r="O93" i="5"/>
  <c r="K93" i="5" s="1"/>
  <c r="L93" i="5" s="1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AR93" i="5"/>
  <c r="AS93" i="5"/>
  <c r="AT93" i="5"/>
  <c r="AU93" i="5"/>
  <c r="AV93" i="5"/>
  <c r="AW93" i="5"/>
  <c r="AX93" i="5"/>
  <c r="AY93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AR94" i="5"/>
  <c r="AS94" i="5"/>
  <c r="AT94" i="5"/>
  <c r="AU94" i="5"/>
  <c r="AV94" i="5"/>
  <c r="AW94" i="5"/>
  <c r="AX94" i="5"/>
  <c r="AY94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AT95" i="5"/>
  <c r="AU95" i="5"/>
  <c r="AV95" i="5"/>
  <c r="AW95" i="5"/>
  <c r="AX95" i="5"/>
  <c r="AY95" i="5"/>
  <c r="O96" i="5"/>
  <c r="K96" i="5" s="1"/>
  <c r="L96" i="5" s="1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AQ96" i="5"/>
  <c r="AR96" i="5"/>
  <c r="AS96" i="5"/>
  <c r="AT96" i="5"/>
  <c r="AU96" i="5"/>
  <c r="AV96" i="5"/>
  <c r="AW96" i="5"/>
  <c r="AX96" i="5"/>
  <c r="AY96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AJ97" i="5"/>
  <c r="AK97" i="5"/>
  <c r="AL97" i="5"/>
  <c r="AM97" i="5"/>
  <c r="AN97" i="5"/>
  <c r="AO97" i="5"/>
  <c r="AP97" i="5"/>
  <c r="AQ97" i="5"/>
  <c r="AR97" i="5"/>
  <c r="AS97" i="5"/>
  <c r="AT97" i="5"/>
  <c r="AU97" i="5"/>
  <c r="AV97" i="5"/>
  <c r="AW97" i="5"/>
  <c r="AX97" i="5"/>
  <c r="AY97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AQ98" i="5"/>
  <c r="AR98" i="5"/>
  <c r="AS98" i="5"/>
  <c r="AT98" i="5"/>
  <c r="AU98" i="5"/>
  <c r="AV98" i="5"/>
  <c r="AW98" i="5"/>
  <c r="AX98" i="5"/>
  <c r="AY98" i="5"/>
  <c r="O99" i="5"/>
  <c r="K99" i="5" s="1"/>
  <c r="L99" i="5" s="1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AR99" i="5"/>
  <c r="AS99" i="5"/>
  <c r="AT99" i="5"/>
  <c r="AU99" i="5"/>
  <c r="AV99" i="5"/>
  <c r="AW99" i="5"/>
  <c r="AX99" i="5"/>
  <c r="AY99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AR100" i="5"/>
  <c r="AS100" i="5"/>
  <c r="AT100" i="5"/>
  <c r="AU100" i="5"/>
  <c r="AV100" i="5"/>
  <c r="AW100" i="5"/>
  <c r="AX100" i="5"/>
  <c r="AY100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AO101" i="5"/>
  <c r="AP101" i="5"/>
  <c r="AQ101" i="5"/>
  <c r="AR101" i="5"/>
  <c r="AS101" i="5"/>
  <c r="AT101" i="5"/>
  <c r="AU101" i="5"/>
  <c r="AV101" i="5"/>
  <c r="AW101" i="5"/>
  <c r="AX101" i="5"/>
  <c r="AY101" i="5"/>
  <c r="O102" i="5"/>
  <c r="B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O107" i="5"/>
  <c r="K107" i="5"/>
  <c r="L107" i="5" s="1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O110" i="5"/>
  <c r="P110" i="5"/>
  <c r="Q110" i="5"/>
  <c r="C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O116" i="5"/>
  <c r="K116" i="5"/>
  <c r="L116" i="5" s="1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O123" i="5"/>
  <c r="B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O137" i="5"/>
  <c r="P137" i="5"/>
  <c r="Q137" i="5"/>
  <c r="C137" i="5" s="1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O143" i="5"/>
  <c r="C143" i="5"/>
  <c r="B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O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X146" i="5"/>
  <c r="AY146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O147" i="5"/>
  <c r="AP147" i="5"/>
  <c r="AQ147" i="5"/>
  <c r="AR147" i="5"/>
  <c r="AS147" i="5"/>
  <c r="AT147" i="5"/>
  <c r="AU147" i="5"/>
  <c r="AV147" i="5"/>
  <c r="AW147" i="5"/>
  <c r="AX147" i="5"/>
  <c r="AY147" i="5"/>
  <c r="O148" i="5"/>
  <c r="P148" i="5"/>
  <c r="Q148" i="5"/>
  <c r="R148" i="5"/>
  <c r="S148" i="5"/>
  <c r="T148" i="5"/>
  <c r="U148" i="5"/>
  <c r="V148" i="5"/>
  <c r="W148" i="5"/>
  <c r="X148" i="5"/>
  <c r="Y148" i="5"/>
  <c r="Z148" i="5"/>
  <c r="AA148" i="5"/>
  <c r="AB148" i="5"/>
  <c r="AC148" i="5"/>
  <c r="AD148" i="5"/>
  <c r="AE148" i="5"/>
  <c r="AF148" i="5"/>
  <c r="AG148" i="5"/>
  <c r="AH148" i="5"/>
  <c r="AI148" i="5"/>
  <c r="AJ148" i="5"/>
  <c r="AK148" i="5"/>
  <c r="AL148" i="5"/>
  <c r="AM148" i="5"/>
  <c r="AN148" i="5"/>
  <c r="AO148" i="5"/>
  <c r="AP148" i="5"/>
  <c r="AQ148" i="5"/>
  <c r="AR148" i="5"/>
  <c r="AS148" i="5"/>
  <c r="AT148" i="5"/>
  <c r="AU148" i="5"/>
  <c r="AV148" i="5"/>
  <c r="AW148" i="5"/>
  <c r="AX148" i="5"/>
  <c r="AY148" i="5"/>
  <c r="O149" i="5"/>
  <c r="P149" i="5"/>
  <c r="Q149" i="5"/>
  <c r="R149" i="5"/>
  <c r="S149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L149" i="5"/>
  <c r="AM149" i="5"/>
  <c r="AN149" i="5"/>
  <c r="AO149" i="5"/>
  <c r="AP149" i="5"/>
  <c r="AQ149" i="5"/>
  <c r="AR149" i="5"/>
  <c r="AS149" i="5"/>
  <c r="AT149" i="5"/>
  <c r="AU149" i="5"/>
  <c r="AV149" i="5"/>
  <c r="AW149" i="5"/>
  <c r="AX149" i="5"/>
  <c r="AY149" i="5"/>
  <c r="O150" i="5"/>
  <c r="P150" i="5"/>
  <c r="Q150" i="5"/>
  <c r="R150" i="5"/>
  <c r="S150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AL150" i="5"/>
  <c r="AM150" i="5"/>
  <c r="AN150" i="5"/>
  <c r="AO150" i="5"/>
  <c r="AP150" i="5"/>
  <c r="AQ150" i="5"/>
  <c r="AR150" i="5"/>
  <c r="AS150" i="5"/>
  <c r="AT150" i="5"/>
  <c r="AU150" i="5"/>
  <c r="AV150" i="5"/>
  <c r="AW150" i="5"/>
  <c r="AX150" i="5"/>
  <c r="AY150" i="5"/>
  <c r="O151" i="5"/>
  <c r="P151" i="5"/>
  <c r="Q151" i="5"/>
  <c r="R151" i="5"/>
  <c r="S151" i="5"/>
  <c r="T151" i="5"/>
  <c r="U151" i="5"/>
  <c r="V151" i="5"/>
  <c r="W151" i="5"/>
  <c r="X151" i="5"/>
  <c r="Y151" i="5"/>
  <c r="Z151" i="5"/>
  <c r="AA151" i="5"/>
  <c r="AB151" i="5"/>
  <c r="AC151" i="5"/>
  <c r="AD151" i="5"/>
  <c r="AE151" i="5"/>
  <c r="AF151" i="5"/>
  <c r="AG151" i="5"/>
  <c r="AH151" i="5"/>
  <c r="AI151" i="5"/>
  <c r="AJ151" i="5"/>
  <c r="AK151" i="5"/>
  <c r="AL151" i="5"/>
  <c r="AM151" i="5"/>
  <c r="AN151" i="5"/>
  <c r="AO151" i="5"/>
  <c r="AP151" i="5"/>
  <c r="AQ151" i="5"/>
  <c r="AR151" i="5"/>
  <c r="AS151" i="5"/>
  <c r="AT151" i="5"/>
  <c r="AU151" i="5"/>
  <c r="AV151" i="5"/>
  <c r="AW151" i="5"/>
  <c r="AX151" i="5"/>
  <c r="AY151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P152" i="5"/>
  <c r="AQ152" i="5"/>
  <c r="AR152" i="5"/>
  <c r="AS152" i="5"/>
  <c r="AT152" i="5"/>
  <c r="AU152" i="5"/>
  <c r="AV152" i="5"/>
  <c r="AW152" i="5"/>
  <c r="AX152" i="5"/>
  <c r="AY152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X153" i="5"/>
  <c r="AY153" i="5"/>
  <c r="O154" i="5"/>
  <c r="B154" i="5"/>
  <c r="P154" i="5"/>
  <c r="Q154" i="5"/>
  <c r="R154" i="5"/>
  <c r="S154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X154" i="5"/>
  <c r="AY154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X155" i="5"/>
  <c r="AY155" i="5"/>
  <c r="O156" i="5"/>
  <c r="P156" i="5"/>
  <c r="Q156" i="5"/>
  <c r="R156" i="5"/>
  <c r="S156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X156" i="5"/>
  <c r="AY156" i="5"/>
  <c r="O157" i="5"/>
  <c r="B157" i="5" s="1"/>
  <c r="P157" i="5"/>
  <c r="Q157" i="5"/>
  <c r="R157" i="5"/>
  <c r="S157" i="5"/>
  <c r="T157" i="5"/>
  <c r="U157" i="5"/>
  <c r="V157" i="5"/>
  <c r="W157" i="5"/>
  <c r="X157" i="5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AL157" i="5"/>
  <c r="AM157" i="5"/>
  <c r="AN157" i="5"/>
  <c r="AO157" i="5"/>
  <c r="AP157" i="5"/>
  <c r="AQ157" i="5"/>
  <c r="AR157" i="5"/>
  <c r="AS157" i="5"/>
  <c r="AT157" i="5"/>
  <c r="AU157" i="5"/>
  <c r="AV157" i="5"/>
  <c r="AW157" i="5"/>
  <c r="AX157" i="5"/>
  <c r="AY157" i="5"/>
  <c r="O158" i="5"/>
  <c r="B158" i="5" s="1"/>
  <c r="P158" i="5"/>
  <c r="Q158" i="5"/>
  <c r="R158" i="5"/>
  <c r="S158" i="5"/>
  <c r="T158" i="5"/>
  <c r="U158" i="5"/>
  <c r="V158" i="5"/>
  <c r="W158" i="5"/>
  <c r="X158" i="5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AL158" i="5"/>
  <c r="AM158" i="5"/>
  <c r="AN158" i="5"/>
  <c r="AO158" i="5"/>
  <c r="AP158" i="5"/>
  <c r="AQ158" i="5"/>
  <c r="AR158" i="5"/>
  <c r="AS158" i="5"/>
  <c r="AT158" i="5"/>
  <c r="AU158" i="5"/>
  <c r="AV158" i="5"/>
  <c r="AW158" i="5"/>
  <c r="AX158" i="5"/>
  <c r="AY158" i="5"/>
  <c r="O159" i="5"/>
  <c r="P159" i="5"/>
  <c r="Q159" i="5"/>
  <c r="R159" i="5"/>
  <c r="S159" i="5"/>
  <c r="T159" i="5"/>
  <c r="U159" i="5"/>
  <c r="V159" i="5"/>
  <c r="W159" i="5"/>
  <c r="X159" i="5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AL159" i="5"/>
  <c r="AM159" i="5"/>
  <c r="AN159" i="5"/>
  <c r="AO159" i="5"/>
  <c r="AP159" i="5"/>
  <c r="AQ159" i="5"/>
  <c r="AR159" i="5"/>
  <c r="AS159" i="5"/>
  <c r="AT159" i="5"/>
  <c r="AU159" i="5"/>
  <c r="AV159" i="5"/>
  <c r="AW159" i="5"/>
  <c r="AX159" i="5"/>
  <c r="AY159" i="5"/>
  <c r="O160" i="5"/>
  <c r="P160" i="5"/>
  <c r="Q160" i="5"/>
  <c r="R160" i="5"/>
  <c r="S160" i="5"/>
  <c r="T160" i="5"/>
  <c r="U160" i="5"/>
  <c r="V160" i="5"/>
  <c r="W160" i="5"/>
  <c r="X160" i="5"/>
  <c r="Y160" i="5"/>
  <c r="Z160" i="5"/>
  <c r="AA160" i="5"/>
  <c r="AB160" i="5"/>
  <c r="AC160" i="5"/>
  <c r="AD160" i="5"/>
  <c r="AE160" i="5"/>
  <c r="AF160" i="5"/>
  <c r="AG160" i="5"/>
  <c r="AH160" i="5"/>
  <c r="AI160" i="5"/>
  <c r="AJ160" i="5"/>
  <c r="AK160" i="5"/>
  <c r="AL160" i="5"/>
  <c r="AM160" i="5"/>
  <c r="AN160" i="5"/>
  <c r="AO160" i="5"/>
  <c r="AP160" i="5"/>
  <c r="AQ160" i="5"/>
  <c r="AR160" i="5"/>
  <c r="AS160" i="5"/>
  <c r="AT160" i="5"/>
  <c r="AU160" i="5"/>
  <c r="AV160" i="5"/>
  <c r="AW160" i="5"/>
  <c r="AX160" i="5"/>
  <c r="AY160" i="5"/>
  <c r="O161" i="5"/>
  <c r="P161" i="5"/>
  <c r="Q161" i="5"/>
  <c r="R161" i="5"/>
  <c r="S161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AJ161" i="5"/>
  <c r="AK161" i="5"/>
  <c r="AL161" i="5"/>
  <c r="AM161" i="5"/>
  <c r="AN161" i="5"/>
  <c r="AO161" i="5"/>
  <c r="AP161" i="5"/>
  <c r="AQ161" i="5"/>
  <c r="AR161" i="5"/>
  <c r="AS161" i="5"/>
  <c r="AT161" i="5"/>
  <c r="AU161" i="5"/>
  <c r="AV161" i="5"/>
  <c r="AW161" i="5"/>
  <c r="AX161" i="5"/>
  <c r="AY161" i="5"/>
  <c r="O162" i="5"/>
  <c r="P162" i="5"/>
  <c r="Q162" i="5"/>
  <c r="R162" i="5"/>
  <c r="S162" i="5"/>
  <c r="T162" i="5"/>
  <c r="U162" i="5"/>
  <c r="V162" i="5"/>
  <c r="W162" i="5"/>
  <c r="X162" i="5"/>
  <c r="Y162" i="5"/>
  <c r="Z162" i="5"/>
  <c r="AA162" i="5"/>
  <c r="AB162" i="5"/>
  <c r="AC162" i="5"/>
  <c r="AD162" i="5"/>
  <c r="AE162" i="5"/>
  <c r="AF162" i="5"/>
  <c r="AG162" i="5"/>
  <c r="AH162" i="5"/>
  <c r="AI162" i="5"/>
  <c r="AJ162" i="5"/>
  <c r="AK162" i="5"/>
  <c r="AL162" i="5"/>
  <c r="AM162" i="5"/>
  <c r="AN162" i="5"/>
  <c r="AO162" i="5"/>
  <c r="AP162" i="5"/>
  <c r="AQ162" i="5"/>
  <c r="AR162" i="5"/>
  <c r="AS162" i="5"/>
  <c r="AT162" i="5"/>
  <c r="AU162" i="5"/>
  <c r="AV162" i="5"/>
  <c r="AW162" i="5"/>
  <c r="AX162" i="5"/>
  <c r="AY162" i="5"/>
  <c r="O163" i="5"/>
  <c r="P163" i="5"/>
  <c r="Q163" i="5"/>
  <c r="R163" i="5"/>
  <c r="S163" i="5"/>
  <c r="T163" i="5"/>
  <c r="U163" i="5"/>
  <c r="V163" i="5"/>
  <c r="W163" i="5"/>
  <c r="X163" i="5"/>
  <c r="Y163" i="5"/>
  <c r="Z163" i="5"/>
  <c r="AA163" i="5"/>
  <c r="AB163" i="5"/>
  <c r="AC163" i="5"/>
  <c r="AD163" i="5"/>
  <c r="AE163" i="5"/>
  <c r="AF163" i="5"/>
  <c r="AG163" i="5"/>
  <c r="AH163" i="5"/>
  <c r="AI163" i="5"/>
  <c r="AJ163" i="5"/>
  <c r="AK163" i="5"/>
  <c r="AL163" i="5"/>
  <c r="AM163" i="5"/>
  <c r="AN163" i="5"/>
  <c r="AO163" i="5"/>
  <c r="AP163" i="5"/>
  <c r="AQ163" i="5"/>
  <c r="AR163" i="5"/>
  <c r="AS163" i="5"/>
  <c r="AT163" i="5"/>
  <c r="AU163" i="5"/>
  <c r="AV163" i="5"/>
  <c r="AW163" i="5"/>
  <c r="AX163" i="5"/>
  <c r="AY163" i="5"/>
  <c r="O164" i="5"/>
  <c r="P164" i="5"/>
  <c r="Q164" i="5"/>
  <c r="R164" i="5"/>
  <c r="S164" i="5"/>
  <c r="T164" i="5"/>
  <c r="U164" i="5"/>
  <c r="V164" i="5"/>
  <c r="W164" i="5"/>
  <c r="X164" i="5"/>
  <c r="Y164" i="5"/>
  <c r="Z164" i="5"/>
  <c r="AA164" i="5"/>
  <c r="AB164" i="5"/>
  <c r="AC164" i="5"/>
  <c r="AD164" i="5"/>
  <c r="AE164" i="5"/>
  <c r="AF164" i="5"/>
  <c r="AG164" i="5"/>
  <c r="AH164" i="5"/>
  <c r="AI164" i="5"/>
  <c r="AJ164" i="5"/>
  <c r="AK164" i="5"/>
  <c r="AL164" i="5"/>
  <c r="AM164" i="5"/>
  <c r="AN164" i="5"/>
  <c r="AO164" i="5"/>
  <c r="AP164" i="5"/>
  <c r="AQ164" i="5"/>
  <c r="AR164" i="5"/>
  <c r="AS164" i="5"/>
  <c r="AT164" i="5"/>
  <c r="AU164" i="5"/>
  <c r="AV164" i="5"/>
  <c r="AW164" i="5"/>
  <c r="AX164" i="5"/>
  <c r="AY164" i="5"/>
  <c r="O165" i="5"/>
  <c r="P165" i="5"/>
  <c r="Q165" i="5"/>
  <c r="R165" i="5"/>
  <c r="S165" i="5"/>
  <c r="T165" i="5"/>
  <c r="U165" i="5"/>
  <c r="V165" i="5"/>
  <c r="W165" i="5"/>
  <c r="X165" i="5"/>
  <c r="Y165" i="5"/>
  <c r="Z165" i="5"/>
  <c r="AA165" i="5"/>
  <c r="AB165" i="5"/>
  <c r="AC165" i="5"/>
  <c r="AD165" i="5"/>
  <c r="AE165" i="5"/>
  <c r="AF165" i="5"/>
  <c r="AG165" i="5"/>
  <c r="AH165" i="5"/>
  <c r="AI165" i="5"/>
  <c r="AJ165" i="5"/>
  <c r="AK165" i="5"/>
  <c r="AL165" i="5"/>
  <c r="AM165" i="5"/>
  <c r="AN165" i="5"/>
  <c r="AO165" i="5"/>
  <c r="AP165" i="5"/>
  <c r="AQ165" i="5"/>
  <c r="AR165" i="5"/>
  <c r="AS165" i="5"/>
  <c r="AT165" i="5"/>
  <c r="AU165" i="5"/>
  <c r="AV165" i="5"/>
  <c r="AW165" i="5"/>
  <c r="AX165" i="5"/>
  <c r="AY165" i="5"/>
  <c r="O166" i="5"/>
  <c r="P166" i="5"/>
  <c r="Q166" i="5"/>
  <c r="R166" i="5"/>
  <c r="S166" i="5"/>
  <c r="T166" i="5"/>
  <c r="U166" i="5"/>
  <c r="V166" i="5"/>
  <c r="W166" i="5"/>
  <c r="X166" i="5"/>
  <c r="Y166" i="5"/>
  <c r="Z166" i="5"/>
  <c r="AA166" i="5"/>
  <c r="AB166" i="5"/>
  <c r="AC166" i="5"/>
  <c r="AD166" i="5"/>
  <c r="AE166" i="5"/>
  <c r="AF166" i="5"/>
  <c r="AG166" i="5"/>
  <c r="AH166" i="5"/>
  <c r="AI166" i="5"/>
  <c r="AJ166" i="5"/>
  <c r="AK166" i="5"/>
  <c r="AL166" i="5"/>
  <c r="AM166" i="5"/>
  <c r="AN166" i="5"/>
  <c r="AO166" i="5"/>
  <c r="AP166" i="5"/>
  <c r="AQ166" i="5"/>
  <c r="AR166" i="5"/>
  <c r="AS166" i="5"/>
  <c r="AT166" i="5"/>
  <c r="AU166" i="5"/>
  <c r="AV166" i="5"/>
  <c r="AW166" i="5"/>
  <c r="AX166" i="5"/>
  <c r="AY166" i="5"/>
  <c r="O167" i="5"/>
  <c r="P167" i="5"/>
  <c r="Q167" i="5"/>
  <c r="R167" i="5"/>
  <c r="S167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K167" i="5"/>
  <c r="AL167" i="5"/>
  <c r="AM167" i="5"/>
  <c r="AN167" i="5"/>
  <c r="AO167" i="5"/>
  <c r="AP167" i="5"/>
  <c r="AQ167" i="5"/>
  <c r="AR167" i="5"/>
  <c r="AS167" i="5"/>
  <c r="AT167" i="5"/>
  <c r="AU167" i="5"/>
  <c r="AV167" i="5"/>
  <c r="AW167" i="5"/>
  <c r="AX167" i="5"/>
  <c r="AY167" i="5"/>
  <c r="O168" i="5"/>
  <c r="P168" i="5"/>
  <c r="Q168" i="5"/>
  <c r="R168" i="5"/>
  <c r="S168" i="5"/>
  <c r="T168" i="5"/>
  <c r="U168" i="5"/>
  <c r="V168" i="5"/>
  <c r="W168" i="5"/>
  <c r="X168" i="5"/>
  <c r="Y168" i="5"/>
  <c r="Z168" i="5"/>
  <c r="AA168" i="5"/>
  <c r="AB168" i="5"/>
  <c r="AC168" i="5"/>
  <c r="AD168" i="5"/>
  <c r="AE168" i="5"/>
  <c r="AF168" i="5"/>
  <c r="AG168" i="5"/>
  <c r="AH168" i="5"/>
  <c r="AI168" i="5"/>
  <c r="AJ168" i="5"/>
  <c r="AK168" i="5"/>
  <c r="AL168" i="5"/>
  <c r="AM168" i="5"/>
  <c r="AN168" i="5"/>
  <c r="AO168" i="5"/>
  <c r="AP168" i="5"/>
  <c r="AQ168" i="5"/>
  <c r="AR168" i="5"/>
  <c r="AS168" i="5"/>
  <c r="AT168" i="5"/>
  <c r="AU168" i="5"/>
  <c r="AV168" i="5"/>
  <c r="AW168" i="5"/>
  <c r="AX168" i="5"/>
  <c r="AY168" i="5"/>
  <c r="O169" i="5"/>
  <c r="P169" i="5"/>
  <c r="Q169" i="5"/>
  <c r="R169" i="5"/>
  <c r="S169" i="5"/>
  <c r="T169" i="5"/>
  <c r="U169" i="5"/>
  <c r="V169" i="5"/>
  <c r="W169" i="5"/>
  <c r="X169" i="5"/>
  <c r="Y169" i="5"/>
  <c r="Z169" i="5"/>
  <c r="AA169" i="5"/>
  <c r="AB169" i="5"/>
  <c r="AC169" i="5"/>
  <c r="AD169" i="5"/>
  <c r="AE169" i="5"/>
  <c r="AF169" i="5"/>
  <c r="AG169" i="5"/>
  <c r="AH169" i="5"/>
  <c r="AI169" i="5"/>
  <c r="AJ169" i="5"/>
  <c r="AK169" i="5"/>
  <c r="AL169" i="5"/>
  <c r="AM169" i="5"/>
  <c r="AN169" i="5"/>
  <c r="AO169" i="5"/>
  <c r="AP169" i="5"/>
  <c r="AQ169" i="5"/>
  <c r="AR169" i="5"/>
  <c r="AS169" i="5"/>
  <c r="AT169" i="5"/>
  <c r="AU169" i="5"/>
  <c r="AV169" i="5"/>
  <c r="AW169" i="5"/>
  <c r="AX169" i="5"/>
  <c r="AY169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AJ170" i="5"/>
  <c r="AK170" i="5"/>
  <c r="AL170" i="5"/>
  <c r="AM170" i="5"/>
  <c r="AN170" i="5"/>
  <c r="AO170" i="5"/>
  <c r="AP170" i="5"/>
  <c r="AQ170" i="5"/>
  <c r="AR170" i="5"/>
  <c r="AS170" i="5"/>
  <c r="AT170" i="5"/>
  <c r="AU170" i="5"/>
  <c r="AV170" i="5"/>
  <c r="AW170" i="5"/>
  <c r="AX170" i="5"/>
  <c r="AY170" i="5"/>
  <c r="O171" i="5"/>
  <c r="B171" i="5"/>
  <c r="P171" i="5"/>
  <c r="Q171" i="5"/>
  <c r="R171" i="5"/>
  <c r="S171" i="5"/>
  <c r="T171" i="5"/>
  <c r="U171" i="5"/>
  <c r="V171" i="5"/>
  <c r="W171" i="5"/>
  <c r="X171" i="5"/>
  <c r="Y171" i="5"/>
  <c r="Z171" i="5"/>
  <c r="AA171" i="5"/>
  <c r="AB171" i="5"/>
  <c r="AC171" i="5"/>
  <c r="AD171" i="5"/>
  <c r="AE171" i="5"/>
  <c r="AF171" i="5"/>
  <c r="AG171" i="5"/>
  <c r="AH171" i="5"/>
  <c r="AI171" i="5"/>
  <c r="AJ171" i="5"/>
  <c r="AK171" i="5"/>
  <c r="AL171" i="5"/>
  <c r="AM171" i="5"/>
  <c r="AN171" i="5"/>
  <c r="AO171" i="5"/>
  <c r="AP171" i="5"/>
  <c r="AQ171" i="5"/>
  <c r="AR171" i="5"/>
  <c r="AS171" i="5"/>
  <c r="AT171" i="5"/>
  <c r="AU171" i="5"/>
  <c r="AV171" i="5"/>
  <c r="AW171" i="5"/>
  <c r="AX171" i="5"/>
  <c r="AY171" i="5"/>
  <c r="O172" i="5"/>
  <c r="P172" i="5"/>
  <c r="Q172" i="5"/>
  <c r="R172" i="5"/>
  <c r="S172" i="5"/>
  <c r="T172" i="5"/>
  <c r="U172" i="5"/>
  <c r="V172" i="5"/>
  <c r="W172" i="5"/>
  <c r="X172" i="5"/>
  <c r="Y172" i="5"/>
  <c r="Z172" i="5"/>
  <c r="AA172" i="5"/>
  <c r="AB172" i="5"/>
  <c r="AC172" i="5"/>
  <c r="AD172" i="5"/>
  <c r="AE172" i="5"/>
  <c r="AF172" i="5"/>
  <c r="AG172" i="5"/>
  <c r="AH172" i="5"/>
  <c r="AI172" i="5"/>
  <c r="AJ172" i="5"/>
  <c r="AK172" i="5"/>
  <c r="AL172" i="5"/>
  <c r="AM172" i="5"/>
  <c r="AN172" i="5"/>
  <c r="AO172" i="5"/>
  <c r="AP172" i="5"/>
  <c r="AQ172" i="5"/>
  <c r="AR172" i="5"/>
  <c r="AS172" i="5"/>
  <c r="AT172" i="5"/>
  <c r="AU172" i="5"/>
  <c r="AV172" i="5"/>
  <c r="AW172" i="5"/>
  <c r="AX172" i="5"/>
  <c r="AY172" i="5"/>
  <c r="O173" i="5"/>
  <c r="P173" i="5"/>
  <c r="Q173" i="5"/>
  <c r="R173" i="5"/>
  <c r="S173" i="5"/>
  <c r="T173" i="5"/>
  <c r="U173" i="5"/>
  <c r="V173" i="5"/>
  <c r="W173" i="5"/>
  <c r="X173" i="5"/>
  <c r="Y173" i="5"/>
  <c r="Z173" i="5"/>
  <c r="AA173" i="5"/>
  <c r="AB173" i="5"/>
  <c r="AC173" i="5"/>
  <c r="AD173" i="5"/>
  <c r="AE173" i="5"/>
  <c r="AF173" i="5"/>
  <c r="AG173" i="5"/>
  <c r="AH173" i="5"/>
  <c r="AI173" i="5"/>
  <c r="AJ173" i="5"/>
  <c r="AK173" i="5"/>
  <c r="AL173" i="5"/>
  <c r="AM173" i="5"/>
  <c r="AN173" i="5"/>
  <c r="AO173" i="5"/>
  <c r="AP173" i="5"/>
  <c r="AQ173" i="5"/>
  <c r="AR173" i="5"/>
  <c r="AS173" i="5"/>
  <c r="AT173" i="5"/>
  <c r="AU173" i="5"/>
  <c r="AV173" i="5"/>
  <c r="AW173" i="5"/>
  <c r="AX173" i="5"/>
  <c r="AY173" i="5"/>
  <c r="O174" i="5"/>
  <c r="P174" i="5"/>
  <c r="Q174" i="5"/>
  <c r="R174" i="5"/>
  <c r="S174" i="5"/>
  <c r="T174" i="5"/>
  <c r="U174" i="5"/>
  <c r="V174" i="5"/>
  <c r="W174" i="5"/>
  <c r="X174" i="5"/>
  <c r="Y174" i="5"/>
  <c r="Z174" i="5"/>
  <c r="AA174" i="5"/>
  <c r="AB174" i="5"/>
  <c r="AC174" i="5"/>
  <c r="AD174" i="5"/>
  <c r="AE174" i="5"/>
  <c r="AF174" i="5"/>
  <c r="AG174" i="5"/>
  <c r="AH174" i="5"/>
  <c r="AI174" i="5"/>
  <c r="AJ174" i="5"/>
  <c r="AK174" i="5"/>
  <c r="AL174" i="5"/>
  <c r="AM174" i="5"/>
  <c r="AN174" i="5"/>
  <c r="AO174" i="5"/>
  <c r="AP174" i="5"/>
  <c r="AQ174" i="5"/>
  <c r="AR174" i="5"/>
  <c r="AS174" i="5"/>
  <c r="AT174" i="5"/>
  <c r="AU174" i="5"/>
  <c r="AV174" i="5"/>
  <c r="AW174" i="5"/>
  <c r="AX174" i="5"/>
  <c r="AY174" i="5"/>
  <c r="O175" i="5"/>
  <c r="P175" i="5"/>
  <c r="Q175" i="5"/>
  <c r="R175" i="5"/>
  <c r="S175" i="5"/>
  <c r="T175" i="5"/>
  <c r="U175" i="5"/>
  <c r="V175" i="5"/>
  <c r="W175" i="5"/>
  <c r="X175" i="5"/>
  <c r="Y175" i="5"/>
  <c r="Z175" i="5"/>
  <c r="AA175" i="5"/>
  <c r="AB175" i="5"/>
  <c r="AC175" i="5"/>
  <c r="AD175" i="5"/>
  <c r="AE175" i="5"/>
  <c r="AF175" i="5"/>
  <c r="AG175" i="5"/>
  <c r="AH175" i="5"/>
  <c r="AI175" i="5"/>
  <c r="AJ175" i="5"/>
  <c r="AK175" i="5"/>
  <c r="AL175" i="5"/>
  <c r="AM175" i="5"/>
  <c r="AN175" i="5"/>
  <c r="AO175" i="5"/>
  <c r="AP175" i="5"/>
  <c r="AQ175" i="5"/>
  <c r="AR175" i="5"/>
  <c r="AS175" i="5"/>
  <c r="AT175" i="5"/>
  <c r="AU175" i="5"/>
  <c r="AV175" i="5"/>
  <c r="AW175" i="5"/>
  <c r="AX175" i="5"/>
  <c r="AY175" i="5"/>
  <c r="O176" i="5"/>
  <c r="P176" i="5"/>
  <c r="Q176" i="5"/>
  <c r="R176" i="5"/>
  <c r="S176" i="5"/>
  <c r="T176" i="5"/>
  <c r="U176" i="5"/>
  <c r="V176" i="5"/>
  <c r="W176" i="5"/>
  <c r="X176" i="5"/>
  <c r="Y176" i="5"/>
  <c r="Z176" i="5"/>
  <c r="AA176" i="5"/>
  <c r="AB176" i="5"/>
  <c r="AC176" i="5"/>
  <c r="AD176" i="5"/>
  <c r="AE176" i="5"/>
  <c r="AF176" i="5"/>
  <c r="AG176" i="5"/>
  <c r="AH176" i="5"/>
  <c r="AI176" i="5"/>
  <c r="AJ176" i="5"/>
  <c r="AK176" i="5"/>
  <c r="AL176" i="5"/>
  <c r="AM176" i="5"/>
  <c r="AN176" i="5"/>
  <c r="AO176" i="5"/>
  <c r="AP176" i="5"/>
  <c r="AQ176" i="5"/>
  <c r="AR176" i="5"/>
  <c r="AS176" i="5"/>
  <c r="AT176" i="5"/>
  <c r="AU176" i="5"/>
  <c r="AV176" i="5"/>
  <c r="AW176" i="5"/>
  <c r="AX176" i="5"/>
  <c r="AY176" i="5"/>
  <c r="O177" i="5"/>
  <c r="P177" i="5"/>
  <c r="Q177" i="5"/>
  <c r="C177" i="5"/>
  <c r="R177" i="5"/>
  <c r="S177" i="5"/>
  <c r="T177" i="5"/>
  <c r="U177" i="5"/>
  <c r="V177" i="5"/>
  <c r="W177" i="5"/>
  <c r="X177" i="5"/>
  <c r="Y177" i="5"/>
  <c r="Z177" i="5"/>
  <c r="AA177" i="5"/>
  <c r="AB177" i="5"/>
  <c r="AC177" i="5"/>
  <c r="AD177" i="5"/>
  <c r="AE177" i="5"/>
  <c r="AF177" i="5"/>
  <c r="AG177" i="5"/>
  <c r="AH177" i="5"/>
  <c r="AI177" i="5"/>
  <c r="AJ177" i="5"/>
  <c r="AK177" i="5"/>
  <c r="AL177" i="5"/>
  <c r="AM177" i="5"/>
  <c r="AN177" i="5"/>
  <c r="AO177" i="5"/>
  <c r="AP177" i="5"/>
  <c r="AQ177" i="5"/>
  <c r="AR177" i="5"/>
  <c r="AS177" i="5"/>
  <c r="AT177" i="5"/>
  <c r="AU177" i="5"/>
  <c r="AV177" i="5"/>
  <c r="AW177" i="5"/>
  <c r="AX177" i="5"/>
  <c r="AY177" i="5"/>
  <c r="O178" i="5"/>
  <c r="P178" i="5"/>
  <c r="Q178" i="5"/>
  <c r="R178" i="5"/>
  <c r="S178" i="5"/>
  <c r="T178" i="5"/>
  <c r="U178" i="5"/>
  <c r="V178" i="5"/>
  <c r="W178" i="5"/>
  <c r="X178" i="5"/>
  <c r="Y178" i="5"/>
  <c r="Z178" i="5"/>
  <c r="AA178" i="5"/>
  <c r="AB178" i="5"/>
  <c r="AC178" i="5"/>
  <c r="AD178" i="5"/>
  <c r="AE178" i="5"/>
  <c r="AF178" i="5"/>
  <c r="AG178" i="5"/>
  <c r="AH178" i="5"/>
  <c r="AI178" i="5"/>
  <c r="AJ178" i="5"/>
  <c r="AK178" i="5"/>
  <c r="AL178" i="5"/>
  <c r="AM178" i="5"/>
  <c r="AN178" i="5"/>
  <c r="AO178" i="5"/>
  <c r="AP178" i="5"/>
  <c r="AQ178" i="5"/>
  <c r="AR178" i="5"/>
  <c r="AS178" i="5"/>
  <c r="AT178" i="5"/>
  <c r="AU178" i="5"/>
  <c r="AV178" i="5"/>
  <c r="AW178" i="5"/>
  <c r="AX178" i="5"/>
  <c r="AY178" i="5"/>
  <c r="O179" i="5"/>
  <c r="P179" i="5"/>
  <c r="Q179" i="5"/>
  <c r="R179" i="5"/>
  <c r="S179" i="5"/>
  <c r="T179" i="5"/>
  <c r="U179" i="5"/>
  <c r="V179" i="5"/>
  <c r="W179" i="5"/>
  <c r="X179" i="5"/>
  <c r="Y179" i="5"/>
  <c r="Z179" i="5"/>
  <c r="AA179" i="5"/>
  <c r="AB179" i="5"/>
  <c r="AC179" i="5"/>
  <c r="AD179" i="5"/>
  <c r="AE179" i="5"/>
  <c r="AF179" i="5"/>
  <c r="AG179" i="5"/>
  <c r="AH179" i="5"/>
  <c r="AI179" i="5"/>
  <c r="AJ179" i="5"/>
  <c r="AK179" i="5"/>
  <c r="AL179" i="5"/>
  <c r="AM179" i="5"/>
  <c r="AN179" i="5"/>
  <c r="AO179" i="5"/>
  <c r="AP179" i="5"/>
  <c r="AQ179" i="5"/>
  <c r="AR179" i="5"/>
  <c r="AS179" i="5"/>
  <c r="AT179" i="5"/>
  <c r="AU179" i="5"/>
  <c r="AV179" i="5"/>
  <c r="AW179" i="5"/>
  <c r="AX179" i="5"/>
  <c r="AY179" i="5"/>
  <c r="O180" i="5"/>
  <c r="P180" i="5"/>
  <c r="Q180" i="5"/>
  <c r="R180" i="5"/>
  <c r="S180" i="5"/>
  <c r="T180" i="5"/>
  <c r="U180" i="5"/>
  <c r="V180" i="5"/>
  <c r="W180" i="5"/>
  <c r="X180" i="5"/>
  <c r="Y180" i="5"/>
  <c r="Z180" i="5"/>
  <c r="AA180" i="5"/>
  <c r="AB180" i="5"/>
  <c r="AC180" i="5"/>
  <c r="AD180" i="5"/>
  <c r="AE180" i="5"/>
  <c r="AF180" i="5"/>
  <c r="AG180" i="5"/>
  <c r="AH180" i="5"/>
  <c r="AI180" i="5"/>
  <c r="AJ180" i="5"/>
  <c r="AK180" i="5"/>
  <c r="AL180" i="5"/>
  <c r="AM180" i="5"/>
  <c r="AN180" i="5"/>
  <c r="AO180" i="5"/>
  <c r="AP180" i="5"/>
  <c r="AQ180" i="5"/>
  <c r="AR180" i="5"/>
  <c r="AS180" i="5"/>
  <c r="AT180" i="5"/>
  <c r="AU180" i="5"/>
  <c r="AV180" i="5"/>
  <c r="AW180" i="5"/>
  <c r="AX180" i="5"/>
  <c r="AY180" i="5"/>
  <c r="O181" i="5"/>
  <c r="P181" i="5"/>
  <c r="Q181" i="5"/>
  <c r="R181" i="5"/>
  <c r="S181" i="5"/>
  <c r="T181" i="5"/>
  <c r="U181" i="5"/>
  <c r="V181" i="5"/>
  <c r="W181" i="5"/>
  <c r="X181" i="5"/>
  <c r="Y181" i="5"/>
  <c r="Z181" i="5"/>
  <c r="AA181" i="5"/>
  <c r="AB181" i="5"/>
  <c r="AC181" i="5"/>
  <c r="AD181" i="5"/>
  <c r="AE181" i="5"/>
  <c r="AF181" i="5"/>
  <c r="AG181" i="5"/>
  <c r="AH181" i="5"/>
  <c r="AI181" i="5"/>
  <c r="AJ181" i="5"/>
  <c r="AK181" i="5"/>
  <c r="AL181" i="5"/>
  <c r="AM181" i="5"/>
  <c r="AN181" i="5"/>
  <c r="AO181" i="5"/>
  <c r="AP181" i="5"/>
  <c r="AQ181" i="5"/>
  <c r="AR181" i="5"/>
  <c r="AS181" i="5"/>
  <c r="AT181" i="5"/>
  <c r="AU181" i="5"/>
  <c r="AV181" i="5"/>
  <c r="AW181" i="5"/>
  <c r="AX181" i="5"/>
  <c r="AY181" i="5"/>
  <c r="O182" i="5"/>
  <c r="P182" i="5"/>
  <c r="Q182" i="5"/>
  <c r="R182" i="5"/>
  <c r="S182" i="5"/>
  <c r="T182" i="5"/>
  <c r="U182" i="5"/>
  <c r="V182" i="5"/>
  <c r="W182" i="5"/>
  <c r="X182" i="5"/>
  <c r="Y182" i="5"/>
  <c r="Z182" i="5"/>
  <c r="AA182" i="5"/>
  <c r="AB182" i="5"/>
  <c r="AC182" i="5"/>
  <c r="AD182" i="5"/>
  <c r="AE182" i="5"/>
  <c r="AF182" i="5"/>
  <c r="AG182" i="5"/>
  <c r="AH182" i="5"/>
  <c r="AI182" i="5"/>
  <c r="AJ182" i="5"/>
  <c r="AK182" i="5"/>
  <c r="AL182" i="5"/>
  <c r="AM182" i="5"/>
  <c r="AN182" i="5"/>
  <c r="AO182" i="5"/>
  <c r="AP182" i="5"/>
  <c r="AQ182" i="5"/>
  <c r="AR182" i="5"/>
  <c r="AS182" i="5"/>
  <c r="AT182" i="5"/>
  <c r="AU182" i="5"/>
  <c r="AV182" i="5"/>
  <c r="AW182" i="5"/>
  <c r="AX182" i="5"/>
  <c r="AY182" i="5"/>
  <c r="O183" i="5"/>
  <c r="P183" i="5"/>
  <c r="Q183" i="5"/>
  <c r="R183" i="5"/>
  <c r="S183" i="5"/>
  <c r="T183" i="5"/>
  <c r="U183" i="5"/>
  <c r="V183" i="5"/>
  <c r="W183" i="5"/>
  <c r="X183" i="5"/>
  <c r="Y183" i="5"/>
  <c r="Z183" i="5"/>
  <c r="AA183" i="5"/>
  <c r="AB183" i="5"/>
  <c r="AC183" i="5"/>
  <c r="AD183" i="5"/>
  <c r="AE183" i="5"/>
  <c r="AF183" i="5"/>
  <c r="AG183" i="5"/>
  <c r="AH183" i="5"/>
  <c r="AI183" i="5"/>
  <c r="AJ183" i="5"/>
  <c r="AK183" i="5"/>
  <c r="AL183" i="5"/>
  <c r="AM183" i="5"/>
  <c r="AN183" i="5"/>
  <c r="AO183" i="5"/>
  <c r="AP183" i="5"/>
  <c r="AQ183" i="5"/>
  <c r="AR183" i="5"/>
  <c r="AS183" i="5"/>
  <c r="AT183" i="5"/>
  <c r="AU183" i="5"/>
  <c r="AV183" i="5"/>
  <c r="AW183" i="5"/>
  <c r="AX183" i="5"/>
  <c r="AY183" i="5"/>
  <c r="O184" i="5"/>
  <c r="P184" i="5"/>
  <c r="Q184" i="5"/>
  <c r="R184" i="5"/>
  <c r="S184" i="5"/>
  <c r="T184" i="5"/>
  <c r="U184" i="5"/>
  <c r="V184" i="5"/>
  <c r="W184" i="5"/>
  <c r="X184" i="5"/>
  <c r="Y184" i="5"/>
  <c r="Z184" i="5"/>
  <c r="AA184" i="5"/>
  <c r="AB184" i="5"/>
  <c r="AC184" i="5"/>
  <c r="AD184" i="5"/>
  <c r="AE184" i="5"/>
  <c r="AF184" i="5"/>
  <c r="AG184" i="5"/>
  <c r="AH184" i="5"/>
  <c r="AI184" i="5"/>
  <c r="AJ184" i="5"/>
  <c r="AK184" i="5"/>
  <c r="AL184" i="5"/>
  <c r="AM184" i="5"/>
  <c r="AN184" i="5"/>
  <c r="AO184" i="5"/>
  <c r="AP184" i="5"/>
  <c r="AQ184" i="5"/>
  <c r="AR184" i="5"/>
  <c r="AS184" i="5"/>
  <c r="AT184" i="5"/>
  <c r="AU184" i="5"/>
  <c r="AV184" i="5"/>
  <c r="AW184" i="5"/>
  <c r="AX184" i="5"/>
  <c r="AY184" i="5"/>
  <c r="O185" i="5"/>
  <c r="P185" i="5"/>
  <c r="Q185" i="5"/>
  <c r="R185" i="5"/>
  <c r="S185" i="5"/>
  <c r="T185" i="5"/>
  <c r="U185" i="5"/>
  <c r="V185" i="5"/>
  <c r="W185" i="5"/>
  <c r="X185" i="5"/>
  <c r="Y185" i="5"/>
  <c r="Z185" i="5"/>
  <c r="AA185" i="5"/>
  <c r="AB185" i="5"/>
  <c r="AC185" i="5"/>
  <c r="AD185" i="5"/>
  <c r="AE185" i="5"/>
  <c r="AF185" i="5"/>
  <c r="AG185" i="5"/>
  <c r="AH185" i="5"/>
  <c r="AI185" i="5"/>
  <c r="AJ185" i="5"/>
  <c r="AK185" i="5"/>
  <c r="AL185" i="5"/>
  <c r="AM185" i="5"/>
  <c r="AN185" i="5"/>
  <c r="AO185" i="5"/>
  <c r="AP185" i="5"/>
  <c r="AQ185" i="5"/>
  <c r="AR185" i="5"/>
  <c r="AS185" i="5"/>
  <c r="AT185" i="5"/>
  <c r="AU185" i="5"/>
  <c r="AV185" i="5"/>
  <c r="AW185" i="5"/>
  <c r="AX185" i="5"/>
  <c r="AY185" i="5"/>
  <c r="O186" i="5"/>
  <c r="P186" i="5"/>
  <c r="Q186" i="5"/>
  <c r="C186" i="5"/>
  <c r="R186" i="5"/>
  <c r="S186" i="5"/>
  <c r="T186" i="5"/>
  <c r="U186" i="5"/>
  <c r="V186" i="5"/>
  <c r="W186" i="5"/>
  <c r="X186" i="5"/>
  <c r="Y186" i="5"/>
  <c r="Z186" i="5"/>
  <c r="AA186" i="5"/>
  <c r="AB186" i="5"/>
  <c r="AC186" i="5"/>
  <c r="AD186" i="5"/>
  <c r="AE186" i="5"/>
  <c r="AF186" i="5"/>
  <c r="AG186" i="5"/>
  <c r="AH186" i="5"/>
  <c r="AI186" i="5"/>
  <c r="AJ186" i="5"/>
  <c r="AK186" i="5"/>
  <c r="AL186" i="5"/>
  <c r="AM186" i="5"/>
  <c r="AN186" i="5"/>
  <c r="AO186" i="5"/>
  <c r="AP186" i="5"/>
  <c r="AQ186" i="5"/>
  <c r="AR186" i="5"/>
  <c r="AS186" i="5"/>
  <c r="AT186" i="5"/>
  <c r="AU186" i="5"/>
  <c r="AV186" i="5"/>
  <c r="AW186" i="5"/>
  <c r="AX186" i="5"/>
  <c r="AY186" i="5"/>
  <c r="O187" i="5"/>
  <c r="P187" i="5"/>
  <c r="Q187" i="5"/>
  <c r="R187" i="5"/>
  <c r="S187" i="5"/>
  <c r="T187" i="5"/>
  <c r="U187" i="5"/>
  <c r="V187" i="5"/>
  <c r="W187" i="5"/>
  <c r="X187" i="5"/>
  <c r="Y187" i="5"/>
  <c r="Z187" i="5"/>
  <c r="AA187" i="5"/>
  <c r="AB187" i="5"/>
  <c r="AC187" i="5"/>
  <c r="AD187" i="5"/>
  <c r="AE187" i="5"/>
  <c r="AF187" i="5"/>
  <c r="AG187" i="5"/>
  <c r="AH187" i="5"/>
  <c r="AI187" i="5"/>
  <c r="AJ187" i="5"/>
  <c r="AK187" i="5"/>
  <c r="AL187" i="5"/>
  <c r="AM187" i="5"/>
  <c r="AN187" i="5"/>
  <c r="AO187" i="5"/>
  <c r="AP187" i="5"/>
  <c r="AQ187" i="5"/>
  <c r="AR187" i="5"/>
  <c r="AS187" i="5"/>
  <c r="AT187" i="5"/>
  <c r="AU187" i="5"/>
  <c r="AV187" i="5"/>
  <c r="AW187" i="5"/>
  <c r="AX187" i="5"/>
  <c r="AY187" i="5"/>
  <c r="O188" i="5"/>
  <c r="P188" i="5"/>
  <c r="Q188" i="5"/>
  <c r="R188" i="5"/>
  <c r="S188" i="5"/>
  <c r="T188" i="5"/>
  <c r="U188" i="5"/>
  <c r="V188" i="5"/>
  <c r="W188" i="5"/>
  <c r="X188" i="5"/>
  <c r="Y188" i="5"/>
  <c r="Z188" i="5"/>
  <c r="AA188" i="5"/>
  <c r="AB188" i="5"/>
  <c r="AC188" i="5"/>
  <c r="AD188" i="5"/>
  <c r="AE188" i="5"/>
  <c r="AF188" i="5"/>
  <c r="AG188" i="5"/>
  <c r="AH188" i="5"/>
  <c r="AI188" i="5"/>
  <c r="AJ188" i="5"/>
  <c r="AK188" i="5"/>
  <c r="AL188" i="5"/>
  <c r="AM188" i="5"/>
  <c r="AN188" i="5"/>
  <c r="AO188" i="5"/>
  <c r="AP188" i="5"/>
  <c r="AQ188" i="5"/>
  <c r="AR188" i="5"/>
  <c r="AS188" i="5"/>
  <c r="AT188" i="5"/>
  <c r="AU188" i="5"/>
  <c r="AV188" i="5"/>
  <c r="AW188" i="5"/>
  <c r="AX188" i="5"/>
  <c r="AY188" i="5"/>
  <c r="O189" i="5"/>
  <c r="K189" i="5" s="1"/>
  <c r="L189" i="5" s="1"/>
  <c r="P189" i="5"/>
  <c r="Q189" i="5"/>
  <c r="R189" i="5"/>
  <c r="S189" i="5"/>
  <c r="T189" i="5"/>
  <c r="U189" i="5"/>
  <c r="V189" i="5"/>
  <c r="W189" i="5"/>
  <c r="X189" i="5"/>
  <c r="Y189" i="5"/>
  <c r="Z189" i="5"/>
  <c r="AA189" i="5"/>
  <c r="AB189" i="5"/>
  <c r="AC189" i="5"/>
  <c r="AD189" i="5"/>
  <c r="AE189" i="5"/>
  <c r="AF189" i="5"/>
  <c r="AG189" i="5"/>
  <c r="AH189" i="5"/>
  <c r="AI189" i="5"/>
  <c r="AJ189" i="5"/>
  <c r="AK189" i="5"/>
  <c r="AL189" i="5"/>
  <c r="AM189" i="5"/>
  <c r="AN189" i="5"/>
  <c r="AO189" i="5"/>
  <c r="AP189" i="5"/>
  <c r="AQ189" i="5"/>
  <c r="AR189" i="5"/>
  <c r="AS189" i="5"/>
  <c r="AT189" i="5"/>
  <c r="AU189" i="5"/>
  <c r="AV189" i="5"/>
  <c r="AW189" i="5"/>
  <c r="AX189" i="5"/>
  <c r="AY189" i="5"/>
  <c r="O190" i="5"/>
  <c r="P190" i="5"/>
  <c r="Q190" i="5"/>
  <c r="R190" i="5"/>
  <c r="S190" i="5"/>
  <c r="T190" i="5"/>
  <c r="U190" i="5"/>
  <c r="V190" i="5"/>
  <c r="W190" i="5"/>
  <c r="X190" i="5"/>
  <c r="Y190" i="5"/>
  <c r="Z190" i="5"/>
  <c r="AA190" i="5"/>
  <c r="AB190" i="5"/>
  <c r="AC190" i="5"/>
  <c r="AD190" i="5"/>
  <c r="AE190" i="5"/>
  <c r="AF190" i="5"/>
  <c r="AG190" i="5"/>
  <c r="AH190" i="5"/>
  <c r="AI190" i="5"/>
  <c r="AJ190" i="5"/>
  <c r="AK190" i="5"/>
  <c r="AL190" i="5"/>
  <c r="AM190" i="5"/>
  <c r="AN190" i="5"/>
  <c r="AO190" i="5"/>
  <c r="AP190" i="5"/>
  <c r="AQ190" i="5"/>
  <c r="AR190" i="5"/>
  <c r="AS190" i="5"/>
  <c r="AT190" i="5"/>
  <c r="AU190" i="5"/>
  <c r="AV190" i="5"/>
  <c r="AW190" i="5"/>
  <c r="AX190" i="5"/>
  <c r="AY190" i="5"/>
  <c r="O191" i="5"/>
  <c r="B191" i="5" s="1"/>
  <c r="P191" i="5"/>
  <c r="Q191" i="5"/>
  <c r="R191" i="5"/>
  <c r="S191" i="5"/>
  <c r="T191" i="5"/>
  <c r="U191" i="5"/>
  <c r="V191" i="5"/>
  <c r="W191" i="5"/>
  <c r="X191" i="5"/>
  <c r="Y191" i="5"/>
  <c r="Z191" i="5"/>
  <c r="AA191" i="5"/>
  <c r="AB191" i="5"/>
  <c r="AC191" i="5"/>
  <c r="AD191" i="5"/>
  <c r="AE191" i="5"/>
  <c r="AF191" i="5"/>
  <c r="AG191" i="5"/>
  <c r="AH191" i="5"/>
  <c r="AI191" i="5"/>
  <c r="AJ191" i="5"/>
  <c r="AK191" i="5"/>
  <c r="AL191" i="5"/>
  <c r="AM191" i="5"/>
  <c r="AN191" i="5"/>
  <c r="AO191" i="5"/>
  <c r="AP191" i="5"/>
  <c r="AQ191" i="5"/>
  <c r="AR191" i="5"/>
  <c r="AS191" i="5"/>
  <c r="AT191" i="5"/>
  <c r="AU191" i="5"/>
  <c r="AV191" i="5"/>
  <c r="AW191" i="5"/>
  <c r="AX191" i="5"/>
  <c r="AY191" i="5"/>
  <c r="O192" i="5"/>
  <c r="P192" i="5"/>
  <c r="Q192" i="5"/>
  <c r="R192" i="5"/>
  <c r="S192" i="5"/>
  <c r="T192" i="5"/>
  <c r="U192" i="5"/>
  <c r="V192" i="5"/>
  <c r="W192" i="5"/>
  <c r="X192" i="5"/>
  <c r="Y192" i="5"/>
  <c r="Z192" i="5"/>
  <c r="AA192" i="5"/>
  <c r="AB192" i="5"/>
  <c r="AC192" i="5"/>
  <c r="AD192" i="5"/>
  <c r="AE192" i="5"/>
  <c r="AF192" i="5"/>
  <c r="AG192" i="5"/>
  <c r="AH192" i="5"/>
  <c r="AI192" i="5"/>
  <c r="AJ192" i="5"/>
  <c r="AK192" i="5"/>
  <c r="AL192" i="5"/>
  <c r="AM192" i="5"/>
  <c r="AN192" i="5"/>
  <c r="AO192" i="5"/>
  <c r="AP192" i="5"/>
  <c r="AQ192" i="5"/>
  <c r="AR192" i="5"/>
  <c r="AS192" i="5"/>
  <c r="AT192" i="5"/>
  <c r="AU192" i="5"/>
  <c r="AV192" i="5"/>
  <c r="AW192" i="5"/>
  <c r="AX192" i="5"/>
  <c r="AY192" i="5"/>
  <c r="O193" i="5"/>
  <c r="P193" i="5"/>
  <c r="Q193" i="5"/>
  <c r="R193" i="5"/>
  <c r="S193" i="5"/>
  <c r="T193" i="5"/>
  <c r="U193" i="5"/>
  <c r="V193" i="5"/>
  <c r="W193" i="5"/>
  <c r="X193" i="5"/>
  <c r="Y193" i="5"/>
  <c r="Z193" i="5"/>
  <c r="AA193" i="5"/>
  <c r="AB193" i="5"/>
  <c r="AC193" i="5"/>
  <c r="AD193" i="5"/>
  <c r="AE193" i="5"/>
  <c r="AF193" i="5"/>
  <c r="AG193" i="5"/>
  <c r="AH193" i="5"/>
  <c r="AI193" i="5"/>
  <c r="AJ193" i="5"/>
  <c r="AK193" i="5"/>
  <c r="AL193" i="5"/>
  <c r="AM193" i="5"/>
  <c r="AN193" i="5"/>
  <c r="AO193" i="5"/>
  <c r="AP193" i="5"/>
  <c r="AQ193" i="5"/>
  <c r="AR193" i="5"/>
  <c r="AS193" i="5"/>
  <c r="AT193" i="5"/>
  <c r="AU193" i="5"/>
  <c r="AV193" i="5"/>
  <c r="AW193" i="5"/>
  <c r="AX193" i="5"/>
  <c r="AY193" i="5"/>
  <c r="O194" i="5"/>
  <c r="P194" i="5"/>
  <c r="Q194" i="5"/>
  <c r="R194" i="5"/>
  <c r="S194" i="5"/>
  <c r="T194" i="5"/>
  <c r="U194" i="5"/>
  <c r="V194" i="5"/>
  <c r="W194" i="5"/>
  <c r="X194" i="5"/>
  <c r="Y194" i="5"/>
  <c r="Z194" i="5"/>
  <c r="AA194" i="5"/>
  <c r="AB194" i="5"/>
  <c r="AC194" i="5"/>
  <c r="AD194" i="5"/>
  <c r="AE194" i="5"/>
  <c r="AF194" i="5"/>
  <c r="AG194" i="5"/>
  <c r="AH194" i="5"/>
  <c r="AI194" i="5"/>
  <c r="AJ194" i="5"/>
  <c r="AK194" i="5"/>
  <c r="AL194" i="5"/>
  <c r="AM194" i="5"/>
  <c r="AN194" i="5"/>
  <c r="AO194" i="5"/>
  <c r="AP194" i="5"/>
  <c r="AQ194" i="5"/>
  <c r="AR194" i="5"/>
  <c r="AS194" i="5"/>
  <c r="AT194" i="5"/>
  <c r="AU194" i="5"/>
  <c r="AV194" i="5"/>
  <c r="AW194" i="5"/>
  <c r="AX194" i="5"/>
  <c r="AY194" i="5"/>
  <c r="O195" i="5"/>
  <c r="C195" i="5" s="1"/>
  <c r="P195" i="5"/>
  <c r="Q195" i="5"/>
  <c r="R195" i="5"/>
  <c r="S195" i="5"/>
  <c r="T195" i="5"/>
  <c r="U195" i="5"/>
  <c r="V195" i="5"/>
  <c r="W195" i="5"/>
  <c r="X195" i="5"/>
  <c r="Y195" i="5"/>
  <c r="Z195" i="5"/>
  <c r="AA195" i="5"/>
  <c r="AB195" i="5"/>
  <c r="AC195" i="5"/>
  <c r="AD195" i="5"/>
  <c r="AE195" i="5"/>
  <c r="AF195" i="5"/>
  <c r="AG195" i="5"/>
  <c r="AH195" i="5"/>
  <c r="AI195" i="5"/>
  <c r="AJ195" i="5"/>
  <c r="AK195" i="5"/>
  <c r="AL195" i="5"/>
  <c r="AM195" i="5"/>
  <c r="AN195" i="5"/>
  <c r="AO195" i="5"/>
  <c r="AP195" i="5"/>
  <c r="AQ195" i="5"/>
  <c r="AR195" i="5"/>
  <c r="AS195" i="5"/>
  <c r="AT195" i="5"/>
  <c r="AU195" i="5"/>
  <c r="AV195" i="5"/>
  <c r="AW195" i="5"/>
  <c r="AX195" i="5"/>
  <c r="AY195" i="5"/>
  <c r="O196" i="5"/>
  <c r="P196" i="5"/>
  <c r="Q196" i="5"/>
  <c r="C196" i="5" s="1"/>
  <c r="R196" i="5"/>
  <c r="S196" i="5"/>
  <c r="T196" i="5"/>
  <c r="U196" i="5"/>
  <c r="V196" i="5"/>
  <c r="W196" i="5"/>
  <c r="X196" i="5"/>
  <c r="Y196" i="5"/>
  <c r="Z196" i="5"/>
  <c r="AA196" i="5"/>
  <c r="AB196" i="5"/>
  <c r="AC196" i="5"/>
  <c r="AD196" i="5"/>
  <c r="AE196" i="5"/>
  <c r="AF196" i="5"/>
  <c r="AG196" i="5"/>
  <c r="AH196" i="5"/>
  <c r="AI196" i="5"/>
  <c r="AJ196" i="5"/>
  <c r="AK196" i="5"/>
  <c r="AL196" i="5"/>
  <c r="AM196" i="5"/>
  <c r="AN196" i="5"/>
  <c r="AO196" i="5"/>
  <c r="AP196" i="5"/>
  <c r="AQ196" i="5"/>
  <c r="AR196" i="5"/>
  <c r="AS196" i="5"/>
  <c r="AT196" i="5"/>
  <c r="AU196" i="5"/>
  <c r="AV196" i="5"/>
  <c r="AW196" i="5"/>
  <c r="AX196" i="5"/>
  <c r="AY196" i="5"/>
  <c r="O197" i="5"/>
  <c r="P197" i="5"/>
  <c r="Q197" i="5"/>
  <c r="R197" i="5"/>
  <c r="S197" i="5"/>
  <c r="T197" i="5"/>
  <c r="U197" i="5"/>
  <c r="V197" i="5"/>
  <c r="W197" i="5"/>
  <c r="X197" i="5"/>
  <c r="Y197" i="5"/>
  <c r="Z197" i="5"/>
  <c r="AA197" i="5"/>
  <c r="AB197" i="5"/>
  <c r="AC197" i="5"/>
  <c r="AD197" i="5"/>
  <c r="AE197" i="5"/>
  <c r="AF197" i="5"/>
  <c r="AG197" i="5"/>
  <c r="AH197" i="5"/>
  <c r="AI197" i="5"/>
  <c r="AJ197" i="5"/>
  <c r="AK197" i="5"/>
  <c r="AL197" i="5"/>
  <c r="AM197" i="5"/>
  <c r="AN197" i="5"/>
  <c r="AO197" i="5"/>
  <c r="AP197" i="5"/>
  <c r="AQ197" i="5"/>
  <c r="AR197" i="5"/>
  <c r="AS197" i="5"/>
  <c r="AT197" i="5"/>
  <c r="AU197" i="5"/>
  <c r="AV197" i="5"/>
  <c r="AW197" i="5"/>
  <c r="AX197" i="5"/>
  <c r="AY197" i="5"/>
  <c r="O198" i="5"/>
  <c r="P198" i="5"/>
  <c r="Q198" i="5"/>
  <c r="R198" i="5"/>
  <c r="S198" i="5"/>
  <c r="T198" i="5"/>
  <c r="U198" i="5"/>
  <c r="V198" i="5"/>
  <c r="W198" i="5"/>
  <c r="X198" i="5"/>
  <c r="Y198" i="5"/>
  <c r="Z198" i="5"/>
  <c r="AA198" i="5"/>
  <c r="AB198" i="5"/>
  <c r="AC198" i="5"/>
  <c r="AD198" i="5"/>
  <c r="AE198" i="5"/>
  <c r="AF198" i="5"/>
  <c r="AG198" i="5"/>
  <c r="AH198" i="5"/>
  <c r="AI198" i="5"/>
  <c r="AJ198" i="5"/>
  <c r="AK198" i="5"/>
  <c r="AL198" i="5"/>
  <c r="AM198" i="5"/>
  <c r="AN198" i="5"/>
  <c r="AO198" i="5"/>
  <c r="AP198" i="5"/>
  <c r="AQ198" i="5"/>
  <c r="AR198" i="5"/>
  <c r="AS198" i="5"/>
  <c r="AT198" i="5"/>
  <c r="AU198" i="5"/>
  <c r="AV198" i="5"/>
  <c r="AW198" i="5"/>
  <c r="AX198" i="5"/>
  <c r="AY198" i="5"/>
  <c r="O199" i="5"/>
  <c r="P199" i="5"/>
  <c r="Q199" i="5"/>
  <c r="R199" i="5"/>
  <c r="S199" i="5"/>
  <c r="T199" i="5"/>
  <c r="U199" i="5"/>
  <c r="V199" i="5"/>
  <c r="W199" i="5"/>
  <c r="X199" i="5"/>
  <c r="Y199" i="5"/>
  <c r="Z199" i="5"/>
  <c r="AA199" i="5"/>
  <c r="AB199" i="5"/>
  <c r="AC199" i="5"/>
  <c r="AD199" i="5"/>
  <c r="AE199" i="5"/>
  <c r="AF199" i="5"/>
  <c r="AG199" i="5"/>
  <c r="AH199" i="5"/>
  <c r="AI199" i="5"/>
  <c r="AJ199" i="5"/>
  <c r="AK199" i="5"/>
  <c r="AL199" i="5"/>
  <c r="AM199" i="5"/>
  <c r="AN199" i="5"/>
  <c r="AO199" i="5"/>
  <c r="AP199" i="5"/>
  <c r="AQ199" i="5"/>
  <c r="AR199" i="5"/>
  <c r="AS199" i="5"/>
  <c r="AT199" i="5"/>
  <c r="AU199" i="5"/>
  <c r="AV199" i="5"/>
  <c r="AW199" i="5"/>
  <c r="AX199" i="5"/>
  <c r="AY199" i="5"/>
  <c r="O200" i="5"/>
  <c r="P200" i="5"/>
  <c r="Q200" i="5"/>
  <c r="R200" i="5"/>
  <c r="S200" i="5"/>
  <c r="T200" i="5"/>
  <c r="U200" i="5"/>
  <c r="V200" i="5"/>
  <c r="W200" i="5"/>
  <c r="X200" i="5"/>
  <c r="Y200" i="5"/>
  <c r="Z200" i="5"/>
  <c r="AA200" i="5"/>
  <c r="AB200" i="5"/>
  <c r="AC200" i="5"/>
  <c r="AD200" i="5"/>
  <c r="AE200" i="5"/>
  <c r="AF200" i="5"/>
  <c r="AG200" i="5"/>
  <c r="AH200" i="5"/>
  <c r="AI200" i="5"/>
  <c r="AJ200" i="5"/>
  <c r="AK200" i="5"/>
  <c r="AL200" i="5"/>
  <c r="AM200" i="5"/>
  <c r="AN200" i="5"/>
  <c r="AO200" i="5"/>
  <c r="AP200" i="5"/>
  <c r="AQ200" i="5"/>
  <c r="AR200" i="5"/>
  <c r="AS200" i="5"/>
  <c r="AT200" i="5"/>
  <c r="AU200" i="5"/>
  <c r="AV200" i="5"/>
  <c r="AW200" i="5"/>
  <c r="AX200" i="5"/>
  <c r="AY200" i="5"/>
  <c r="O201" i="5"/>
  <c r="B201" i="5" s="1"/>
  <c r="P201" i="5"/>
  <c r="Q201" i="5"/>
  <c r="R201" i="5"/>
  <c r="S201" i="5"/>
  <c r="T201" i="5"/>
  <c r="U201" i="5"/>
  <c r="V201" i="5"/>
  <c r="W201" i="5"/>
  <c r="X201" i="5"/>
  <c r="Y201" i="5"/>
  <c r="Z201" i="5"/>
  <c r="AA201" i="5"/>
  <c r="AB201" i="5"/>
  <c r="AC201" i="5"/>
  <c r="AD201" i="5"/>
  <c r="AE201" i="5"/>
  <c r="AF201" i="5"/>
  <c r="AG201" i="5"/>
  <c r="AH201" i="5"/>
  <c r="AI201" i="5"/>
  <c r="AJ201" i="5"/>
  <c r="AK201" i="5"/>
  <c r="AL201" i="5"/>
  <c r="AM201" i="5"/>
  <c r="AN201" i="5"/>
  <c r="AO201" i="5"/>
  <c r="AP201" i="5"/>
  <c r="AQ201" i="5"/>
  <c r="AR201" i="5"/>
  <c r="AS201" i="5"/>
  <c r="AT201" i="5"/>
  <c r="AU201" i="5"/>
  <c r="AV201" i="5"/>
  <c r="AW201" i="5"/>
  <c r="AX201" i="5"/>
  <c r="AY201" i="5"/>
  <c r="O202" i="5"/>
  <c r="P202" i="5"/>
  <c r="Q202" i="5"/>
  <c r="R202" i="5"/>
  <c r="S202" i="5"/>
  <c r="T202" i="5"/>
  <c r="U202" i="5"/>
  <c r="V202" i="5"/>
  <c r="W202" i="5"/>
  <c r="X202" i="5"/>
  <c r="Y202" i="5"/>
  <c r="Z202" i="5"/>
  <c r="AA202" i="5"/>
  <c r="AB202" i="5"/>
  <c r="AC202" i="5"/>
  <c r="AD202" i="5"/>
  <c r="AE202" i="5"/>
  <c r="AF202" i="5"/>
  <c r="AG202" i="5"/>
  <c r="AH202" i="5"/>
  <c r="AI202" i="5"/>
  <c r="AJ202" i="5"/>
  <c r="AK202" i="5"/>
  <c r="AL202" i="5"/>
  <c r="AM202" i="5"/>
  <c r="AN202" i="5"/>
  <c r="AO202" i="5"/>
  <c r="AP202" i="5"/>
  <c r="AQ202" i="5"/>
  <c r="AR202" i="5"/>
  <c r="AS202" i="5"/>
  <c r="AT202" i="5"/>
  <c r="AU202" i="5"/>
  <c r="AV202" i="5"/>
  <c r="AW202" i="5"/>
  <c r="AX202" i="5"/>
  <c r="AY202" i="5"/>
  <c r="O203" i="5"/>
  <c r="P203" i="5"/>
  <c r="Q203" i="5"/>
  <c r="R203" i="5"/>
  <c r="S203" i="5"/>
  <c r="T203" i="5"/>
  <c r="U203" i="5"/>
  <c r="V203" i="5"/>
  <c r="W203" i="5"/>
  <c r="X203" i="5"/>
  <c r="Y203" i="5"/>
  <c r="Z203" i="5"/>
  <c r="AA203" i="5"/>
  <c r="AB203" i="5"/>
  <c r="AC203" i="5"/>
  <c r="AD203" i="5"/>
  <c r="AE203" i="5"/>
  <c r="AF203" i="5"/>
  <c r="AG203" i="5"/>
  <c r="AH203" i="5"/>
  <c r="AI203" i="5"/>
  <c r="AJ203" i="5"/>
  <c r="AK203" i="5"/>
  <c r="AL203" i="5"/>
  <c r="AM203" i="5"/>
  <c r="AN203" i="5"/>
  <c r="AO203" i="5"/>
  <c r="AP203" i="5"/>
  <c r="AQ203" i="5"/>
  <c r="AR203" i="5"/>
  <c r="AS203" i="5"/>
  <c r="AT203" i="5"/>
  <c r="AU203" i="5"/>
  <c r="AV203" i="5"/>
  <c r="AW203" i="5"/>
  <c r="AX203" i="5"/>
  <c r="AY203" i="5"/>
  <c r="O204" i="5"/>
  <c r="P204" i="5"/>
  <c r="Q204" i="5"/>
  <c r="R204" i="5"/>
  <c r="S204" i="5"/>
  <c r="T204" i="5"/>
  <c r="U204" i="5"/>
  <c r="V204" i="5"/>
  <c r="W204" i="5"/>
  <c r="X204" i="5"/>
  <c r="Y204" i="5"/>
  <c r="Z204" i="5"/>
  <c r="AA204" i="5"/>
  <c r="AB204" i="5"/>
  <c r="AC204" i="5"/>
  <c r="AD204" i="5"/>
  <c r="AE204" i="5"/>
  <c r="AF204" i="5"/>
  <c r="AG204" i="5"/>
  <c r="AH204" i="5"/>
  <c r="AI204" i="5"/>
  <c r="AJ204" i="5"/>
  <c r="AK204" i="5"/>
  <c r="AL204" i="5"/>
  <c r="AM204" i="5"/>
  <c r="AN204" i="5"/>
  <c r="AO204" i="5"/>
  <c r="AP204" i="5"/>
  <c r="AQ204" i="5"/>
  <c r="AR204" i="5"/>
  <c r="AS204" i="5"/>
  <c r="AT204" i="5"/>
  <c r="AU204" i="5"/>
  <c r="AV204" i="5"/>
  <c r="AW204" i="5"/>
  <c r="AX204" i="5"/>
  <c r="AY204" i="5"/>
  <c r="O205" i="5"/>
  <c r="B205" i="5"/>
  <c r="P205" i="5"/>
  <c r="Q205" i="5"/>
  <c r="R205" i="5"/>
  <c r="S205" i="5"/>
  <c r="T205" i="5"/>
  <c r="U205" i="5"/>
  <c r="V205" i="5"/>
  <c r="W205" i="5"/>
  <c r="X205" i="5"/>
  <c r="Y205" i="5"/>
  <c r="Z205" i="5"/>
  <c r="AA205" i="5"/>
  <c r="AB205" i="5"/>
  <c r="AC205" i="5"/>
  <c r="AD205" i="5"/>
  <c r="AE205" i="5"/>
  <c r="AF205" i="5"/>
  <c r="AG205" i="5"/>
  <c r="AH205" i="5"/>
  <c r="AI205" i="5"/>
  <c r="AJ205" i="5"/>
  <c r="AK205" i="5"/>
  <c r="AL205" i="5"/>
  <c r="AM205" i="5"/>
  <c r="AN205" i="5"/>
  <c r="AO205" i="5"/>
  <c r="AP205" i="5"/>
  <c r="AQ205" i="5"/>
  <c r="AR205" i="5"/>
  <c r="AS205" i="5"/>
  <c r="AT205" i="5"/>
  <c r="AU205" i="5"/>
  <c r="AV205" i="5"/>
  <c r="AW205" i="5"/>
  <c r="AX205" i="5"/>
  <c r="AY205" i="5"/>
  <c r="O206" i="5"/>
  <c r="P206" i="5"/>
  <c r="Q206" i="5"/>
  <c r="R206" i="5"/>
  <c r="S206" i="5"/>
  <c r="T206" i="5"/>
  <c r="U206" i="5"/>
  <c r="V206" i="5"/>
  <c r="W206" i="5"/>
  <c r="X206" i="5"/>
  <c r="Y206" i="5"/>
  <c r="Z206" i="5"/>
  <c r="AA206" i="5"/>
  <c r="AB206" i="5"/>
  <c r="AC206" i="5"/>
  <c r="AD206" i="5"/>
  <c r="AE206" i="5"/>
  <c r="AF206" i="5"/>
  <c r="AG206" i="5"/>
  <c r="AH206" i="5"/>
  <c r="AI206" i="5"/>
  <c r="AJ206" i="5"/>
  <c r="AK206" i="5"/>
  <c r="AL206" i="5"/>
  <c r="AM206" i="5"/>
  <c r="AN206" i="5"/>
  <c r="AO206" i="5"/>
  <c r="AP206" i="5"/>
  <c r="AQ206" i="5"/>
  <c r="AR206" i="5"/>
  <c r="AS206" i="5"/>
  <c r="AT206" i="5"/>
  <c r="AU206" i="5"/>
  <c r="AV206" i="5"/>
  <c r="AW206" i="5"/>
  <c r="AX206" i="5"/>
  <c r="AY206" i="5"/>
  <c r="O207" i="5"/>
  <c r="P207" i="5"/>
  <c r="Q207" i="5"/>
  <c r="R207" i="5"/>
  <c r="S207" i="5"/>
  <c r="T207" i="5"/>
  <c r="U207" i="5"/>
  <c r="V207" i="5"/>
  <c r="W207" i="5"/>
  <c r="X207" i="5"/>
  <c r="Y207" i="5"/>
  <c r="Z207" i="5"/>
  <c r="AA207" i="5"/>
  <c r="AB207" i="5"/>
  <c r="AC207" i="5"/>
  <c r="AD207" i="5"/>
  <c r="AE207" i="5"/>
  <c r="AF207" i="5"/>
  <c r="AG207" i="5"/>
  <c r="AH207" i="5"/>
  <c r="AI207" i="5"/>
  <c r="AJ207" i="5"/>
  <c r="AK207" i="5"/>
  <c r="AL207" i="5"/>
  <c r="AM207" i="5"/>
  <c r="AN207" i="5"/>
  <c r="AO207" i="5"/>
  <c r="AP207" i="5"/>
  <c r="AQ207" i="5"/>
  <c r="AR207" i="5"/>
  <c r="AS207" i="5"/>
  <c r="AT207" i="5"/>
  <c r="AU207" i="5"/>
  <c r="AV207" i="5"/>
  <c r="AW207" i="5"/>
  <c r="AX207" i="5"/>
  <c r="AY207" i="5"/>
  <c r="O208" i="5"/>
  <c r="P208" i="5"/>
  <c r="Q208" i="5"/>
  <c r="R208" i="5"/>
  <c r="S208" i="5"/>
  <c r="T208" i="5"/>
  <c r="U208" i="5"/>
  <c r="V208" i="5"/>
  <c r="W208" i="5"/>
  <c r="X208" i="5"/>
  <c r="Y208" i="5"/>
  <c r="Z208" i="5"/>
  <c r="AA208" i="5"/>
  <c r="AB208" i="5"/>
  <c r="AC208" i="5"/>
  <c r="AD208" i="5"/>
  <c r="AE208" i="5"/>
  <c r="AF208" i="5"/>
  <c r="AG208" i="5"/>
  <c r="AH208" i="5"/>
  <c r="AI208" i="5"/>
  <c r="AJ208" i="5"/>
  <c r="AK208" i="5"/>
  <c r="AL208" i="5"/>
  <c r="AM208" i="5"/>
  <c r="AN208" i="5"/>
  <c r="AO208" i="5"/>
  <c r="AP208" i="5"/>
  <c r="AQ208" i="5"/>
  <c r="AR208" i="5"/>
  <c r="AS208" i="5"/>
  <c r="AT208" i="5"/>
  <c r="AU208" i="5"/>
  <c r="AV208" i="5"/>
  <c r="AW208" i="5"/>
  <c r="AX208" i="5"/>
  <c r="AY208" i="5"/>
  <c r="O209" i="5"/>
  <c r="B209" i="5"/>
  <c r="P209" i="5"/>
  <c r="Q209" i="5"/>
  <c r="R209" i="5"/>
  <c r="S209" i="5"/>
  <c r="T209" i="5"/>
  <c r="U209" i="5"/>
  <c r="V209" i="5"/>
  <c r="W209" i="5"/>
  <c r="X209" i="5"/>
  <c r="Y209" i="5"/>
  <c r="Z209" i="5"/>
  <c r="AA209" i="5"/>
  <c r="AB209" i="5"/>
  <c r="AC209" i="5"/>
  <c r="AD209" i="5"/>
  <c r="AE209" i="5"/>
  <c r="AF209" i="5"/>
  <c r="AG209" i="5"/>
  <c r="AH209" i="5"/>
  <c r="AI209" i="5"/>
  <c r="AJ209" i="5"/>
  <c r="AK209" i="5"/>
  <c r="AL209" i="5"/>
  <c r="AM209" i="5"/>
  <c r="AN209" i="5"/>
  <c r="AO209" i="5"/>
  <c r="AP209" i="5"/>
  <c r="AQ209" i="5"/>
  <c r="AR209" i="5"/>
  <c r="AS209" i="5"/>
  <c r="AT209" i="5"/>
  <c r="AU209" i="5"/>
  <c r="AV209" i="5"/>
  <c r="AW209" i="5"/>
  <c r="AX209" i="5"/>
  <c r="AY209" i="5"/>
  <c r="O210" i="5"/>
  <c r="P210" i="5"/>
  <c r="Q210" i="5"/>
  <c r="R210" i="5"/>
  <c r="S210" i="5"/>
  <c r="T210" i="5"/>
  <c r="U210" i="5"/>
  <c r="V210" i="5"/>
  <c r="W210" i="5"/>
  <c r="X210" i="5"/>
  <c r="Y210" i="5"/>
  <c r="Z210" i="5"/>
  <c r="AA210" i="5"/>
  <c r="AB210" i="5"/>
  <c r="AC210" i="5"/>
  <c r="AD210" i="5"/>
  <c r="AE210" i="5"/>
  <c r="AF210" i="5"/>
  <c r="AG210" i="5"/>
  <c r="AH210" i="5"/>
  <c r="AI210" i="5"/>
  <c r="AJ210" i="5"/>
  <c r="AK210" i="5"/>
  <c r="AL210" i="5"/>
  <c r="AM210" i="5"/>
  <c r="AN210" i="5"/>
  <c r="AO210" i="5"/>
  <c r="AP210" i="5"/>
  <c r="AQ210" i="5"/>
  <c r="AR210" i="5"/>
  <c r="AS210" i="5"/>
  <c r="AT210" i="5"/>
  <c r="AU210" i="5"/>
  <c r="AV210" i="5"/>
  <c r="AW210" i="5"/>
  <c r="AX210" i="5"/>
  <c r="AY210" i="5"/>
  <c r="O211" i="5"/>
  <c r="P211" i="5"/>
  <c r="Q211" i="5"/>
  <c r="C211" i="5"/>
  <c r="R211" i="5"/>
  <c r="S211" i="5"/>
  <c r="T211" i="5"/>
  <c r="U211" i="5"/>
  <c r="V211" i="5"/>
  <c r="W211" i="5"/>
  <c r="X211" i="5"/>
  <c r="Y211" i="5"/>
  <c r="Z211" i="5"/>
  <c r="AA211" i="5"/>
  <c r="AB211" i="5"/>
  <c r="AC211" i="5"/>
  <c r="AD211" i="5"/>
  <c r="AE211" i="5"/>
  <c r="AF211" i="5"/>
  <c r="AG211" i="5"/>
  <c r="AH211" i="5"/>
  <c r="AI211" i="5"/>
  <c r="AJ211" i="5"/>
  <c r="AK211" i="5"/>
  <c r="AL211" i="5"/>
  <c r="AM211" i="5"/>
  <c r="AN211" i="5"/>
  <c r="AO211" i="5"/>
  <c r="AP211" i="5"/>
  <c r="AQ211" i="5"/>
  <c r="AR211" i="5"/>
  <c r="AS211" i="5"/>
  <c r="AT211" i="5"/>
  <c r="AU211" i="5"/>
  <c r="AV211" i="5"/>
  <c r="AW211" i="5"/>
  <c r="AX211" i="5"/>
  <c r="AY211" i="5"/>
  <c r="O212" i="5"/>
  <c r="P212" i="5"/>
  <c r="Q212" i="5"/>
  <c r="R212" i="5"/>
  <c r="S212" i="5"/>
  <c r="T212" i="5"/>
  <c r="U212" i="5"/>
  <c r="V212" i="5"/>
  <c r="W212" i="5"/>
  <c r="X212" i="5"/>
  <c r="Y212" i="5"/>
  <c r="Z212" i="5"/>
  <c r="AA212" i="5"/>
  <c r="AB212" i="5"/>
  <c r="AC212" i="5"/>
  <c r="AD212" i="5"/>
  <c r="AE212" i="5"/>
  <c r="AF212" i="5"/>
  <c r="AG212" i="5"/>
  <c r="AH212" i="5"/>
  <c r="AI212" i="5"/>
  <c r="AJ212" i="5"/>
  <c r="AK212" i="5"/>
  <c r="AL212" i="5"/>
  <c r="AM212" i="5"/>
  <c r="AN212" i="5"/>
  <c r="AO212" i="5"/>
  <c r="AP212" i="5"/>
  <c r="AQ212" i="5"/>
  <c r="AR212" i="5"/>
  <c r="AS212" i="5"/>
  <c r="AT212" i="5"/>
  <c r="AU212" i="5"/>
  <c r="AV212" i="5"/>
  <c r="AW212" i="5"/>
  <c r="AX212" i="5"/>
  <c r="AY212" i="5"/>
  <c r="O213" i="5"/>
  <c r="K213" i="5" s="1"/>
  <c r="L213" i="5" s="1"/>
  <c r="P213" i="5"/>
  <c r="Q213" i="5"/>
  <c r="R213" i="5"/>
  <c r="S213" i="5"/>
  <c r="T213" i="5"/>
  <c r="U213" i="5"/>
  <c r="V213" i="5"/>
  <c r="W213" i="5"/>
  <c r="X213" i="5"/>
  <c r="Y213" i="5"/>
  <c r="Z213" i="5"/>
  <c r="AA213" i="5"/>
  <c r="AB213" i="5"/>
  <c r="AC213" i="5"/>
  <c r="AD213" i="5"/>
  <c r="AE213" i="5"/>
  <c r="AF213" i="5"/>
  <c r="AG213" i="5"/>
  <c r="AH213" i="5"/>
  <c r="AI213" i="5"/>
  <c r="AJ213" i="5"/>
  <c r="AK213" i="5"/>
  <c r="AL213" i="5"/>
  <c r="AM213" i="5"/>
  <c r="AN213" i="5"/>
  <c r="AO213" i="5"/>
  <c r="AP213" i="5"/>
  <c r="AQ213" i="5"/>
  <c r="AR213" i="5"/>
  <c r="AS213" i="5"/>
  <c r="AT213" i="5"/>
  <c r="AU213" i="5"/>
  <c r="AV213" i="5"/>
  <c r="AW213" i="5"/>
  <c r="AX213" i="5"/>
  <c r="AY213" i="5"/>
  <c r="O214" i="5"/>
  <c r="P214" i="5"/>
  <c r="Q214" i="5"/>
  <c r="R214" i="5"/>
  <c r="S214" i="5"/>
  <c r="T214" i="5"/>
  <c r="U214" i="5"/>
  <c r="V214" i="5"/>
  <c r="W214" i="5"/>
  <c r="X214" i="5"/>
  <c r="Y214" i="5"/>
  <c r="Z214" i="5"/>
  <c r="AA214" i="5"/>
  <c r="AB214" i="5"/>
  <c r="AC214" i="5"/>
  <c r="AD214" i="5"/>
  <c r="AE214" i="5"/>
  <c r="AF214" i="5"/>
  <c r="AG214" i="5"/>
  <c r="AH214" i="5"/>
  <c r="AI214" i="5"/>
  <c r="AJ214" i="5"/>
  <c r="AK214" i="5"/>
  <c r="AL214" i="5"/>
  <c r="AM214" i="5"/>
  <c r="AN214" i="5"/>
  <c r="AO214" i="5"/>
  <c r="AP214" i="5"/>
  <c r="AQ214" i="5"/>
  <c r="AR214" i="5"/>
  <c r="AS214" i="5"/>
  <c r="AT214" i="5"/>
  <c r="AU214" i="5"/>
  <c r="AV214" i="5"/>
  <c r="AW214" i="5"/>
  <c r="AX214" i="5"/>
  <c r="AY214" i="5"/>
  <c r="O215" i="5"/>
  <c r="P215" i="5"/>
  <c r="Q215" i="5"/>
  <c r="R215" i="5"/>
  <c r="S215" i="5"/>
  <c r="T215" i="5"/>
  <c r="U215" i="5"/>
  <c r="V215" i="5"/>
  <c r="W215" i="5"/>
  <c r="X215" i="5"/>
  <c r="Y215" i="5"/>
  <c r="Z215" i="5"/>
  <c r="AA215" i="5"/>
  <c r="AB215" i="5"/>
  <c r="AC215" i="5"/>
  <c r="AD215" i="5"/>
  <c r="AE215" i="5"/>
  <c r="AF215" i="5"/>
  <c r="AG215" i="5"/>
  <c r="AH215" i="5"/>
  <c r="AI215" i="5"/>
  <c r="AJ215" i="5"/>
  <c r="AK215" i="5"/>
  <c r="AL215" i="5"/>
  <c r="AM215" i="5"/>
  <c r="AN215" i="5"/>
  <c r="AO215" i="5"/>
  <c r="AP215" i="5"/>
  <c r="AQ215" i="5"/>
  <c r="AR215" i="5"/>
  <c r="AS215" i="5"/>
  <c r="AT215" i="5"/>
  <c r="AU215" i="5"/>
  <c r="AV215" i="5"/>
  <c r="AW215" i="5"/>
  <c r="AX215" i="5"/>
  <c r="AY215" i="5"/>
  <c r="O216" i="5"/>
  <c r="C216" i="5"/>
  <c r="P216" i="5"/>
  <c r="Q216" i="5"/>
  <c r="R216" i="5"/>
  <c r="S216" i="5"/>
  <c r="T216" i="5"/>
  <c r="U216" i="5"/>
  <c r="V216" i="5"/>
  <c r="W216" i="5"/>
  <c r="X216" i="5"/>
  <c r="Y216" i="5"/>
  <c r="Z216" i="5"/>
  <c r="AA216" i="5"/>
  <c r="AB216" i="5"/>
  <c r="AC216" i="5"/>
  <c r="AD216" i="5"/>
  <c r="AE216" i="5"/>
  <c r="AF216" i="5"/>
  <c r="AG216" i="5"/>
  <c r="AH216" i="5"/>
  <c r="AI216" i="5"/>
  <c r="AJ216" i="5"/>
  <c r="AK216" i="5"/>
  <c r="AL216" i="5"/>
  <c r="AM216" i="5"/>
  <c r="AN216" i="5"/>
  <c r="AO216" i="5"/>
  <c r="AP216" i="5"/>
  <c r="AQ216" i="5"/>
  <c r="AR216" i="5"/>
  <c r="AS216" i="5"/>
  <c r="AT216" i="5"/>
  <c r="AU216" i="5"/>
  <c r="AV216" i="5"/>
  <c r="AW216" i="5"/>
  <c r="AX216" i="5"/>
  <c r="AY216" i="5"/>
  <c r="O217" i="5"/>
  <c r="P217" i="5"/>
  <c r="Q217" i="5"/>
  <c r="R217" i="5"/>
  <c r="S217" i="5"/>
  <c r="T217" i="5"/>
  <c r="U217" i="5"/>
  <c r="V217" i="5"/>
  <c r="W217" i="5"/>
  <c r="X217" i="5"/>
  <c r="Y217" i="5"/>
  <c r="Z217" i="5"/>
  <c r="AA217" i="5"/>
  <c r="AB217" i="5"/>
  <c r="AC217" i="5"/>
  <c r="AD217" i="5"/>
  <c r="AE217" i="5"/>
  <c r="AF217" i="5"/>
  <c r="AG217" i="5"/>
  <c r="AH217" i="5"/>
  <c r="AI217" i="5"/>
  <c r="AJ217" i="5"/>
  <c r="AK217" i="5"/>
  <c r="AL217" i="5"/>
  <c r="AM217" i="5"/>
  <c r="AN217" i="5"/>
  <c r="AO217" i="5"/>
  <c r="AP217" i="5"/>
  <c r="AQ217" i="5"/>
  <c r="AR217" i="5"/>
  <c r="AS217" i="5"/>
  <c r="AT217" i="5"/>
  <c r="AU217" i="5"/>
  <c r="AV217" i="5"/>
  <c r="AW217" i="5"/>
  <c r="AX217" i="5"/>
  <c r="AY217" i="5"/>
  <c r="O218" i="5"/>
  <c r="C218" i="5" s="1"/>
  <c r="P218" i="5"/>
  <c r="Q218" i="5"/>
  <c r="R218" i="5"/>
  <c r="S218" i="5"/>
  <c r="T218" i="5"/>
  <c r="U218" i="5"/>
  <c r="V218" i="5"/>
  <c r="W218" i="5"/>
  <c r="X218" i="5"/>
  <c r="Y218" i="5"/>
  <c r="Z218" i="5"/>
  <c r="AA218" i="5"/>
  <c r="AB218" i="5"/>
  <c r="AC218" i="5"/>
  <c r="AD218" i="5"/>
  <c r="AE218" i="5"/>
  <c r="AF218" i="5"/>
  <c r="AG218" i="5"/>
  <c r="AH218" i="5"/>
  <c r="AI218" i="5"/>
  <c r="AJ218" i="5"/>
  <c r="AK218" i="5"/>
  <c r="AL218" i="5"/>
  <c r="AM218" i="5"/>
  <c r="AN218" i="5"/>
  <c r="AO218" i="5"/>
  <c r="AP218" i="5"/>
  <c r="AQ218" i="5"/>
  <c r="AR218" i="5"/>
  <c r="AS218" i="5"/>
  <c r="AT218" i="5"/>
  <c r="AU218" i="5"/>
  <c r="AV218" i="5"/>
  <c r="AW218" i="5"/>
  <c r="AX218" i="5"/>
  <c r="AY218" i="5"/>
  <c r="O219" i="5"/>
  <c r="P219" i="5"/>
  <c r="Q219" i="5"/>
  <c r="R219" i="5"/>
  <c r="S219" i="5"/>
  <c r="T219" i="5"/>
  <c r="U219" i="5"/>
  <c r="V219" i="5"/>
  <c r="W219" i="5"/>
  <c r="X219" i="5"/>
  <c r="Y219" i="5"/>
  <c r="Z219" i="5"/>
  <c r="AA219" i="5"/>
  <c r="AB219" i="5"/>
  <c r="AC219" i="5"/>
  <c r="AD219" i="5"/>
  <c r="AE219" i="5"/>
  <c r="AF219" i="5"/>
  <c r="AG219" i="5"/>
  <c r="AH219" i="5"/>
  <c r="AI219" i="5"/>
  <c r="AJ219" i="5"/>
  <c r="AK219" i="5"/>
  <c r="AL219" i="5"/>
  <c r="AM219" i="5"/>
  <c r="AN219" i="5"/>
  <c r="AO219" i="5"/>
  <c r="AP219" i="5"/>
  <c r="AQ219" i="5"/>
  <c r="AR219" i="5"/>
  <c r="AS219" i="5"/>
  <c r="AT219" i="5"/>
  <c r="AU219" i="5"/>
  <c r="AV219" i="5"/>
  <c r="AW219" i="5"/>
  <c r="AX219" i="5"/>
  <c r="AY219" i="5"/>
  <c r="O220" i="5"/>
  <c r="P220" i="5"/>
  <c r="Q220" i="5"/>
  <c r="R220" i="5"/>
  <c r="S220" i="5"/>
  <c r="T220" i="5"/>
  <c r="U220" i="5"/>
  <c r="V220" i="5"/>
  <c r="W220" i="5"/>
  <c r="X220" i="5"/>
  <c r="Y220" i="5"/>
  <c r="Z220" i="5"/>
  <c r="AA220" i="5"/>
  <c r="AB220" i="5"/>
  <c r="AC220" i="5"/>
  <c r="AD220" i="5"/>
  <c r="AE220" i="5"/>
  <c r="AF220" i="5"/>
  <c r="AG220" i="5"/>
  <c r="AH220" i="5"/>
  <c r="AI220" i="5"/>
  <c r="AJ220" i="5"/>
  <c r="AK220" i="5"/>
  <c r="AL220" i="5"/>
  <c r="AM220" i="5"/>
  <c r="AN220" i="5"/>
  <c r="AO220" i="5"/>
  <c r="AP220" i="5"/>
  <c r="AQ220" i="5"/>
  <c r="AR220" i="5"/>
  <c r="AS220" i="5"/>
  <c r="AT220" i="5"/>
  <c r="AU220" i="5"/>
  <c r="AV220" i="5"/>
  <c r="AW220" i="5"/>
  <c r="AX220" i="5"/>
  <c r="AY220" i="5"/>
  <c r="O221" i="5"/>
  <c r="P221" i="5"/>
  <c r="Q221" i="5"/>
  <c r="R221" i="5"/>
  <c r="S221" i="5"/>
  <c r="T221" i="5"/>
  <c r="U221" i="5"/>
  <c r="V221" i="5"/>
  <c r="W221" i="5"/>
  <c r="X221" i="5"/>
  <c r="Y221" i="5"/>
  <c r="Z221" i="5"/>
  <c r="AA221" i="5"/>
  <c r="AB221" i="5"/>
  <c r="AC221" i="5"/>
  <c r="AD221" i="5"/>
  <c r="AE221" i="5"/>
  <c r="AF221" i="5"/>
  <c r="AG221" i="5"/>
  <c r="AH221" i="5"/>
  <c r="AI221" i="5"/>
  <c r="AJ221" i="5"/>
  <c r="AK221" i="5"/>
  <c r="AL221" i="5"/>
  <c r="AM221" i="5"/>
  <c r="AN221" i="5"/>
  <c r="AO221" i="5"/>
  <c r="AP221" i="5"/>
  <c r="AQ221" i="5"/>
  <c r="AR221" i="5"/>
  <c r="AS221" i="5"/>
  <c r="AT221" i="5"/>
  <c r="AU221" i="5"/>
  <c r="AV221" i="5"/>
  <c r="AW221" i="5"/>
  <c r="AX221" i="5"/>
  <c r="AY221" i="5"/>
  <c r="O222" i="5"/>
  <c r="P222" i="5"/>
  <c r="Q222" i="5"/>
  <c r="R222" i="5"/>
  <c r="S222" i="5"/>
  <c r="T222" i="5"/>
  <c r="U222" i="5"/>
  <c r="V222" i="5"/>
  <c r="W222" i="5"/>
  <c r="X222" i="5"/>
  <c r="Y222" i="5"/>
  <c r="Z222" i="5"/>
  <c r="AA222" i="5"/>
  <c r="AB222" i="5"/>
  <c r="AC222" i="5"/>
  <c r="AD222" i="5"/>
  <c r="AE222" i="5"/>
  <c r="AF222" i="5"/>
  <c r="AG222" i="5"/>
  <c r="AH222" i="5"/>
  <c r="AI222" i="5"/>
  <c r="AJ222" i="5"/>
  <c r="AK222" i="5"/>
  <c r="AL222" i="5"/>
  <c r="AM222" i="5"/>
  <c r="AN222" i="5"/>
  <c r="AO222" i="5"/>
  <c r="AP222" i="5"/>
  <c r="AQ222" i="5"/>
  <c r="AR222" i="5"/>
  <c r="AS222" i="5"/>
  <c r="AT222" i="5"/>
  <c r="AU222" i="5"/>
  <c r="AV222" i="5"/>
  <c r="AW222" i="5"/>
  <c r="AX222" i="5"/>
  <c r="AY222" i="5"/>
  <c r="O223" i="5"/>
  <c r="P223" i="5"/>
  <c r="Q223" i="5"/>
  <c r="R223" i="5"/>
  <c r="S223" i="5"/>
  <c r="T223" i="5"/>
  <c r="U223" i="5"/>
  <c r="V223" i="5"/>
  <c r="W223" i="5"/>
  <c r="X223" i="5"/>
  <c r="Y223" i="5"/>
  <c r="Z223" i="5"/>
  <c r="AA223" i="5"/>
  <c r="AB223" i="5"/>
  <c r="AC223" i="5"/>
  <c r="AD223" i="5"/>
  <c r="AE223" i="5"/>
  <c r="AF223" i="5"/>
  <c r="AG223" i="5"/>
  <c r="AH223" i="5"/>
  <c r="AI223" i="5"/>
  <c r="AJ223" i="5"/>
  <c r="AK223" i="5"/>
  <c r="AL223" i="5"/>
  <c r="AM223" i="5"/>
  <c r="AN223" i="5"/>
  <c r="AO223" i="5"/>
  <c r="AP223" i="5"/>
  <c r="AQ223" i="5"/>
  <c r="AR223" i="5"/>
  <c r="AS223" i="5"/>
  <c r="AT223" i="5"/>
  <c r="AU223" i="5"/>
  <c r="AV223" i="5"/>
  <c r="AW223" i="5"/>
  <c r="AX223" i="5"/>
  <c r="AY223" i="5"/>
  <c r="O224" i="5"/>
  <c r="P224" i="5"/>
  <c r="Q224" i="5"/>
  <c r="R224" i="5"/>
  <c r="S224" i="5"/>
  <c r="T224" i="5"/>
  <c r="U224" i="5"/>
  <c r="V224" i="5"/>
  <c r="W224" i="5"/>
  <c r="X224" i="5"/>
  <c r="Y224" i="5"/>
  <c r="Z224" i="5"/>
  <c r="AA224" i="5"/>
  <c r="AB224" i="5"/>
  <c r="AC224" i="5"/>
  <c r="AD224" i="5"/>
  <c r="AE224" i="5"/>
  <c r="AF224" i="5"/>
  <c r="AG224" i="5"/>
  <c r="AH224" i="5"/>
  <c r="AI224" i="5"/>
  <c r="AJ224" i="5"/>
  <c r="AK224" i="5"/>
  <c r="AL224" i="5"/>
  <c r="AM224" i="5"/>
  <c r="AN224" i="5"/>
  <c r="AO224" i="5"/>
  <c r="AP224" i="5"/>
  <c r="AQ224" i="5"/>
  <c r="AR224" i="5"/>
  <c r="AS224" i="5"/>
  <c r="AT224" i="5"/>
  <c r="AU224" i="5"/>
  <c r="AV224" i="5"/>
  <c r="AW224" i="5"/>
  <c r="AX224" i="5"/>
  <c r="AY224" i="5"/>
  <c r="O225" i="5"/>
  <c r="P225" i="5"/>
  <c r="Q225" i="5"/>
  <c r="R225" i="5"/>
  <c r="S225" i="5"/>
  <c r="T225" i="5"/>
  <c r="U225" i="5"/>
  <c r="V225" i="5"/>
  <c r="W225" i="5"/>
  <c r="X225" i="5"/>
  <c r="Y225" i="5"/>
  <c r="Z225" i="5"/>
  <c r="AA225" i="5"/>
  <c r="AB225" i="5"/>
  <c r="AC225" i="5"/>
  <c r="AD225" i="5"/>
  <c r="AE225" i="5"/>
  <c r="AF225" i="5"/>
  <c r="AG225" i="5"/>
  <c r="AH225" i="5"/>
  <c r="AI225" i="5"/>
  <c r="AJ225" i="5"/>
  <c r="AK225" i="5"/>
  <c r="AL225" i="5"/>
  <c r="AM225" i="5"/>
  <c r="AN225" i="5"/>
  <c r="AO225" i="5"/>
  <c r="AP225" i="5"/>
  <c r="AQ225" i="5"/>
  <c r="AR225" i="5"/>
  <c r="AS225" i="5"/>
  <c r="AT225" i="5"/>
  <c r="AU225" i="5"/>
  <c r="AV225" i="5"/>
  <c r="AW225" i="5"/>
  <c r="AX225" i="5"/>
  <c r="AY225" i="5"/>
  <c r="O226" i="5"/>
  <c r="K226" i="5"/>
  <c r="L226" i="5" s="1"/>
  <c r="P226" i="5"/>
  <c r="Q226" i="5"/>
  <c r="R226" i="5"/>
  <c r="S226" i="5"/>
  <c r="T226" i="5"/>
  <c r="U226" i="5"/>
  <c r="V226" i="5"/>
  <c r="W226" i="5"/>
  <c r="X226" i="5"/>
  <c r="Y226" i="5"/>
  <c r="Z226" i="5"/>
  <c r="AA226" i="5"/>
  <c r="AB226" i="5"/>
  <c r="AC226" i="5"/>
  <c r="AD226" i="5"/>
  <c r="AE226" i="5"/>
  <c r="AF226" i="5"/>
  <c r="AG226" i="5"/>
  <c r="AH226" i="5"/>
  <c r="AI226" i="5"/>
  <c r="AJ226" i="5"/>
  <c r="AK226" i="5"/>
  <c r="AL226" i="5"/>
  <c r="AM226" i="5"/>
  <c r="AN226" i="5"/>
  <c r="AO226" i="5"/>
  <c r="AP226" i="5"/>
  <c r="AQ226" i="5"/>
  <c r="AR226" i="5"/>
  <c r="AS226" i="5"/>
  <c r="AT226" i="5"/>
  <c r="AU226" i="5"/>
  <c r="AV226" i="5"/>
  <c r="AW226" i="5"/>
  <c r="AX226" i="5"/>
  <c r="AY226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AF227" i="5"/>
  <c r="AG227" i="5"/>
  <c r="AH227" i="5"/>
  <c r="AI227" i="5"/>
  <c r="AJ227" i="5"/>
  <c r="AK227" i="5"/>
  <c r="AL227" i="5"/>
  <c r="AM227" i="5"/>
  <c r="AN227" i="5"/>
  <c r="AO227" i="5"/>
  <c r="AP227" i="5"/>
  <c r="AQ227" i="5"/>
  <c r="AR227" i="5"/>
  <c r="AS227" i="5"/>
  <c r="AT227" i="5"/>
  <c r="AU227" i="5"/>
  <c r="AV227" i="5"/>
  <c r="AW227" i="5"/>
  <c r="AX227" i="5"/>
  <c r="AY227" i="5"/>
  <c r="O228" i="5"/>
  <c r="P228" i="5"/>
  <c r="Q228" i="5"/>
  <c r="R228" i="5"/>
  <c r="S228" i="5"/>
  <c r="T228" i="5"/>
  <c r="U228" i="5"/>
  <c r="V228" i="5"/>
  <c r="W228" i="5"/>
  <c r="X228" i="5"/>
  <c r="Y228" i="5"/>
  <c r="Z228" i="5"/>
  <c r="AA228" i="5"/>
  <c r="AB228" i="5"/>
  <c r="AC228" i="5"/>
  <c r="AD228" i="5"/>
  <c r="AE228" i="5"/>
  <c r="AF228" i="5"/>
  <c r="AG228" i="5"/>
  <c r="AH228" i="5"/>
  <c r="AI228" i="5"/>
  <c r="AJ228" i="5"/>
  <c r="AK228" i="5"/>
  <c r="AL228" i="5"/>
  <c r="AM228" i="5"/>
  <c r="AN228" i="5"/>
  <c r="AO228" i="5"/>
  <c r="AP228" i="5"/>
  <c r="AQ228" i="5"/>
  <c r="AR228" i="5"/>
  <c r="AS228" i="5"/>
  <c r="AT228" i="5"/>
  <c r="AU228" i="5"/>
  <c r="AV228" i="5"/>
  <c r="AW228" i="5"/>
  <c r="AX228" i="5"/>
  <c r="AY228" i="5"/>
  <c r="O229" i="5"/>
  <c r="P229" i="5"/>
  <c r="Q229" i="5"/>
  <c r="R229" i="5"/>
  <c r="S229" i="5"/>
  <c r="T229" i="5"/>
  <c r="U229" i="5"/>
  <c r="V229" i="5"/>
  <c r="W229" i="5"/>
  <c r="X229" i="5"/>
  <c r="Y229" i="5"/>
  <c r="Z229" i="5"/>
  <c r="AA229" i="5"/>
  <c r="AB229" i="5"/>
  <c r="AC229" i="5"/>
  <c r="AD229" i="5"/>
  <c r="AE229" i="5"/>
  <c r="AF229" i="5"/>
  <c r="AG229" i="5"/>
  <c r="AH229" i="5"/>
  <c r="AI229" i="5"/>
  <c r="AJ229" i="5"/>
  <c r="AK229" i="5"/>
  <c r="AL229" i="5"/>
  <c r="AM229" i="5"/>
  <c r="AN229" i="5"/>
  <c r="AO229" i="5"/>
  <c r="AP229" i="5"/>
  <c r="AQ229" i="5"/>
  <c r="AR229" i="5"/>
  <c r="AS229" i="5"/>
  <c r="AT229" i="5"/>
  <c r="AU229" i="5"/>
  <c r="AV229" i="5"/>
  <c r="AW229" i="5"/>
  <c r="AX229" i="5"/>
  <c r="AY229" i="5"/>
  <c r="O230" i="5"/>
  <c r="P230" i="5"/>
  <c r="Q230" i="5"/>
  <c r="R230" i="5"/>
  <c r="S230" i="5"/>
  <c r="T230" i="5"/>
  <c r="U230" i="5"/>
  <c r="V230" i="5"/>
  <c r="W230" i="5"/>
  <c r="X230" i="5"/>
  <c r="Y230" i="5"/>
  <c r="Z230" i="5"/>
  <c r="AA230" i="5"/>
  <c r="AB230" i="5"/>
  <c r="AC230" i="5"/>
  <c r="AD230" i="5"/>
  <c r="AE230" i="5"/>
  <c r="AF230" i="5"/>
  <c r="AG230" i="5"/>
  <c r="AH230" i="5"/>
  <c r="AI230" i="5"/>
  <c r="AJ230" i="5"/>
  <c r="AK230" i="5"/>
  <c r="AL230" i="5"/>
  <c r="AM230" i="5"/>
  <c r="AN230" i="5"/>
  <c r="AO230" i="5"/>
  <c r="AP230" i="5"/>
  <c r="AQ230" i="5"/>
  <c r="AR230" i="5"/>
  <c r="AS230" i="5"/>
  <c r="AT230" i="5"/>
  <c r="AU230" i="5"/>
  <c r="AV230" i="5"/>
  <c r="AW230" i="5"/>
  <c r="AX230" i="5"/>
  <c r="AY230" i="5"/>
  <c r="O231" i="5"/>
  <c r="P231" i="5"/>
  <c r="Q231" i="5"/>
  <c r="R231" i="5"/>
  <c r="S231" i="5"/>
  <c r="T231" i="5"/>
  <c r="U231" i="5"/>
  <c r="V231" i="5"/>
  <c r="W231" i="5"/>
  <c r="X231" i="5"/>
  <c r="Y231" i="5"/>
  <c r="Z231" i="5"/>
  <c r="AA231" i="5"/>
  <c r="AB231" i="5"/>
  <c r="AC231" i="5"/>
  <c r="AD231" i="5"/>
  <c r="AE231" i="5"/>
  <c r="AF231" i="5"/>
  <c r="AG231" i="5"/>
  <c r="AH231" i="5"/>
  <c r="AI231" i="5"/>
  <c r="AJ231" i="5"/>
  <c r="AK231" i="5"/>
  <c r="AL231" i="5"/>
  <c r="AM231" i="5"/>
  <c r="AN231" i="5"/>
  <c r="AO231" i="5"/>
  <c r="AP231" i="5"/>
  <c r="AQ231" i="5"/>
  <c r="AR231" i="5"/>
  <c r="AS231" i="5"/>
  <c r="AT231" i="5"/>
  <c r="AU231" i="5"/>
  <c r="AV231" i="5"/>
  <c r="AW231" i="5"/>
  <c r="AX231" i="5"/>
  <c r="AY231" i="5"/>
  <c r="O232" i="5"/>
  <c r="P232" i="5"/>
  <c r="Q232" i="5"/>
  <c r="R232" i="5"/>
  <c r="S232" i="5"/>
  <c r="T232" i="5"/>
  <c r="U232" i="5"/>
  <c r="V232" i="5"/>
  <c r="W232" i="5"/>
  <c r="X232" i="5"/>
  <c r="Y232" i="5"/>
  <c r="Z232" i="5"/>
  <c r="AA232" i="5"/>
  <c r="AB232" i="5"/>
  <c r="AC232" i="5"/>
  <c r="AD232" i="5"/>
  <c r="AE232" i="5"/>
  <c r="AF232" i="5"/>
  <c r="AG232" i="5"/>
  <c r="AH232" i="5"/>
  <c r="AI232" i="5"/>
  <c r="AJ232" i="5"/>
  <c r="AK232" i="5"/>
  <c r="AL232" i="5"/>
  <c r="AM232" i="5"/>
  <c r="AN232" i="5"/>
  <c r="AO232" i="5"/>
  <c r="AP232" i="5"/>
  <c r="AQ232" i="5"/>
  <c r="AR232" i="5"/>
  <c r="AS232" i="5"/>
  <c r="AT232" i="5"/>
  <c r="AU232" i="5"/>
  <c r="AV232" i="5"/>
  <c r="AW232" i="5"/>
  <c r="AX232" i="5"/>
  <c r="AY232" i="5"/>
  <c r="O233" i="5"/>
  <c r="C233" i="5" s="1"/>
  <c r="P233" i="5"/>
  <c r="Q233" i="5"/>
  <c r="R233" i="5"/>
  <c r="S233" i="5"/>
  <c r="T233" i="5"/>
  <c r="U233" i="5"/>
  <c r="V233" i="5"/>
  <c r="W233" i="5"/>
  <c r="X233" i="5"/>
  <c r="Y233" i="5"/>
  <c r="Z233" i="5"/>
  <c r="AA233" i="5"/>
  <c r="AB233" i="5"/>
  <c r="AC233" i="5"/>
  <c r="AD233" i="5"/>
  <c r="AE233" i="5"/>
  <c r="AF233" i="5"/>
  <c r="AG233" i="5"/>
  <c r="AH233" i="5"/>
  <c r="AI233" i="5"/>
  <c r="AJ233" i="5"/>
  <c r="AK233" i="5"/>
  <c r="AL233" i="5"/>
  <c r="AM233" i="5"/>
  <c r="AN233" i="5"/>
  <c r="AO233" i="5"/>
  <c r="AP233" i="5"/>
  <c r="AQ233" i="5"/>
  <c r="AR233" i="5"/>
  <c r="AS233" i="5"/>
  <c r="AT233" i="5"/>
  <c r="AU233" i="5"/>
  <c r="AV233" i="5"/>
  <c r="AW233" i="5"/>
  <c r="AX233" i="5"/>
  <c r="AY233" i="5"/>
  <c r="O234" i="5"/>
  <c r="P234" i="5"/>
  <c r="Q234" i="5"/>
  <c r="R234" i="5"/>
  <c r="S234" i="5"/>
  <c r="T234" i="5"/>
  <c r="U234" i="5"/>
  <c r="V234" i="5"/>
  <c r="W234" i="5"/>
  <c r="X234" i="5"/>
  <c r="Y234" i="5"/>
  <c r="Z234" i="5"/>
  <c r="AA234" i="5"/>
  <c r="AB234" i="5"/>
  <c r="AC234" i="5"/>
  <c r="AD234" i="5"/>
  <c r="AE234" i="5"/>
  <c r="AF234" i="5"/>
  <c r="AG234" i="5"/>
  <c r="AH234" i="5"/>
  <c r="AI234" i="5"/>
  <c r="AJ234" i="5"/>
  <c r="AK234" i="5"/>
  <c r="AL234" i="5"/>
  <c r="AM234" i="5"/>
  <c r="AN234" i="5"/>
  <c r="AO234" i="5"/>
  <c r="AP234" i="5"/>
  <c r="AQ234" i="5"/>
  <c r="AR234" i="5"/>
  <c r="AS234" i="5"/>
  <c r="AT234" i="5"/>
  <c r="AU234" i="5"/>
  <c r="AV234" i="5"/>
  <c r="AW234" i="5"/>
  <c r="AX234" i="5"/>
  <c r="AY234" i="5"/>
  <c r="O235" i="5"/>
  <c r="P235" i="5"/>
  <c r="Q235" i="5"/>
  <c r="R235" i="5"/>
  <c r="S235" i="5"/>
  <c r="T235" i="5"/>
  <c r="U235" i="5"/>
  <c r="V235" i="5"/>
  <c r="W235" i="5"/>
  <c r="X235" i="5"/>
  <c r="Y235" i="5"/>
  <c r="Z235" i="5"/>
  <c r="AA235" i="5"/>
  <c r="AB235" i="5"/>
  <c r="AC235" i="5"/>
  <c r="AD235" i="5"/>
  <c r="AE235" i="5"/>
  <c r="AF235" i="5"/>
  <c r="AG235" i="5"/>
  <c r="AH235" i="5"/>
  <c r="AI235" i="5"/>
  <c r="AJ235" i="5"/>
  <c r="AK235" i="5"/>
  <c r="AL235" i="5"/>
  <c r="AM235" i="5"/>
  <c r="AN235" i="5"/>
  <c r="AO235" i="5"/>
  <c r="AP235" i="5"/>
  <c r="AQ235" i="5"/>
  <c r="AR235" i="5"/>
  <c r="AS235" i="5"/>
  <c r="AT235" i="5"/>
  <c r="AU235" i="5"/>
  <c r="AV235" i="5"/>
  <c r="AW235" i="5"/>
  <c r="AX235" i="5"/>
  <c r="AY235" i="5"/>
  <c r="O236" i="5"/>
  <c r="K236" i="5" s="1"/>
  <c r="L236" i="5" s="1"/>
  <c r="P236" i="5"/>
  <c r="Q236" i="5"/>
  <c r="R236" i="5"/>
  <c r="S236" i="5"/>
  <c r="T236" i="5"/>
  <c r="U236" i="5"/>
  <c r="V236" i="5"/>
  <c r="W236" i="5"/>
  <c r="X236" i="5"/>
  <c r="Y236" i="5"/>
  <c r="Z236" i="5"/>
  <c r="AA236" i="5"/>
  <c r="AB236" i="5"/>
  <c r="AC236" i="5"/>
  <c r="AD236" i="5"/>
  <c r="AE236" i="5"/>
  <c r="AF236" i="5"/>
  <c r="AG236" i="5"/>
  <c r="AH236" i="5"/>
  <c r="AI236" i="5"/>
  <c r="AJ236" i="5"/>
  <c r="AK236" i="5"/>
  <c r="AL236" i="5"/>
  <c r="AM236" i="5"/>
  <c r="AN236" i="5"/>
  <c r="AO236" i="5"/>
  <c r="AP236" i="5"/>
  <c r="AQ236" i="5"/>
  <c r="AR236" i="5"/>
  <c r="AS236" i="5"/>
  <c r="AT236" i="5"/>
  <c r="AU236" i="5"/>
  <c r="AV236" i="5"/>
  <c r="AW236" i="5"/>
  <c r="AX236" i="5"/>
  <c r="AY236" i="5"/>
  <c r="O237" i="5"/>
  <c r="P237" i="5"/>
  <c r="Q237" i="5"/>
  <c r="R237" i="5"/>
  <c r="S237" i="5"/>
  <c r="T237" i="5"/>
  <c r="U237" i="5"/>
  <c r="V237" i="5"/>
  <c r="W237" i="5"/>
  <c r="X237" i="5"/>
  <c r="Y237" i="5"/>
  <c r="Z237" i="5"/>
  <c r="AA237" i="5"/>
  <c r="AB237" i="5"/>
  <c r="AC237" i="5"/>
  <c r="AD237" i="5"/>
  <c r="AE237" i="5"/>
  <c r="AF237" i="5"/>
  <c r="AG237" i="5"/>
  <c r="AH237" i="5"/>
  <c r="AI237" i="5"/>
  <c r="AJ237" i="5"/>
  <c r="AK237" i="5"/>
  <c r="AL237" i="5"/>
  <c r="AM237" i="5"/>
  <c r="AN237" i="5"/>
  <c r="AO237" i="5"/>
  <c r="AP237" i="5"/>
  <c r="AQ237" i="5"/>
  <c r="AR237" i="5"/>
  <c r="AS237" i="5"/>
  <c r="AT237" i="5"/>
  <c r="AU237" i="5"/>
  <c r="AV237" i="5"/>
  <c r="AW237" i="5"/>
  <c r="AX237" i="5"/>
  <c r="AY237" i="5"/>
  <c r="O238" i="5"/>
  <c r="P238" i="5"/>
  <c r="Q238" i="5"/>
  <c r="R238" i="5"/>
  <c r="S238" i="5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AG238" i="5"/>
  <c r="AH238" i="5"/>
  <c r="AI238" i="5"/>
  <c r="AJ238" i="5"/>
  <c r="AK238" i="5"/>
  <c r="AL238" i="5"/>
  <c r="AM238" i="5"/>
  <c r="AN238" i="5"/>
  <c r="AO238" i="5"/>
  <c r="AP238" i="5"/>
  <c r="AQ238" i="5"/>
  <c r="AR238" i="5"/>
  <c r="AS238" i="5"/>
  <c r="AT238" i="5"/>
  <c r="AU238" i="5"/>
  <c r="AV238" i="5"/>
  <c r="AW238" i="5"/>
  <c r="AX238" i="5"/>
  <c r="AY238" i="5"/>
  <c r="O239" i="5"/>
  <c r="P239" i="5"/>
  <c r="Q239" i="5"/>
  <c r="R239" i="5"/>
  <c r="S239" i="5"/>
  <c r="T239" i="5"/>
  <c r="U239" i="5"/>
  <c r="V239" i="5"/>
  <c r="W239" i="5"/>
  <c r="X239" i="5"/>
  <c r="Y239" i="5"/>
  <c r="Z239" i="5"/>
  <c r="AA239" i="5"/>
  <c r="AB239" i="5"/>
  <c r="AC239" i="5"/>
  <c r="AD239" i="5"/>
  <c r="AE239" i="5"/>
  <c r="AF239" i="5"/>
  <c r="AG239" i="5"/>
  <c r="AH239" i="5"/>
  <c r="AI239" i="5"/>
  <c r="AJ239" i="5"/>
  <c r="AK239" i="5"/>
  <c r="AL239" i="5"/>
  <c r="AM239" i="5"/>
  <c r="AN239" i="5"/>
  <c r="AO239" i="5"/>
  <c r="AP239" i="5"/>
  <c r="AQ239" i="5"/>
  <c r="AR239" i="5"/>
  <c r="AS239" i="5"/>
  <c r="AT239" i="5"/>
  <c r="AU239" i="5"/>
  <c r="AV239" i="5"/>
  <c r="AW239" i="5"/>
  <c r="AX239" i="5"/>
  <c r="AY239" i="5"/>
  <c r="O240" i="5"/>
  <c r="P240" i="5"/>
  <c r="Q240" i="5"/>
  <c r="R240" i="5"/>
  <c r="S240" i="5"/>
  <c r="T240" i="5"/>
  <c r="U240" i="5"/>
  <c r="V240" i="5"/>
  <c r="W240" i="5"/>
  <c r="X240" i="5"/>
  <c r="Y240" i="5"/>
  <c r="Z240" i="5"/>
  <c r="AA240" i="5"/>
  <c r="AB240" i="5"/>
  <c r="AC240" i="5"/>
  <c r="AD240" i="5"/>
  <c r="AE240" i="5"/>
  <c r="AF240" i="5"/>
  <c r="AG240" i="5"/>
  <c r="AH240" i="5"/>
  <c r="AI240" i="5"/>
  <c r="AJ240" i="5"/>
  <c r="AK240" i="5"/>
  <c r="AL240" i="5"/>
  <c r="AM240" i="5"/>
  <c r="AN240" i="5"/>
  <c r="AO240" i="5"/>
  <c r="AP240" i="5"/>
  <c r="AQ240" i="5"/>
  <c r="AR240" i="5"/>
  <c r="AS240" i="5"/>
  <c r="AT240" i="5"/>
  <c r="AU240" i="5"/>
  <c r="AV240" i="5"/>
  <c r="AW240" i="5"/>
  <c r="AX240" i="5"/>
  <c r="AY240" i="5"/>
  <c r="O241" i="5"/>
  <c r="P241" i="5"/>
  <c r="Q241" i="5"/>
  <c r="R241" i="5"/>
  <c r="S241" i="5"/>
  <c r="T241" i="5"/>
  <c r="U241" i="5"/>
  <c r="V241" i="5"/>
  <c r="W241" i="5"/>
  <c r="X241" i="5"/>
  <c r="Y241" i="5"/>
  <c r="Z241" i="5"/>
  <c r="AA241" i="5"/>
  <c r="AB241" i="5"/>
  <c r="AC241" i="5"/>
  <c r="AD241" i="5"/>
  <c r="AE241" i="5"/>
  <c r="AF241" i="5"/>
  <c r="AG241" i="5"/>
  <c r="AH241" i="5"/>
  <c r="AI241" i="5"/>
  <c r="AJ241" i="5"/>
  <c r="AK241" i="5"/>
  <c r="AL241" i="5"/>
  <c r="AM241" i="5"/>
  <c r="AN241" i="5"/>
  <c r="AO241" i="5"/>
  <c r="AP241" i="5"/>
  <c r="AQ241" i="5"/>
  <c r="AR241" i="5"/>
  <c r="AS241" i="5"/>
  <c r="AT241" i="5"/>
  <c r="AU241" i="5"/>
  <c r="AV241" i="5"/>
  <c r="AW241" i="5"/>
  <c r="AX241" i="5"/>
  <c r="AY241" i="5"/>
  <c r="O242" i="5"/>
  <c r="P242" i="5"/>
  <c r="Q242" i="5"/>
  <c r="R242" i="5"/>
  <c r="S242" i="5"/>
  <c r="T242" i="5"/>
  <c r="U242" i="5"/>
  <c r="V242" i="5"/>
  <c r="W242" i="5"/>
  <c r="X242" i="5"/>
  <c r="Y242" i="5"/>
  <c r="Z242" i="5"/>
  <c r="AA242" i="5"/>
  <c r="AB242" i="5"/>
  <c r="AC242" i="5"/>
  <c r="AD242" i="5"/>
  <c r="AE242" i="5"/>
  <c r="AF242" i="5"/>
  <c r="AG242" i="5"/>
  <c r="AH242" i="5"/>
  <c r="AI242" i="5"/>
  <c r="AJ242" i="5"/>
  <c r="AK242" i="5"/>
  <c r="AL242" i="5"/>
  <c r="AM242" i="5"/>
  <c r="AN242" i="5"/>
  <c r="AO242" i="5"/>
  <c r="AP242" i="5"/>
  <c r="AQ242" i="5"/>
  <c r="AR242" i="5"/>
  <c r="AS242" i="5"/>
  <c r="AT242" i="5"/>
  <c r="AU242" i="5"/>
  <c r="AV242" i="5"/>
  <c r="AW242" i="5"/>
  <c r="AX242" i="5"/>
  <c r="AY242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AK243" i="5"/>
  <c r="AL243" i="5"/>
  <c r="AM243" i="5"/>
  <c r="AN243" i="5"/>
  <c r="AO243" i="5"/>
  <c r="AP243" i="5"/>
  <c r="AQ243" i="5"/>
  <c r="AR243" i="5"/>
  <c r="AS243" i="5"/>
  <c r="AT243" i="5"/>
  <c r="AU243" i="5"/>
  <c r="AV243" i="5"/>
  <c r="AW243" i="5"/>
  <c r="AX243" i="5"/>
  <c r="AY243" i="5"/>
  <c r="O244" i="5"/>
  <c r="P244" i="5"/>
  <c r="Q244" i="5"/>
  <c r="R244" i="5"/>
  <c r="S244" i="5"/>
  <c r="T244" i="5"/>
  <c r="U244" i="5"/>
  <c r="V244" i="5"/>
  <c r="W244" i="5"/>
  <c r="X244" i="5"/>
  <c r="Y244" i="5"/>
  <c r="Z244" i="5"/>
  <c r="AA244" i="5"/>
  <c r="AB244" i="5"/>
  <c r="AC244" i="5"/>
  <c r="AD244" i="5"/>
  <c r="AE244" i="5"/>
  <c r="AF244" i="5"/>
  <c r="AG244" i="5"/>
  <c r="AH244" i="5"/>
  <c r="AI244" i="5"/>
  <c r="AJ244" i="5"/>
  <c r="AK244" i="5"/>
  <c r="AL244" i="5"/>
  <c r="AM244" i="5"/>
  <c r="AN244" i="5"/>
  <c r="AO244" i="5"/>
  <c r="AP244" i="5"/>
  <c r="AQ244" i="5"/>
  <c r="AR244" i="5"/>
  <c r="AS244" i="5"/>
  <c r="AT244" i="5"/>
  <c r="AU244" i="5"/>
  <c r="AV244" i="5"/>
  <c r="AW244" i="5"/>
  <c r="AX244" i="5"/>
  <c r="AY244" i="5"/>
  <c r="O245" i="5"/>
  <c r="P245" i="5"/>
  <c r="Q245" i="5"/>
  <c r="R245" i="5"/>
  <c r="S245" i="5"/>
  <c r="T245" i="5"/>
  <c r="U245" i="5"/>
  <c r="V245" i="5"/>
  <c r="W245" i="5"/>
  <c r="X245" i="5"/>
  <c r="Y245" i="5"/>
  <c r="Z245" i="5"/>
  <c r="AA245" i="5"/>
  <c r="AB245" i="5"/>
  <c r="AC245" i="5"/>
  <c r="AD245" i="5"/>
  <c r="AE245" i="5"/>
  <c r="AF245" i="5"/>
  <c r="AG245" i="5"/>
  <c r="AH245" i="5"/>
  <c r="AI245" i="5"/>
  <c r="AJ245" i="5"/>
  <c r="AK245" i="5"/>
  <c r="AL245" i="5"/>
  <c r="AM245" i="5"/>
  <c r="AN245" i="5"/>
  <c r="AO245" i="5"/>
  <c r="AP245" i="5"/>
  <c r="AQ245" i="5"/>
  <c r="AR245" i="5"/>
  <c r="AS245" i="5"/>
  <c r="AT245" i="5"/>
  <c r="AU245" i="5"/>
  <c r="AV245" i="5"/>
  <c r="AW245" i="5"/>
  <c r="AX245" i="5"/>
  <c r="AY245" i="5"/>
  <c r="O246" i="5"/>
  <c r="P246" i="5"/>
  <c r="Q246" i="5"/>
  <c r="R246" i="5"/>
  <c r="S246" i="5"/>
  <c r="T246" i="5"/>
  <c r="U246" i="5"/>
  <c r="V246" i="5"/>
  <c r="W246" i="5"/>
  <c r="X246" i="5"/>
  <c r="Y246" i="5"/>
  <c r="Z246" i="5"/>
  <c r="AA246" i="5"/>
  <c r="AB246" i="5"/>
  <c r="AC246" i="5"/>
  <c r="AD246" i="5"/>
  <c r="AE246" i="5"/>
  <c r="AF246" i="5"/>
  <c r="AG246" i="5"/>
  <c r="AH246" i="5"/>
  <c r="AI246" i="5"/>
  <c r="AJ246" i="5"/>
  <c r="AK246" i="5"/>
  <c r="AL246" i="5"/>
  <c r="AM246" i="5"/>
  <c r="AN246" i="5"/>
  <c r="AO246" i="5"/>
  <c r="AP246" i="5"/>
  <c r="AQ246" i="5"/>
  <c r="AR246" i="5"/>
  <c r="AS246" i="5"/>
  <c r="AT246" i="5"/>
  <c r="AU246" i="5"/>
  <c r="AV246" i="5"/>
  <c r="AW246" i="5"/>
  <c r="AX246" i="5"/>
  <c r="AY246" i="5"/>
  <c r="O247" i="5"/>
  <c r="P247" i="5"/>
  <c r="Q247" i="5"/>
  <c r="R247" i="5"/>
  <c r="S247" i="5"/>
  <c r="T247" i="5"/>
  <c r="U247" i="5"/>
  <c r="V247" i="5"/>
  <c r="W247" i="5"/>
  <c r="X247" i="5"/>
  <c r="Y247" i="5"/>
  <c r="Z247" i="5"/>
  <c r="AA247" i="5"/>
  <c r="AB247" i="5"/>
  <c r="AC247" i="5"/>
  <c r="AD247" i="5"/>
  <c r="AE247" i="5"/>
  <c r="AF247" i="5"/>
  <c r="AG247" i="5"/>
  <c r="AH247" i="5"/>
  <c r="AI247" i="5"/>
  <c r="AJ247" i="5"/>
  <c r="AK247" i="5"/>
  <c r="AL247" i="5"/>
  <c r="AM247" i="5"/>
  <c r="AN247" i="5"/>
  <c r="AO247" i="5"/>
  <c r="AP247" i="5"/>
  <c r="AQ247" i="5"/>
  <c r="AR247" i="5"/>
  <c r="AS247" i="5"/>
  <c r="AT247" i="5"/>
  <c r="AU247" i="5"/>
  <c r="AV247" i="5"/>
  <c r="AW247" i="5"/>
  <c r="AX247" i="5"/>
  <c r="AY247" i="5"/>
  <c r="O248" i="5"/>
  <c r="P248" i="5"/>
  <c r="Q248" i="5"/>
  <c r="R248" i="5"/>
  <c r="S248" i="5"/>
  <c r="T248" i="5"/>
  <c r="U248" i="5"/>
  <c r="V248" i="5"/>
  <c r="W248" i="5"/>
  <c r="X248" i="5"/>
  <c r="Y248" i="5"/>
  <c r="Z248" i="5"/>
  <c r="AA248" i="5"/>
  <c r="AB248" i="5"/>
  <c r="AC248" i="5"/>
  <c r="AD248" i="5"/>
  <c r="AE248" i="5"/>
  <c r="AF248" i="5"/>
  <c r="AG248" i="5"/>
  <c r="AH248" i="5"/>
  <c r="AI248" i="5"/>
  <c r="AJ248" i="5"/>
  <c r="AK248" i="5"/>
  <c r="AL248" i="5"/>
  <c r="AM248" i="5"/>
  <c r="AN248" i="5"/>
  <c r="AO248" i="5"/>
  <c r="AP248" i="5"/>
  <c r="AQ248" i="5"/>
  <c r="AR248" i="5"/>
  <c r="AS248" i="5"/>
  <c r="AT248" i="5"/>
  <c r="AU248" i="5"/>
  <c r="AV248" i="5"/>
  <c r="AW248" i="5"/>
  <c r="AX248" i="5"/>
  <c r="AY248" i="5"/>
  <c r="O249" i="5"/>
  <c r="P249" i="5"/>
  <c r="Q249" i="5"/>
  <c r="R249" i="5"/>
  <c r="S249" i="5"/>
  <c r="T249" i="5"/>
  <c r="U249" i="5"/>
  <c r="V249" i="5"/>
  <c r="W249" i="5"/>
  <c r="X249" i="5"/>
  <c r="Y249" i="5"/>
  <c r="Z249" i="5"/>
  <c r="AA249" i="5"/>
  <c r="AB249" i="5"/>
  <c r="AC249" i="5"/>
  <c r="AD249" i="5"/>
  <c r="AE249" i="5"/>
  <c r="AF249" i="5"/>
  <c r="AG249" i="5"/>
  <c r="AH249" i="5"/>
  <c r="AI249" i="5"/>
  <c r="AJ249" i="5"/>
  <c r="AK249" i="5"/>
  <c r="AL249" i="5"/>
  <c r="AM249" i="5"/>
  <c r="AN249" i="5"/>
  <c r="AO249" i="5"/>
  <c r="AP249" i="5"/>
  <c r="AQ249" i="5"/>
  <c r="AR249" i="5"/>
  <c r="AS249" i="5"/>
  <c r="AT249" i="5"/>
  <c r="AU249" i="5"/>
  <c r="AV249" i="5"/>
  <c r="AW249" i="5"/>
  <c r="AX249" i="5"/>
  <c r="AY249" i="5"/>
  <c r="O250" i="5"/>
  <c r="P250" i="5"/>
  <c r="Q250" i="5"/>
  <c r="R250" i="5"/>
  <c r="S250" i="5"/>
  <c r="T250" i="5"/>
  <c r="U250" i="5"/>
  <c r="V250" i="5"/>
  <c r="W250" i="5"/>
  <c r="X250" i="5"/>
  <c r="Y250" i="5"/>
  <c r="Z250" i="5"/>
  <c r="AA250" i="5"/>
  <c r="AB250" i="5"/>
  <c r="AC250" i="5"/>
  <c r="AD250" i="5"/>
  <c r="AE250" i="5"/>
  <c r="AF250" i="5"/>
  <c r="AG250" i="5"/>
  <c r="AH250" i="5"/>
  <c r="AI250" i="5"/>
  <c r="AJ250" i="5"/>
  <c r="AK250" i="5"/>
  <c r="AL250" i="5"/>
  <c r="AM250" i="5"/>
  <c r="AN250" i="5"/>
  <c r="AO250" i="5"/>
  <c r="AP250" i="5"/>
  <c r="AQ250" i="5"/>
  <c r="AR250" i="5"/>
  <c r="AS250" i="5"/>
  <c r="AT250" i="5"/>
  <c r="AU250" i="5"/>
  <c r="AV250" i="5"/>
  <c r="AW250" i="5"/>
  <c r="AX250" i="5"/>
  <c r="AY250" i="5"/>
  <c r="O251" i="5"/>
  <c r="P251" i="5"/>
  <c r="Q251" i="5"/>
  <c r="R251" i="5"/>
  <c r="S251" i="5"/>
  <c r="T251" i="5"/>
  <c r="U251" i="5"/>
  <c r="V251" i="5"/>
  <c r="W251" i="5"/>
  <c r="X251" i="5"/>
  <c r="Y251" i="5"/>
  <c r="Z251" i="5"/>
  <c r="AA251" i="5"/>
  <c r="AB251" i="5"/>
  <c r="AC251" i="5"/>
  <c r="AD251" i="5"/>
  <c r="AE251" i="5"/>
  <c r="AF251" i="5"/>
  <c r="AG251" i="5"/>
  <c r="AH251" i="5"/>
  <c r="AI251" i="5"/>
  <c r="AJ251" i="5"/>
  <c r="AK251" i="5"/>
  <c r="AL251" i="5"/>
  <c r="AM251" i="5"/>
  <c r="AN251" i="5"/>
  <c r="AO251" i="5"/>
  <c r="AP251" i="5"/>
  <c r="AQ251" i="5"/>
  <c r="AR251" i="5"/>
  <c r="AS251" i="5"/>
  <c r="AT251" i="5"/>
  <c r="AU251" i="5"/>
  <c r="AV251" i="5"/>
  <c r="AW251" i="5"/>
  <c r="AX251" i="5"/>
  <c r="AY251" i="5"/>
  <c r="O252" i="5"/>
  <c r="P252" i="5"/>
  <c r="Q252" i="5"/>
  <c r="R252" i="5"/>
  <c r="S252" i="5"/>
  <c r="T252" i="5"/>
  <c r="U252" i="5"/>
  <c r="V252" i="5"/>
  <c r="W252" i="5"/>
  <c r="X252" i="5"/>
  <c r="Y252" i="5"/>
  <c r="Z252" i="5"/>
  <c r="AA252" i="5"/>
  <c r="AB252" i="5"/>
  <c r="AC252" i="5"/>
  <c r="AD252" i="5"/>
  <c r="AE252" i="5"/>
  <c r="AF252" i="5"/>
  <c r="AG252" i="5"/>
  <c r="AH252" i="5"/>
  <c r="AI252" i="5"/>
  <c r="AJ252" i="5"/>
  <c r="AK252" i="5"/>
  <c r="AL252" i="5"/>
  <c r="AM252" i="5"/>
  <c r="AN252" i="5"/>
  <c r="AO252" i="5"/>
  <c r="AP252" i="5"/>
  <c r="AQ252" i="5"/>
  <c r="AR252" i="5"/>
  <c r="AS252" i="5"/>
  <c r="AT252" i="5"/>
  <c r="AU252" i="5"/>
  <c r="AV252" i="5"/>
  <c r="AW252" i="5"/>
  <c r="AX252" i="5"/>
  <c r="AY252" i="5"/>
  <c r="O253" i="5"/>
  <c r="P253" i="5"/>
  <c r="Q253" i="5"/>
  <c r="R253" i="5"/>
  <c r="S253" i="5"/>
  <c r="T253" i="5"/>
  <c r="U253" i="5"/>
  <c r="V253" i="5"/>
  <c r="W253" i="5"/>
  <c r="X253" i="5"/>
  <c r="Y253" i="5"/>
  <c r="Z253" i="5"/>
  <c r="AA253" i="5"/>
  <c r="AB253" i="5"/>
  <c r="AC253" i="5"/>
  <c r="AD253" i="5"/>
  <c r="AE253" i="5"/>
  <c r="AF253" i="5"/>
  <c r="AG253" i="5"/>
  <c r="AH253" i="5"/>
  <c r="AI253" i="5"/>
  <c r="AJ253" i="5"/>
  <c r="AK253" i="5"/>
  <c r="AL253" i="5"/>
  <c r="AM253" i="5"/>
  <c r="AN253" i="5"/>
  <c r="AO253" i="5"/>
  <c r="AP253" i="5"/>
  <c r="AQ253" i="5"/>
  <c r="AR253" i="5"/>
  <c r="AS253" i="5"/>
  <c r="AT253" i="5"/>
  <c r="AU253" i="5"/>
  <c r="AV253" i="5"/>
  <c r="AW253" i="5"/>
  <c r="AX253" i="5"/>
  <c r="AY253" i="5"/>
  <c r="O254" i="5"/>
  <c r="P254" i="5"/>
  <c r="Q254" i="5"/>
  <c r="R254" i="5"/>
  <c r="S254" i="5"/>
  <c r="T254" i="5"/>
  <c r="U254" i="5"/>
  <c r="V254" i="5"/>
  <c r="W254" i="5"/>
  <c r="X254" i="5"/>
  <c r="Y254" i="5"/>
  <c r="Z254" i="5"/>
  <c r="AA254" i="5"/>
  <c r="AB254" i="5"/>
  <c r="AC254" i="5"/>
  <c r="AD254" i="5"/>
  <c r="AE254" i="5"/>
  <c r="AF254" i="5"/>
  <c r="AG254" i="5"/>
  <c r="AH254" i="5"/>
  <c r="AI254" i="5"/>
  <c r="AJ254" i="5"/>
  <c r="AK254" i="5"/>
  <c r="AL254" i="5"/>
  <c r="AM254" i="5"/>
  <c r="AN254" i="5"/>
  <c r="AO254" i="5"/>
  <c r="AP254" i="5"/>
  <c r="AQ254" i="5"/>
  <c r="AR254" i="5"/>
  <c r="AS254" i="5"/>
  <c r="AT254" i="5"/>
  <c r="AU254" i="5"/>
  <c r="AV254" i="5"/>
  <c r="AW254" i="5"/>
  <c r="AX254" i="5"/>
  <c r="AY254" i="5"/>
  <c r="O255" i="5"/>
  <c r="P255" i="5"/>
  <c r="Q255" i="5"/>
  <c r="R255" i="5"/>
  <c r="S255" i="5"/>
  <c r="T255" i="5"/>
  <c r="U255" i="5"/>
  <c r="V255" i="5"/>
  <c r="W255" i="5"/>
  <c r="X255" i="5"/>
  <c r="Y255" i="5"/>
  <c r="Z255" i="5"/>
  <c r="AA255" i="5"/>
  <c r="AB255" i="5"/>
  <c r="AC255" i="5"/>
  <c r="AD255" i="5"/>
  <c r="AE255" i="5"/>
  <c r="AF255" i="5"/>
  <c r="AG255" i="5"/>
  <c r="AH255" i="5"/>
  <c r="AI255" i="5"/>
  <c r="AJ255" i="5"/>
  <c r="AK255" i="5"/>
  <c r="AL255" i="5"/>
  <c r="AM255" i="5"/>
  <c r="AN255" i="5"/>
  <c r="AO255" i="5"/>
  <c r="AP255" i="5"/>
  <c r="AQ255" i="5"/>
  <c r="AR255" i="5"/>
  <c r="AS255" i="5"/>
  <c r="AT255" i="5"/>
  <c r="AU255" i="5"/>
  <c r="AV255" i="5"/>
  <c r="AW255" i="5"/>
  <c r="AX255" i="5"/>
  <c r="AY255" i="5"/>
  <c r="O256" i="5"/>
  <c r="P256" i="5"/>
  <c r="Q256" i="5"/>
  <c r="R256" i="5"/>
  <c r="S256" i="5"/>
  <c r="T256" i="5"/>
  <c r="U256" i="5"/>
  <c r="V256" i="5"/>
  <c r="W256" i="5"/>
  <c r="X256" i="5"/>
  <c r="Y256" i="5"/>
  <c r="Z256" i="5"/>
  <c r="AA256" i="5"/>
  <c r="AB256" i="5"/>
  <c r="AC256" i="5"/>
  <c r="AD256" i="5"/>
  <c r="AE256" i="5"/>
  <c r="AF256" i="5"/>
  <c r="AG256" i="5"/>
  <c r="AH256" i="5"/>
  <c r="AI256" i="5"/>
  <c r="AJ256" i="5"/>
  <c r="AK256" i="5"/>
  <c r="AL256" i="5"/>
  <c r="AM256" i="5"/>
  <c r="AN256" i="5"/>
  <c r="AO256" i="5"/>
  <c r="AP256" i="5"/>
  <c r="AQ256" i="5"/>
  <c r="AR256" i="5"/>
  <c r="AS256" i="5"/>
  <c r="AT256" i="5"/>
  <c r="AU256" i="5"/>
  <c r="AV256" i="5"/>
  <c r="AW256" i="5"/>
  <c r="AX256" i="5"/>
  <c r="AY256" i="5"/>
  <c r="O257" i="5"/>
  <c r="K257" i="5" s="1"/>
  <c r="L257" i="5" s="1"/>
  <c r="P257" i="5"/>
  <c r="Q257" i="5"/>
  <c r="R257" i="5"/>
  <c r="S257" i="5"/>
  <c r="T257" i="5"/>
  <c r="U257" i="5"/>
  <c r="V257" i="5"/>
  <c r="W257" i="5"/>
  <c r="X257" i="5"/>
  <c r="Y257" i="5"/>
  <c r="Z257" i="5"/>
  <c r="AA257" i="5"/>
  <c r="AB257" i="5"/>
  <c r="AC257" i="5"/>
  <c r="AD257" i="5"/>
  <c r="AE257" i="5"/>
  <c r="AF257" i="5"/>
  <c r="AG257" i="5"/>
  <c r="AH257" i="5"/>
  <c r="AI257" i="5"/>
  <c r="AJ257" i="5"/>
  <c r="AK257" i="5"/>
  <c r="AL257" i="5"/>
  <c r="AM257" i="5"/>
  <c r="AN257" i="5"/>
  <c r="AO257" i="5"/>
  <c r="AP257" i="5"/>
  <c r="AQ257" i="5"/>
  <c r="AR257" i="5"/>
  <c r="AS257" i="5"/>
  <c r="AT257" i="5"/>
  <c r="AU257" i="5"/>
  <c r="AV257" i="5"/>
  <c r="AW257" i="5"/>
  <c r="AX257" i="5"/>
  <c r="AY257" i="5"/>
  <c r="O258" i="5"/>
  <c r="K258" i="5" s="1"/>
  <c r="L258" i="5" s="1"/>
  <c r="P258" i="5"/>
  <c r="Q258" i="5"/>
  <c r="R258" i="5"/>
  <c r="S258" i="5"/>
  <c r="T258" i="5"/>
  <c r="U258" i="5"/>
  <c r="V258" i="5"/>
  <c r="W258" i="5"/>
  <c r="X258" i="5"/>
  <c r="Y258" i="5"/>
  <c r="Z258" i="5"/>
  <c r="AA258" i="5"/>
  <c r="AB258" i="5"/>
  <c r="AC258" i="5"/>
  <c r="AD258" i="5"/>
  <c r="AE258" i="5"/>
  <c r="AF258" i="5"/>
  <c r="AG258" i="5"/>
  <c r="AH258" i="5"/>
  <c r="AI258" i="5"/>
  <c r="AJ258" i="5"/>
  <c r="AK258" i="5"/>
  <c r="AL258" i="5"/>
  <c r="AM258" i="5"/>
  <c r="AN258" i="5"/>
  <c r="AO258" i="5"/>
  <c r="AP258" i="5"/>
  <c r="AQ258" i="5"/>
  <c r="AR258" i="5"/>
  <c r="AS258" i="5"/>
  <c r="AT258" i="5"/>
  <c r="AU258" i="5"/>
  <c r="AV258" i="5"/>
  <c r="AW258" i="5"/>
  <c r="AX258" i="5"/>
  <c r="AY258" i="5"/>
  <c r="O259" i="5"/>
  <c r="P259" i="5"/>
  <c r="Q259" i="5"/>
  <c r="C259" i="5" s="1"/>
  <c r="R259" i="5"/>
  <c r="S259" i="5"/>
  <c r="T259" i="5"/>
  <c r="U259" i="5"/>
  <c r="V259" i="5"/>
  <c r="W259" i="5"/>
  <c r="X259" i="5"/>
  <c r="Y259" i="5"/>
  <c r="Z259" i="5"/>
  <c r="AA259" i="5"/>
  <c r="AB259" i="5"/>
  <c r="AC259" i="5"/>
  <c r="AD259" i="5"/>
  <c r="AE259" i="5"/>
  <c r="AF259" i="5"/>
  <c r="AG259" i="5"/>
  <c r="AH259" i="5"/>
  <c r="AI259" i="5"/>
  <c r="AJ259" i="5"/>
  <c r="AK259" i="5"/>
  <c r="AL259" i="5"/>
  <c r="AM259" i="5"/>
  <c r="AN259" i="5"/>
  <c r="AO259" i="5"/>
  <c r="AP259" i="5"/>
  <c r="AQ259" i="5"/>
  <c r="AR259" i="5"/>
  <c r="AS259" i="5"/>
  <c r="AT259" i="5"/>
  <c r="AU259" i="5"/>
  <c r="AV259" i="5"/>
  <c r="AW259" i="5"/>
  <c r="AX259" i="5"/>
  <c r="AY259" i="5"/>
  <c r="O260" i="5"/>
  <c r="P260" i="5"/>
  <c r="Q260" i="5"/>
  <c r="R260" i="5"/>
  <c r="S260" i="5"/>
  <c r="T260" i="5"/>
  <c r="U260" i="5"/>
  <c r="V260" i="5"/>
  <c r="W260" i="5"/>
  <c r="X260" i="5"/>
  <c r="Y260" i="5"/>
  <c r="Z260" i="5"/>
  <c r="AA260" i="5"/>
  <c r="AB260" i="5"/>
  <c r="AC260" i="5"/>
  <c r="AD260" i="5"/>
  <c r="AE260" i="5"/>
  <c r="AF260" i="5"/>
  <c r="AG260" i="5"/>
  <c r="AH260" i="5"/>
  <c r="AI260" i="5"/>
  <c r="AJ260" i="5"/>
  <c r="AK260" i="5"/>
  <c r="AL260" i="5"/>
  <c r="AM260" i="5"/>
  <c r="AN260" i="5"/>
  <c r="AO260" i="5"/>
  <c r="AP260" i="5"/>
  <c r="AQ260" i="5"/>
  <c r="AR260" i="5"/>
  <c r="AS260" i="5"/>
  <c r="AT260" i="5"/>
  <c r="AU260" i="5"/>
  <c r="AV260" i="5"/>
  <c r="AW260" i="5"/>
  <c r="AX260" i="5"/>
  <c r="AY260" i="5"/>
  <c r="O261" i="5"/>
  <c r="P261" i="5"/>
  <c r="Q261" i="5"/>
  <c r="R261" i="5"/>
  <c r="S261" i="5"/>
  <c r="T261" i="5"/>
  <c r="U261" i="5"/>
  <c r="V261" i="5"/>
  <c r="W261" i="5"/>
  <c r="X261" i="5"/>
  <c r="Y261" i="5"/>
  <c r="Z261" i="5"/>
  <c r="AA261" i="5"/>
  <c r="AB261" i="5"/>
  <c r="AC261" i="5"/>
  <c r="AD261" i="5"/>
  <c r="AE261" i="5"/>
  <c r="AF261" i="5"/>
  <c r="AG261" i="5"/>
  <c r="AH261" i="5"/>
  <c r="AI261" i="5"/>
  <c r="AJ261" i="5"/>
  <c r="AK261" i="5"/>
  <c r="AL261" i="5"/>
  <c r="AM261" i="5"/>
  <c r="AN261" i="5"/>
  <c r="AO261" i="5"/>
  <c r="AP261" i="5"/>
  <c r="AQ261" i="5"/>
  <c r="AR261" i="5"/>
  <c r="AS261" i="5"/>
  <c r="AT261" i="5"/>
  <c r="AU261" i="5"/>
  <c r="AV261" i="5"/>
  <c r="AW261" i="5"/>
  <c r="AX261" i="5"/>
  <c r="AY261" i="5"/>
  <c r="O262" i="5"/>
  <c r="P262" i="5"/>
  <c r="Q262" i="5"/>
  <c r="R262" i="5"/>
  <c r="S262" i="5"/>
  <c r="T262" i="5"/>
  <c r="U262" i="5"/>
  <c r="V262" i="5"/>
  <c r="W262" i="5"/>
  <c r="X262" i="5"/>
  <c r="Y262" i="5"/>
  <c r="Z262" i="5"/>
  <c r="AA262" i="5"/>
  <c r="AB262" i="5"/>
  <c r="AC262" i="5"/>
  <c r="AD262" i="5"/>
  <c r="AE262" i="5"/>
  <c r="AF262" i="5"/>
  <c r="AG262" i="5"/>
  <c r="AH262" i="5"/>
  <c r="AI262" i="5"/>
  <c r="AJ262" i="5"/>
  <c r="AK262" i="5"/>
  <c r="AL262" i="5"/>
  <c r="AM262" i="5"/>
  <c r="AN262" i="5"/>
  <c r="AO262" i="5"/>
  <c r="AP262" i="5"/>
  <c r="AQ262" i="5"/>
  <c r="AR262" i="5"/>
  <c r="AS262" i="5"/>
  <c r="AT262" i="5"/>
  <c r="AU262" i="5"/>
  <c r="AV262" i="5"/>
  <c r="AW262" i="5"/>
  <c r="AX262" i="5"/>
  <c r="AY262" i="5"/>
  <c r="O263" i="5"/>
  <c r="C263" i="5"/>
  <c r="P263" i="5"/>
  <c r="Q263" i="5"/>
  <c r="R263" i="5"/>
  <c r="S263" i="5"/>
  <c r="T263" i="5"/>
  <c r="U263" i="5"/>
  <c r="V263" i="5"/>
  <c r="W263" i="5"/>
  <c r="X263" i="5"/>
  <c r="Y263" i="5"/>
  <c r="Z263" i="5"/>
  <c r="AA263" i="5"/>
  <c r="AB263" i="5"/>
  <c r="AC263" i="5"/>
  <c r="AD263" i="5"/>
  <c r="AE263" i="5"/>
  <c r="AF263" i="5"/>
  <c r="AG263" i="5"/>
  <c r="AH263" i="5"/>
  <c r="AI263" i="5"/>
  <c r="AJ263" i="5"/>
  <c r="AK263" i="5"/>
  <c r="AL263" i="5"/>
  <c r="AM263" i="5"/>
  <c r="AN263" i="5"/>
  <c r="AO263" i="5"/>
  <c r="AP263" i="5"/>
  <c r="AQ263" i="5"/>
  <c r="AR263" i="5"/>
  <c r="AS263" i="5"/>
  <c r="AT263" i="5"/>
  <c r="AU263" i="5"/>
  <c r="AV263" i="5"/>
  <c r="AW263" i="5"/>
  <c r="AX263" i="5"/>
  <c r="AY263" i="5"/>
  <c r="O264" i="5"/>
  <c r="P264" i="5"/>
  <c r="Q264" i="5"/>
  <c r="R264" i="5"/>
  <c r="S264" i="5"/>
  <c r="T264" i="5"/>
  <c r="U264" i="5"/>
  <c r="V264" i="5"/>
  <c r="W264" i="5"/>
  <c r="X264" i="5"/>
  <c r="Y264" i="5"/>
  <c r="Z264" i="5"/>
  <c r="AA264" i="5"/>
  <c r="AB264" i="5"/>
  <c r="AC264" i="5"/>
  <c r="AD264" i="5"/>
  <c r="AE264" i="5"/>
  <c r="AF264" i="5"/>
  <c r="AG264" i="5"/>
  <c r="AH264" i="5"/>
  <c r="AI264" i="5"/>
  <c r="AJ264" i="5"/>
  <c r="AK264" i="5"/>
  <c r="AL264" i="5"/>
  <c r="AM264" i="5"/>
  <c r="AN264" i="5"/>
  <c r="AO264" i="5"/>
  <c r="AP264" i="5"/>
  <c r="AQ264" i="5"/>
  <c r="AR264" i="5"/>
  <c r="AS264" i="5"/>
  <c r="AT264" i="5"/>
  <c r="AU264" i="5"/>
  <c r="AV264" i="5"/>
  <c r="AW264" i="5"/>
  <c r="AX264" i="5"/>
  <c r="AY264" i="5"/>
  <c r="O265" i="5"/>
  <c r="P265" i="5"/>
  <c r="Q265" i="5"/>
  <c r="R265" i="5"/>
  <c r="S265" i="5"/>
  <c r="T265" i="5"/>
  <c r="U265" i="5"/>
  <c r="V265" i="5"/>
  <c r="W265" i="5"/>
  <c r="X265" i="5"/>
  <c r="Y265" i="5"/>
  <c r="Z265" i="5"/>
  <c r="AA265" i="5"/>
  <c r="AB265" i="5"/>
  <c r="AC265" i="5"/>
  <c r="AD265" i="5"/>
  <c r="AE265" i="5"/>
  <c r="AF265" i="5"/>
  <c r="AG265" i="5"/>
  <c r="AH265" i="5"/>
  <c r="AI265" i="5"/>
  <c r="AJ265" i="5"/>
  <c r="AK265" i="5"/>
  <c r="AL265" i="5"/>
  <c r="AM265" i="5"/>
  <c r="AN265" i="5"/>
  <c r="AO265" i="5"/>
  <c r="AP265" i="5"/>
  <c r="AQ265" i="5"/>
  <c r="AR265" i="5"/>
  <c r="AS265" i="5"/>
  <c r="AT265" i="5"/>
  <c r="AU265" i="5"/>
  <c r="AV265" i="5"/>
  <c r="AW265" i="5"/>
  <c r="AX265" i="5"/>
  <c r="AY265" i="5"/>
  <c r="O266" i="5"/>
  <c r="P266" i="5"/>
  <c r="Q266" i="5"/>
  <c r="R266" i="5"/>
  <c r="S266" i="5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AX266" i="5"/>
  <c r="AY266" i="5"/>
  <c r="O267" i="5"/>
  <c r="K267" i="5" s="1"/>
  <c r="L267" i="5" s="1"/>
  <c r="P267" i="5"/>
  <c r="Q267" i="5"/>
  <c r="R267" i="5"/>
  <c r="S267" i="5"/>
  <c r="T267" i="5"/>
  <c r="U267" i="5"/>
  <c r="V267" i="5"/>
  <c r="W267" i="5"/>
  <c r="X267" i="5"/>
  <c r="Y267" i="5"/>
  <c r="Z267" i="5"/>
  <c r="AA267" i="5"/>
  <c r="AB267" i="5"/>
  <c r="AC267" i="5"/>
  <c r="AD267" i="5"/>
  <c r="AE267" i="5"/>
  <c r="AF267" i="5"/>
  <c r="AG267" i="5"/>
  <c r="AH267" i="5"/>
  <c r="AI267" i="5"/>
  <c r="AJ267" i="5"/>
  <c r="AK267" i="5"/>
  <c r="AL267" i="5"/>
  <c r="AM267" i="5"/>
  <c r="AN267" i="5"/>
  <c r="AO267" i="5"/>
  <c r="AP267" i="5"/>
  <c r="AQ267" i="5"/>
  <c r="AR267" i="5"/>
  <c r="AS267" i="5"/>
  <c r="AT267" i="5"/>
  <c r="AU267" i="5"/>
  <c r="AV267" i="5"/>
  <c r="AW267" i="5"/>
  <c r="AX267" i="5"/>
  <c r="AY267" i="5"/>
  <c r="O268" i="5"/>
  <c r="K268" i="5"/>
  <c r="L268" i="5" s="1"/>
  <c r="P268" i="5"/>
  <c r="Q268" i="5"/>
  <c r="R268" i="5"/>
  <c r="S268" i="5"/>
  <c r="T268" i="5"/>
  <c r="U268" i="5"/>
  <c r="V268" i="5"/>
  <c r="W268" i="5"/>
  <c r="X268" i="5"/>
  <c r="Y268" i="5"/>
  <c r="Z268" i="5"/>
  <c r="AA268" i="5"/>
  <c r="AB268" i="5"/>
  <c r="AC268" i="5"/>
  <c r="AD268" i="5"/>
  <c r="AE268" i="5"/>
  <c r="AF268" i="5"/>
  <c r="AG268" i="5"/>
  <c r="AH268" i="5"/>
  <c r="AI268" i="5"/>
  <c r="AJ268" i="5"/>
  <c r="AK268" i="5"/>
  <c r="AL268" i="5"/>
  <c r="AM268" i="5"/>
  <c r="AN268" i="5"/>
  <c r="AO268" i="5"/>
  <c r="AP268" i="5"/>
  <c r="AQ268" i="5"/>
  <c r="AR268" i="5"/>
  <c r="AS268" i="5"/>
  <c r="AT268" i="5"/>
  <c r="AU268" i="5"/>
  <c r="AV268" i="5"/>
  <c r="AW268" i="5"/>
  <c r="AX268" i="5"/>
  <c r="AY268" i="5"/>
  <c r="O269" i="5"/>
  <c r="P269" i="5"/>
  <c r="Q269" i="5"/>
  <c r="C269" i="5" s="1"/>
  <c r="R269" i="5"/>
  <c r="S269" i="5"/>
  <c r="T269" i="5"/>
  <c r="U269" i="5"/>
  <c r="V269" i="5"/>
  <c r="W269" i="5"/>
  <c r="X269" i="5"/>
  <c r="Y269" i="5"/>
  <c r="Z269" i="5"/>
  <c r="AA269" i="5"/>
  <c r="AB269" i="5"/>
  <c r="AC269" i="5"/>
  <c r="AD269" i="5"/>
  <c r="AE269" i="5"/>
  <c r="AF269" i="5"/>
  <c r="AG269" i="5"/>
  <c r="AH269" i="5"/>
  <c r="AI269" i="5"/>
  <c r="AJ269" i="5"/>
  <c r="AK269" i="5"/>
  <c r="AL269" i="5"/>
  <c r="AM269" i="5"/>
  <c r="AN269" i="5"/>
  <c r="AO269" i="5"/>
  <c r="AP269" i="5"/>
  <c r="AQ269" i="5"/>
  <c r="AR269" i="5"/>
  <c r="AS269" i="5"/>
  <c r="AT269" i="5"/>
  <c r="AU269" i="5"/>
  <c r="AV269" i="5"/>
  <c r="AW269" i="5"/>
  <c r="AX269" i="5"/>
  <c r="AY269" i="5"/>
  <c r="O270" i="5"/>
  <c r="P270" i="5"/>
  <c r="Q270" i="5"/>
  <c r="R270" i="5"/>
  <c r="S270" i="5"/>
  <c r="T270" i="5"/>
  <c r="U270" i="5"/>
  <c r="V270" i="5"/>
  <c r="W270" i="5"/>
  <c r="X270" i="5"/>
  <c r="Y270" i="5"/>
  <c r="Z270" i="5"/>
  <c r="AA270" i="5"/>
  <c r="AB270" i="5"/>
  <c r="AC270" i="5"/>
  <c r="AD270" i="5"/>
  <c r="AE270" i="5"/>
  <c r="AF270" i="5"/>
  <c r="AG270" i="5"/>
  <c r="AH270" i="5"/>
  <c r="AI270" i="5"/>
  <c r="AJ270" i="5"/>
  <c r="AK270" i="5"/>
  <c r="AL270" i="5"/>
  <c r="AM270" i="5"/>
  <c r="AN270" i="5"/>
  <c r="AO270" i="5"/>
  <c r="AP270" i="5"/>
  <c r="AQ270" i="5"/>
  <c r="AR270" i="5"/>
  <c r="AS270" i="5"/>
  <c r="AT270" i="5"/>
  <c r="AU270" i="5"/>
  <c r="AV270" i="5"/>
  <c r="AW270" i="5"/>
  <c r="AX270" i="5"/>
  <c r="AY270" i="5"/>
  <c r="O271" i="5"/>
  <c r="P271" i="5"/>
  <c r="Q271" i="5"/>
  <c r="R271" i="5"/>
  <c r="S271" i="5"/>
  <c r="T271" i="5"/>
  <c r="U271" i="5"/>
  <c r="V271" i="5"/>
  <c r="W271" i="5"/>
  <c r="X271" i="5"/>
  <c r="Y271" i="5"/>
  <c r="Z271" i="5"/>
  <c r="AA271" i="5"/>
  <c r="AB271" i="5"/>
  <c r="AC271" i="5"/>
  <c r="AD271" i="5"/>
  <c r="AE271" i="5"/>
  <c r="AF271" i="5"/>
  <c r="AG271" i="5"/>
  <c r="AH271" i="5"/>
  <c r="AI271" i="5"/>
  <c r="AJ271" i="5"/>
  <c r="AK271" i="5"/>
  <c r="AL271" i="5"/>
  <c r="AM271" i="5"/>
  <c r="AN271" i="5"/>
  <c r="AO271" i="5"/>
  <c r="AP271" i="5"/>
  <c r="AQ271" i="5"/>
  <c r="AR271" i="5"/>
  <c r="AS271" i="5"/>
  <c r="AT271" i="5"/>
  <c r="AU271" i="5"/>
  <c r="AV271" i="5"/>
  <c r="AW271" i="5"/>
  <c r="AX271" i="5"/>
  <c r="AY271" i="5"/>
  <c r="O272" i="5"/>
  <c r="P272" i="5"/>
  <c r="Q272" i="5"/>
  <c r="R272" i="5"/>
  <c r="S272" i="5"/>
  <c r="T272" i="5"/>
  <c r="U272" i="5"/>
  <c r="V272" i="5"/>
  <c r="W272" i="5"/>
  <c r="X272" i="5"/>
  <c r="Y272" i="5"/>
  <c r="Z272" i="5"/>
  <c r="AA272" i="5"/>
  <c r="AB272" i="5"/>
  <c r="AC272" i="5"/>
  <c r="AD272" i="5"/>
  <c r="AE272" i="5"/>
  <c r="AF272" i="5"/>
  <c r="AG272" i="5"/>
  <c r="AH272" i="5"/>
  <c r="AI272" i="5"/>
  <c r="AJ272" i="5"/>
  <c r="AK272" i="5"/>
  <c r="AL272" i="5"/>
  <c r="AM272" i="5"/>
  <c r="AN272" i="5"/>
  <c r="AO272" i="5"/>
  <c r="AP272" i="5"/>
  <c r="AQ272" i="5"/>
  <c r="AR272" i="5"/>
  <c r="AS272" i="5"/>
  <c r="AT272" i="5"/>
  <c r="AU272" i="5"/>
  <c r="AV272" i="5"/>
  <c r="AW272" i="5"/>
  <c r="AX272" i="5"/>
  <c r="AY272" i="5"/>
  <c r="O273" i="5"/>
  <c r="P273" i="5"/>
  <c r="Q273" i="5"/>
  <c r="R273" i="5"/>
  <c r="S273" i="5"/>
  <c r="T273" i="5"/>
  <c r="U273" i="5"/>
  <c r="V273" i="5"/>
  <c r="W273" i="5"/>
  <c r="X273" i="5"/>
  <c r="Y273" i="5"/>
  <c r="Z273" i="5"/>
  <c r="AA273" i="5"/>
  <c r="AB273" i="5"/>
  <c r="AC273" i="5"/>
  <c r="AD273" i="5"/>
  <c r="AE273" i="5"/>
  <c r="AF273" i="5"/>
  <c r="AG273" i="5"/>
  <c r="AH273" i="5"/>
  <c r="AI273" i="5"/>
  <c r="AJ273" i="5"/>
  <c r="AK273" i="5"/>
  <c r="AL273" i="5"/>
  <c r="AM273" i="5"/>
  <c r="AN273" i="5"/>
  <c r="AO273" i="5"/>
  <c r="AP273" i="5"/>
  <c r="AQ273" i="5"/>
  <c r="AR273" i="5"/>
  <c r="AS273" i="5"/>
  <c r="AT273" i="5"/>
  <c r="AU273" i="5"/>
  <c r="AV273" i="5"/>
  <c r="AW273" i="5"/>
  <c r="AX273" i="5"/>
  <c r="AY273" i="5"/>
  <c r="O274" i="5"/>
  <c r="P274" i="5"/>
  <c r="Q274" i="5"/>
  <c r="R274" i="5"/>
  <c r="S274" i="5"/>
  <c r="T274" i="5"/>
  <c r="U274" i="5"/>
  <c r="V274" i="5"/>
  <c r="W274" i="5"/>
  <c r="X274" i="5"/>
  <c r="Y274" i="5"/>
  <c r="Z274" i="5"/>
  <c r="AA274" i="5"/>
  <c r="AB274" i="5"/>
  <c r="AC274" i="5"/>
  <c r="AD274" i="5"/>
  <c r="AE274" i="5"/>
  <c r="AF274" i="5"/>
  <c r="AG274" i="5"/>
  <c r="AH274" i="5"/>
  <c r="AI274" i="5"/>
  <c r="AJ274" i="5"/>
  <c r="AK274" i="5"/>
  <c r="AL274" i="5"/>
  <c r="AM274" i="5"/>
  <c r="AN274" i="5"/>
  <c r="AO274" i="5"/>
  <c r="AP274" i="5"/>
  <c r="AQ274" i="5"/>
  <c r="AR274" i="5"/>
  <c r="AS274" i="5"/>
  <c r="AT274" i="5"/>
  <c r="AU274" i="5"/>
  <c r="AV274" i="5"/>
  <c r="AW274" i="5"/>
  <c r="AX274" i="5"/>
  <c r="AY274" i="5"/>
  <c r="O275" i="5"/>
  <c r="K275" i="5"/>
  <c r="L275" i="5" s="1"/>
  <c r="P275" i="5"/>
  <c r="Q275" i="5"/>
  <c r="R275" i="5"/>
  <c r="S275" i="5"/>
  <c r="T275" i="5"/>
  <c r="U275" i="5"/>
  <c r="V275" i="5"/>
  <c r="W275" i="5"/>
  <c r="X275" i="5"/>
  <c r="Y275" i="5"/>
  <c r="Z275" i="5"/>
  <c r="AA275" i="5"/>
  <c r="AB275" i="5"/>
  <c r="AC275" i="5"/>
  <c r="AD275" i="5"/>
  <c r="AE275" i="5"/>
  <c r="AF275" i="5"/>
  <c r="AG275" i="5"/>
  <c r="AH275" i="5"/>
  <c r="AI275" i="5"/>
  <c r="AJ275" i="5"/>
  <c r="AK275" i="5"/>
  <c r="AL275" i="5"/>
  <c r="AM275" i="5"/>
  <c r="AN275" i="5"/>
  <c r="AO275" i="5"/>
  <c r="AP275" i="5"/>
  <c r="AQ275" i="5"/>
  <c r="AR275" i="5"/>
  <c r="AS275" i="5"/>
  <c r="AT275" i="5"/>
  <c r="AU275" i="5"/>
  <c r="AV275" i="5"/>
  <c r="AW275" i="5"/>
  <c r="AX275" i="5"/>
  <c r="AY275" i="5"/>
  <c r="O276" i="5"/>
  <c r="P276" i="5"/>
  <c r="Q276" i="5"/>
  <c r="R276" i="5"/>
  <c r="S276" i="5"/>
  <c r="T276" i="5"/>
  <c r="U276" i="5"/>
  <c r="V276" i="5"/>
  <c r="W276" i="5"/>
  <c r="X276" i="5"/>
  <c r="Y276" i="5"/>
  <c r="Z276" i="5"/>
  <c r="AA276" i="5"/>
  <c r="AB276" i="5"/>
  <c r="AC276" i="5"/>
  <c r="AD276" i="5"/>
  <c r="AE276" i="5"/>
  <c r="AF276" i="5"/>
  <c r="AG276" i="5"/>
  <c r="AH276" i="5"/>
  <c r="AI276" i="5"/>
  <c r="AJ276" i="5"/>
  <c r="AK276" i="5"/>
  <c r="AL276" i="5"/>
  <c r="AM276" i="5"/>
  <c r="AN276" i="5"/>
  <c r="AO276" i="5"/>
  <c r="AP276" i="5"/>
  <c r="AQ276" i="5"/>
  <c r="AR276" i="5"/>
  <c r="AS276" i="5"/>
  <c r="AT276" i="5"/>
  <c r="AU276" i="5"/>
  <c r="AV276" i="5"/>
  <c r="AW276" i="5"/>
  <c r="AX276" i="5"/>
  <c r="AY276" i="5"/>
  <c r="O277" i="5"/>
  <c r="K277" i="5" s="1"/>
  <c r="L277" i="5" s="1"/>
  <c r="P277" i="5"/>
  <c r="Q277" i="5"/>
  <c r="R277" i="5"/>
  <c r="S277" i="5"/>
  <c r="T277" i="5"/>
  <c r="U277" i="5"/>
  <c r="V277" i="5"/>
  <c r="W277" i="5"/>
  <c r="X277" i="5"/>
  <c r="Y277" i="5"/>
  <c r="Z277" i="5"/>
  <c r="AA277" i="5"/>
  <c r="AB277" i="5"/>
  <c r="AC277" i="5"/>
  <c r="AD277" i="5"/>
  <c r="AE277" i="5"/>
  <c r="AF277" i="5"/>
  <c r="AG277" i="5"/>
  <c r="AH277" i="5"/>
  <c r="AI277" i="5"/>
  <c r="AJ277" i="5"/>
  <c r="AK277" i="5"/>
  <c r="AL277" i="5"/>
  <c r="AM277" i="5"/>
  <c r="AN277" i="5"/>
  <c r="AO277" i="5"/>
  <c r="AP277" i="5"/>
  <c r="AQ277" i="5"/>
  <c r="AR277" i="5"/>
  <c r="AS277" i="5"/>
  <c r="AT277" i="5"/>
  <c r="AU277" i="5"/>
  <c r="AV277" i="5"/>
  <c r="AW277" i="5"/>
  <c r="AX277" i="5"/>
  <c r="AY277" i="5"/>
  <c r="O278" i="5"/>
  <c r="P278" i="5"/>
  <c r="Q278" i="5"/>
  <c r="R278" i="5"/>
  <c r="S278" i="5"/>
  <c r="T278" i="5"/>
  <c r="U278" i="5"/>
  <c r="V278" i="5"/>
  <c r="W278" i="5"/>
  <c r="X278" i="5"/>
  <c r="Y278" i="5"/>
  <c r="Z278" i="5"/>
  <c r="AA278" i="5"/>
  <c r="AB278" i="5"/>
  <c r="AC278" i="5"/>
  <c r="AD278" i="5"/>
  <c r="AE278" i="5"/>
  <c r="AF278" i="5"/>
  <c r="AG278" i="5"/>
  <c r="AH278" i="5"/>
  <c r="AI278" i="5"/>
  <c r="AJ278" i="5"/>
  <c r="AK278" i="5"/>
  <c r="AL278" i="5"/>
  <c r="AM278" i="5"/>
  <c r="AN278" i="5"/>
  <c r="AO278" i="5"/>
  <c r="AP278" i="5"/>
  <c r="AQ278" i="5"/>
  <c r="AR278" i="5"/>
  <c r="AS278" i="5"/>
  <c r="AT278" i="5"/>
  <c r="AU278" i="5"/>
  <c r="AV278" i="5"/>
  <c r="AW278" i="5"/>
  <c r="AX278" i="5"/>
  <c r="AY278" i="5"/>
  <c r="O279" i="5"/>
  <c r="P279" i="5"/>
  <c r="Q279" i="5"/>
  <c r="R279" i="5"/>
  <c r="S279" i="5"/>
  <c r="T279" i="5"/>
  <c r="U279" i="5"/>
  <c r="V279" i="5"/>
  <c r="W279" i="5"/>
  <c r="X279" i="5"/>
  <c r="Y279" i="5"/>
  <c r="Z279" i="5"/>
  <c r="AA279" i="5"/>
  <c r="AB279" i="5"/>
  <c r="AC279" i="5"/>
  <c r="AD279" i="5"/>
  <c r="AE279" i="5"/>
  <c r="AF279" i="5"/>
  <c r="AG279" i="5"/>
  <c r="AH279" i="5"/>
  <c r="AI279" i="5"/>
  <c r="AJ279" i="5"/>
  <c r="AK279" i="5"/>
  <c r="AL279" i="5"/>
  <c r="AM279" i="5"/>
  <c r="AN279" i="5"/>
  <c r="AO279" i="5"/>
  <c r="AP279" i="5"/>
  <c r="AQ279" i="5"/>
  <c r="AR279" i="5"/>
  <c r="AS279" i="5"/>
  <c r="AT279" i="5"/>
  <c r="AU279" i="5"/>
  <c r="AV279" i="5"/>
  <c r="AW279" i="5"/>
  <c r="AX279" i="5"/>
  <c r="AY279" i="5"/>
  <c r="O280" i="5"/>
  <c r="P280" i="5"/>
  <c r="Q280" i="5"/>
  <c r="R280" i="5"/>
  <c r="S280" i="5"/>
  <c r="T280" i="5"/>
  <c r="U280" i="5"/>
  <c r="V280" i="5"/>
  <c r="W280" i="5"/>
  <c r="X280" i="5"/>
  <c r="Y280" i="5"/>
  <c r="Z280" i="5"/>
  <c r="AA280" i="5"/>
  <c r="AB280" i="5"/>
  <c r="AC280" i="5"/>
  <c r="AD280" i="5"/>
  <c r="AE280" i="5"/>
  <c r="AF280" i="5"/>
  <c r="AG280" i="5"/>
  <c r="AH280" i="5"/>
  <c r="AI280" i="5"/>
  <c r="AJ280" i="5"/>
  <c r="AK280" i="5"/>
  <c r="AL280" i="5"/>
  <c r="AM280" i="5"/>
  <c r="AN280" i="5"/>
  <c r="AO280" i="5"/>
  <c r="AP280" i="5"/>
  <c r="AQ280" i="5"/>
  <c r="AR280" i="5"/>
  <c r="AS280" i="5"/>
  <c r="AT280" i="5"/>
  <c r="AU280" i="5"/>
  <c r="AV280" i="5"/>
  <c r="AW280" i="5"/>
  <c r="AX280" i="5"/>
  <c r="AY280" i="5"/>
  <c r="O281" i="5"/>
  <c r="P281" i="5"/>
  <c r="Q281" i="5"/>
  <c r="R281" i="5"/>
  <c r="S281" i="5"/>
  <c r="T281" i="5"/>
  <c r="U281" i="5"/>
  <c r="V281" i="5"/>
  <c r="W281" i="5"/>
  <c r="X281" i="5"/>
  <c r="Y281" i="5"/>
  <c r="Z281" i="5"/>
  <c r="AA281" i="5"/>
  <c r="AB281" i="5"/>
  <c r="AC281" i="5"/>
  <c r="AD281" i="5"/>
  <c r="AE281" i="5"/>
  <c r="AF281" i="5"/>
  <c r="AG281" i="5"/>
  <c r="AH281" i="5"/>
  <c r="AI281" i="5"/>
  <c r="AJ281" i="5"/>
  <c r="AK281" i="5"/>
  <c r="AL281" i="5"/>
  <c r="AM281" i="5"/>
  <c r="AN281" i="5"/>
  <c r="AO281" i="5"/>
  <c r="AP281" i="5"/>
  <c r="AQ281" i="5"/>
  <c r="AR281" i="5"/>
  <c r="AS281" i="5"/>
  <c r="AT281" i="5"/>
  <c r="AU281" i="5"/>
  <c r="AV281" i="5"/>
  <c r="AW281" i="5"/>
  <c r="AX281" i="5"/>
  <c r="AY281" i="5"/>
  <c r="O282" i="5"/>
  <c r="P282" i="5"/>
  <c r="Q282" i="5"/>
  <c r="R282" i="5"/>
  <c r="S282" i="5"/>
  <c r="T282" i="5"/>
  <c r="U282" i="5"/>
  <c r="V282" i="5"/>
  <c r="W282" i="5"/>
  <c r="X282" i="5"/>
  <c r="Y282" i="5"/>
  <c r="Z282" i="5"/>
  <c r="AA282" i="5"/>
  <c r="AB282" i="5"/>
  <c r="AC282" i="5"/>
  <c r="AD282" i="5"/>
  <c r="AE282" i="5"/>
  <c r="AF282" i="5"/>
  <c r="AG282" i="5"/>
  <c r="AH282" i="5"/>
  <c r="AI282" i="5"/>
  <c r="AJ282" i="5"/>
  <c r="AK282" i="5"/>
  <c r="AL282" i="5"/>
  <c r="AM282" i="5"/>
  <c r="AN282" i="5"/>
  <c r="AO282" i="5"/>
  <c r="AP282" i="5"/>
  <c r="AQ282" i="5"/>
  <c r="AR282" i="5"/>
  <c r="AS282" i="5"/>
  <c r="AT282" i="5"/>
  <c r="AU282" i="5"/>
  <c r="AV282" i="5"/>
  <c r="AW282" i="5"/>
  <c r="AX282" i="5"/>
  <c r="AY282" i="5"/>
  <c r="O283" i="5"/>
  <c r="P283" i="5"/>
  <c r="Q283" i="5"/>
  <c r="R283" i="5"/>
  <c r="S283" i="5"/>
  <c r="T283" i="5"/>
  <c r="U283" i="5"/>
  <c r="V283" i="5"/>
  <c r="W283" i="5"/>
  <c r="X283" i="5"/>
  <c r="Y283" i="5"/>
  <c r="Z283" i="5"/>
  <c r="AA283" i="5"/>
  <c r="AB283" i="5"/>
  <c r="AC283" i="5"/>
  <c r="AD283" i="5"/>
  <c r="AE283" i="5"/>
  <c r="AF283" i="5"/>
  <c r="AG283" i="5"/>
  <c r="AH283" i="5"/>
  <c r="AI283" i="5"/>
  <c r="AJ283" i="5"/>
  <c r="AK283" i="5"/>
  <c r="AL283" i="5"/>
  <c r="AM283" i="5"/>
  <c r="AN283" i="5"/>
  <c r="AO283" i="5"/>
  <c r="AP283" i="5"/>
  <c r="AQ283" i="5"/>
  <c r="AR283" i="5"/>
  <c r="AS283" i="5"/>
  <c r="AT283" i="5"/>
  <c r="AU283" i="5"/>
  <c r="AV283" i="5"/>
  <c r="AW283" i="5"/>
  <c r="AX283" i="5"/>
  <c r="AY283" i="5"/>
  <c r="O284" i="5"/>
  <c r="P284" i="5"/>
  <c r="Q284" i="5"/>
  <c r="R284" i="5"/>
  <c r="S284" i="5"/>
  <c r="T284" i="5"/>
  <c r="U284" i="5"/>
  <c r="V284" i="5"/>
  <c r="W284" i="5"/>
  <c r="X284" i="5"/>
  <c r="Y284" i="5"/>
  <c r="Z284" i="5"/>
  <c r="AA284" i="5"/>
  <c r="AB284" i="5"/>
  <c r="AC284" i="5"/>
  <c r="AD284" i="5"/>
  <c r="AE284" i="5"/>
  <c r="AF284" i="5"/>
  <c r="AG284" i="5"/>
  <c r="AH284" i="5"/>
  <c r="AI284" i="5"/>
  <c r="AJ284" i="5"/>
  <c r="AK284" i="5"/>
  <c r="AL284" i="5"/>
  <c r="AM284" i="5"/>
  <c r="AN284" i="5"/>
  <c r="AO284" i="5"/>
  <c r="AP284" i="5"/>
  <c r="AQ284" i="5"/>
  <c r="AR284" i="5"/>
  <c r="AS284" i="5"/>
  <c r="AT284" i="5"/>
  <c r="AU284" i="5"/>
  <c r="AV284" i="5"/>
  <c r="AW284" i="5"/>
  <c r="AX284" i="5"/>
  <c r="AY284" i="5"/>
  <c r="O285" i="5"/>
  <c r="P285" i="5"/>
  <c r="Q285" i="5"/>
  <c r="R285" i="5"/>
  <c r="S285" i="5"/>
  <c r="T285" i="5"/>
  <c r="U285" i="5"/>
  <c r="V285" i="5"/>
  <c r="W285" i="5"/>
  <c r="X285" i="5"/>
  <c r="Y285" i="5"/>
  <c r="Z285" i="5"/>
  <c r="AA285" i="5"/>
  <c r="AB285" i="5"/>
  <c r="AC285" i="5"/>
  <c r="AD285" i="5"/>
  <c r="AE285" i="5"/>
  <c r="AF285" i="5"/>
  <c r="AG285" i="5"/>
  <c r="AH285" i="5"/>
  <c r="AI285" i="5"/>
  <c r="AJ285" i="5"/>
  <c r="AK285" i="5"/>
  <c r="AL285" i="5"/>
  <c r="AM285" i="5"/>
  <c r="AN285" i="5"/>
  <c r="AO285" i="5"/>
  <c r="AP285" i="5"/>
  <c r="AQ285" i="5"/>
  <c r="AR285" i="5"/>
  <c r="AS285" i="5"/>
  <c r="AT285" i="5"/>
  <c r="AU285" i="5"/>
  <c r="AV285" i="5"/>
  <c r="AW285" i="5"/>
  <c r="AX285" i="5"/>
  <c r="AY285" i="5"/>
  <c r="O286" i="5"/>
  <c r="P286" i="5"/>
  <c r="Q286" i="5"/>
  <c r="R286" i="5"/>
  <c r="S286" i="5"/>
  <c r="T286" i="5"/>
  <c r="U286" i="5"/>
  <c r="V286" i="5"/>
  <c r="W286" i="5"/>
  <c r="X286" i="5"/>
  <c r="Y286" i="5"/>
  <c r="Z286" i="5"/>
  <c r="AA286" i="5"/>
  <c r="AB286" i="5"/>
  <c r="AC286" i="5"/>
  <c r="AD286" i="5"/>
  <c r="AE286" i="5"/>
  <c r="AF286" i="5"/>
  <c r="AG286" i="5"/>
  <c r="AH286" i="5"/>
  <c r="AI286" i="5"/>
  <c r="AJ286" i="5"/>
  <c r="AK286" i="5"/>
  <c r="AL286" i="5"/>
  <c r="AM286" i="5"/>
  <c r="AN286" i="5"/>
  <c r="AO286" i="5"/>
  <c r="AP286" i="5"/>
  <c r="AQ286" i="5"/>
  <c r="AR286" i="5"/>
  <c r="AS286" i="5"/>
  <c r="AT286" i="5"/>
  <c r="AU286" i="5"/>
  <c r="AV286" i="5"/>
  <c r="AW286" i="5"/>
  <c r="AX286" i="5"/>
  <c r="AY286" i="5"/>
  <c r="O287" i="5"/>
  <c r="P287" i="5"/>
  <c r="Q287" i="5"/>
  <c r="R287" i="5"/>
  <c r="S287" i="5"/>
  <c r="T287" i="5"/>
  <c r="U287" i="5"/>
  <c r="V287" i="5"/>
  <c r="W287" i="5"/>
  <c r="X287" i="5"/>
  <c r="Y287" i="5"/>
  <c r="Z287" i="5"/>
  <c r="AA287" i="5"/>
  <c r="AB287" i="5"/>
  <c r="AC287" i="5"/>
  <c r="AD287" i="5"/>
  <c r="AE287" i="5"/>
  <c r="AF287" i="5"/>
  <c r="AG287" i="5"/>
  <c r="AH287" i="5"/>
  <c r="AI287" i="5"/>
  <c r="AJ287" i="5"/>
  <c r="AK287" i="5"/>
  <c r="AL287" i="5"/>
  <c r="AM287" i="5"/>
  <c r="AN287" i="5"/>
  <c r="AO287" i="5"/>
  <c r="AP287" i="5"/>
  <c r="AQ287" i="5"/>
  <c r="AR287" i="5"/>
  <c r="AS287" i="5"/>
  <c r="AT287" i="5"/>
  <c r="AU287" i="5"/>
  <c r="AV287" i="5"/>
  <c r="AW287" i="5"/>
  <c r="AX287" i="5"/>
  <c r="AY287" i="5"/>
  <c r="O288" i="5"/>
  <c r="P288" i="5"/>
  <c r="Q288" i="5"/>
  <c r="R288" i="5"/>
  <c r="S288" i="5"/>
  <c r="T288" i="5"/>
  <c r="U288" i="5"/>
  <c r="V288" i="5"/>
  <c r="W288" i="5"/>
  <c r="X288" i="5"/>
  <c r="Y288" i="5"/>
  <c r="Z288" i="5"/>
  <c r="AA288" i="5"/>
  <c r="AB288" i="5"/>
  <c r="AC288" i="5"/>
  <c r="AD288" i="5"/>
  <c r="AE288" i="5"/>
  <c r="AF288" i="5"/>
  <c r="AG288" i="5"/>
  <c r="AH288" i="5"/>
  <c r="AI288" i="5"/>
  <c r="AJ288" i="5"/>
  <c r="AK288" i="5"/>
  <c r="AL288" i="5"/>
  <c r="AM288" i="5"/>
  <c r="AN288" i="5"/>
  <c r="AO288" i="5"/>
  <c r="AP288" i="5"/>
  <c r="AQ288" i="5"/>
  <c r="AR288" i="5"/>
  <c r="AS288" i="5"/>
  <c r="AT288" i="5"/>
  <c r="AU288" i="5"/>
  <c r="AV288" i="5"/>
  <c r="AW288" i="5"/>
  <c r="AX288" i="5"/>
  <c r="AY288" i="5"/>
  <c r="O289" i="5"/>
  <c r="P289" i="5"/>
  <c r="Q289" i="5"/>
  <c r="C289" i="5"/>
  <c r="R289" i="5"/>
  <c r="S289" i="5"/>
  <c r="T289" i="5"/>
  <c r="U289" i="5"/>
  <c r="V289" i="5"/>
  <c r="W289" i="5"/>
  <c r="X289" i="5"/>
  <c r="Y289" i="5"/>
  <c r="Z289" i="5"/>
  <c r="AA289" i="5"/>
  <c r="AB289" i="5"/>
  <c r="AC289" i="5"/>
  <c r="AD289" i="5"/>
  <c r="AE289" i="5"/>
  <c r="AF289" i="5"/>
  <c r="AG289" i="5"/>
  <c r="AH289" i="5"/>
  <c r="AI289" i="5"/>
  <c r="AJ289" i="5"/>
  <c r="AK289" i="5"/>
  <c r="AL289" i="5"/>
  <c r="AM289" i="5"/>
  <c r="AN289" i="5"/>
  <c r="AO289" i="5"/>
  <c r="AP289" i="5"/>
  <c r="AQ289" i="5"/>
  <c r="AR289" i="5"/>
  <c r="AS289" i="5"/>
  <c r="AT289" i="5"/>
  <c r="AU289" i="5"/>
  <c r="AV289" i="5"/>
  <c r="AW289" i="5"/>
  <c r="AX289" i="5"/>
  <c r="AY289" i="5"/>
  <c r="O290" i="5"/>
  <c r="P290" i="5"/>
  <c r="Q290" i="5"/>
  <c r="R290" i="5"/>
  <c r="S290" i="5"/>
  <c r="T290" i="5"/>
  <c r="U290" i="5"/>
  <c r="V290" i="5"/>
  <c r="W290" i="5"/>
  <c r="X290" i="5"/>
  <c r="Y290" i="5"/>
  <c r="Z290" i="5"/>
  <c r="AA290" i="5"/>
  <c r="AB290" i="5"/>
  <c r="AC290" i="5"/>
  <c r="AD290" i="5"/>
  <c r="AE290" i="5"/>
  <c r="AF290" i="5"/>
  <c r="AG290" i="5"/>
  <c r="AH290" i="5"/>
  <c r="AI290" i="5"/>
  <c r="AJ290" i="5"/>
  <c r="AK290" i="5"/>
  <c r="AL290" i="5"/>
  <c r="AM290" i="5"/>
  <c r="AN290" i="5"/>
  <c r="AO290" i="5"/>
  <c r="AP290" i="5"/>
  <c r="AQ290" i="5"/>
  <c r="AR290" i="5"/>
  <c r="AS290" i="5"/>
  <c r="AT290" i="5"/>
  <c r="AU290" i="5"/>
  <c r="AV290" i="5"/>
  <c r="AW290" i="5"/>
  <c r="AX290" i="5"/>
  <c r="AY290" i="5"/>
  <c r="O291" i="5"/>
  <c r="P291" i="5"/>
  <c r="Q291" i="5"/>
  <c r="R291" i="5"/>
  <c r="S291" i="5"/>
  <c r="T291" i="5"/>
  <c r="U291" i="5"/>
  <c r="V291" i="5"/>
  <c r="W291" i="5"/>
  <c r="X291" i="5"/>
  <c r="Y291" i="5"/>
  <c r="Z291" i="5"/>
  <c r="AA291" i="5"/>
  <c r="AB291" i="5"/>
  <c r="AC291" i="5"/>
  <c r="AD291" i="5"/>
  <c r="AE291" i="5"/>
  <c r="AF291" i="5"/>
  <c r="AG291" i="5"/>
  <c r="AH291" i="5"/>
  <c r="AI291" i="5"/>
  <c r="AJ291" i="5"/>
  <c r="AK291" i="5"/>
  <c r="AL291" i="5"/>
  <c r="AM291" i="5"/>
  <c r="AN291" i="5"/>
  <c r="AO291" i="5"/>
  <c r="AP291" i="5"/>
  <c r="AQ291" i="5"/>
  <c r="AR291" i="5"/>
  <c r="AS291" i="5"/>
  <c r="AT291" i="5"/>
  <c r="AU291" i="5"/>
  <c r="AV291" i="5"/>
  <c r="AW291" i="5"/>
  <c r="AX291" i="5"/>
  <c r="AY291" i="5"/>
  <c r="O292" i="5"/>
  <c r="P292" i="5"/>
  <c r="Q292" i="5"/>
  <c r="R292" i="5"/>
  <c r="S292" i="5"/>
  <c r="T292" i="5"/>
  <c r="U292" i="5"/>
  <c r="V292" i="5"/>
  <c r="W292" i="5"/>
  <c r="X292" i="5"/>
  <c r="Y292" i="5"/>
  <c r="Z292" i="5"/>
  <c r="AA292" i="5"/>
  <c r="AB292" i="5"/>
  <c r="AC292" i="5"/>
  <c r="AD292" i="5"/>
  <c r="AE292" i="5"/>
  <c r="AF292" i="5"/>
  <c r="AG292" i="5"/>
  <c r="AH292" i="5"/>
  <c r="AI292" i="5"/>
  <c r="AJ292" i="5"/>
  <c r="AK292" i="5"/>
  <c r="AL292" i="5"/>
  <c r="AM292" i="5"/>
  <c r="AN292" i="5"/>
  <c r="AO292" i="5"/>
  <c r="AP292" i="5"/>
  <c r="AQ292" i="5"/>
  <c r="AR292" i="5"/>
  <c r="AS292" i="5"/>
  <c r="AT292" i="5"/>
  <c r="AU292" i="5"/>
  <c r="AV292" i="5"/>
  <c r="AW292" i="5"/>
  <c r="AX292" i="5"/>
  <c r="AY292" i="5"/>
  <c r="O293" i="5"/>
  <c r="P293" i="5"/>
  <c r="Q293" i="5"/>
  <c r="R293" i="5"/>
  <c r="S293" i="5"/>
  <c r="T293" i="5"/>
  <c r="U293" i="5"/>
  <c r="V293" i="5"/>
  <c r="W293" i="5"/>
  <c r="X293" i="5"/>
  <c r="Y293" i="5"/>
  <c r="Z293" i="5"/>
  <c r="AA293" i="5"/>
  <c r="AB293" i="5"/>
  <c r="AC293" i="5"/>
  <c r="AD293" i="5"/>
  <c r="AE293" i="5"/>
  <c r="AF293" i="5"/>
  <c r="AG293" i="5"/>
  <c r="AH293" i="5"/>
  <c r="AI293" i="5"/>
  <c r="AJ293" i="5"/>
  <c r="AK293" i="5"/>
  <c r="AL293" i="5"/>
  <c r="AM293" i="5"/>
  <c r="AN293" i="5"/>
  <c r="AO293" i="5"/>
  <c r="AP293" i="5"/>
  <c r="AQ293" i="5"/>
  <c r="AR293" i="5"/>
  <c r="AS293" i="5"/>
  <c r="AT293" i="5"/>
  <c r="AU293" i="5"/>
  <c r="AV293" i="5"/>
  <c r="AW293" i="5"/>
  <c r="AX293" i="5"/>
  <c r="AY293" i="5"/>
  <c r="O294" i="5"/>
  <c r="P294" i="5"/>
  <c r="Q294" i="5"/>
  <c r="R294" i="5"/>
  <c r="S294" i="5"/>
  <c r="T294" i="5"/>
  <c r="U294" i="5"/>
  <c r="V294" i="5"/>
  <c r="W294" i="5"/>
  <c r="X294" i="5"/>
  <c r="Y294" i="5"/>
  <c r="Z294" i="5"/>
  <c r="AA294" i="5"/>
  <c r="AB294" i="5"/>
  <c r="AC294" i="5"/>
  <c r="AD294" i="5"/>
  <c r="AE294" i="5"/>
  <c r="AF294" i="5"/>
  <c r="AG294" i="5"/>
  <c r="AH294" i="5"/>
  <c r="AI294" i="5"/>
  <c r="AJ294" i="5"/>
  <c r="AK294" i="5"/>
  <c r="AL294" i="5"/>
  <c r="AM294" i="5"/>
  <c r="AN294" i="5"/>
  <c r="AO294" i="5"/>
  <c r="AP294" i="5"/>
  <c r="AQ294" i="5"/>
  <c r="AR294" i="5"/>
  <c r="AS294" i="5"/>
  <c r="AT294" i="5"/>
  <c r="AU294" i="5"/>
  <c r="AV294" i="5"/>
  <c r="AW294" i="5"/>
  <c r="AX294" i="5"/>
  <c r="AY294" i="5"/>
  <c r="O295" i="5"/>
  <c r="P295" i="5"/>
  <c r="Q295" i="5"/>
  <c r="R295" i="5"/>
  <c r="S295" i="5"/>
  <c r="T295" i="5"/>
  <c r="U295" i="5"/>
  <c r="V295" i="5"/>
  <c r="W295" i="5"/>
  <c r="X295" i="5"/>
  <c r="Y295" i="5"/>
  <c r="Z295" i="5"/>
  <c r="AA295" i="5"/>
  <c r="AB295" i="5"/>
  <c r="AC295" i="5"/>
  <c r="AD295" i="5"/>
  <c r="AE295" i="5"/>
  <c r="AF295" i="5"/>
  <c r="AG295" i="5"/>
  <c r="AH295" i="5"/>
  <c r="AI295" i="5"/>
  <c r="AJ295" i="5"/>
  <c r="AK295" i="5"/>
  <c r="AL295" i="5"/>
  <c r="AM295" i="5"/>
  <c r="AN295" i="5"/>
  <c r="AO295" i="5"/>
  <c r="AP295" i="5"/>
  <c r="AQ295" i="5"/>
  <c r="AR295" i="5"/>
  <c r="AS295" i="5"/>
  <c r="AT295" i="5"/>
  <c r="AU295" i="5"/>
  <c r="AV295" i="5"/>
  <c r="AW295" i="5"/>
  <c r="AX295" i="5"/>
  <c r="AY295" i="5"/>
  <c r="O296" i="5"/>
  <c r="P296" i="5"/>
  <c r="Q296" i="5"/>
  <c r="R296" i="5"/>
  <c r="S296" i="5"/>
  <c r="T296" i="5"/>
  <c r="U296" i="5"/>
  <c r="V296" i="5"/>
  <c r="W296" i="5"/>
  <c r="X296" i="5"/>
  <c r="Y296" i="5"/>
  <c r="Z296" i="5"/>
  <c r="AA296" i="5"/>
  <c r="AB296" i="5"/>
  <c r="AC296" i="5"/>
  <c r="AD296" i="5"/>
  <c r="AE296" i="5"/>
  <c r="AF296" i="5"/>
  <c r="AG296" i="5"/>
  <c r="AH296" i="5"/>
  <c r="AI296" i="5"/>
  <c r="AJ296" i="5"/>
  <c r="AK296" i="5"/>
  <c r="AL296" i="5"/>
  <c r="AM296" i="5"/>
  <c r="AN296" i="5"/>
  <c r="AO296" i="5"/>
  <c r="AP296" i="5"/>
  <c r="AQ296" i="5"/>
  <c r="AR296" i="5"/>
  <c r="AS296" i="5"/>
  <c r="AT296" i="5"/>
  <c r="AU296" i="5"/>
  <c r="AV296" i="5"/>
  <c r="AW296" i="5"/>
  <c r="AX296" i="5"/>
  <c r="AY296" i="5"/>
  <c r="O297" i="5"/>
  <c r="P297" i="5"/>
  <c r="Q297" i="5"/>
  <c r="R297" i="5"/>
  <c r="S297" i="5"/>
  <c r="T297" i="5"/>
  <c r="U297" i="5"/>
  <c r="V297" i="5"/>
  <c r="W297" i="5"/>
  <c r="X297" i="5"/>
  <c r="Y297" i="5"/>
  <c r="Z297" i="5"/>
  <c r="AA297" i="5"/>
  <c r="AB297" i="5"/>
  <c r="AC297" i="5"/>
  <c r="AD297" i="5"/>
  <c r="AE297" i="5"/>
  <c r="AF297" i="5"/>
  <c r="AG297" i="5"/>
  <c r="AH297" i="5"/>
  <c r="AI297" i="5"/>
  <c r="AJ297" i="5"/>
  <c r="AK297" i="5"/>
  <c r="AL297" i="5"/>
  <c r="AM297" i="5"/>
  <c r="AN297" i="5"/>
  <c r="AO297" i="5"/>
  <c r="AP297" i="5"/>
  <c r="AQ297" i="5"/>
  <c r="AR297" i="5"/>
  <c r="AS297" i="5"/>
  <c r="AT297" i="5"/>
  <c r="AU297" i="5"/>
  <c r="AV297" i="5"/>
  <c r="AW297" i="5"/>
  <c r="AX297" i="5"/>
  <c r="AY297" i="5"/>
  <c r="O298" i="5"/>
  <c r="P298" i="5"/>
  <c r="Q298" i="5"/>
  <c r="R298" i="5"/>
  <c r="S298" i="5"/>
  <c r="T298" i="5"/>
  <c r="U298" i="5"/>
  <c r="V298" i="5"/>
  <c r="W298" i="5"/>
  <c r="X298" i="5"/>
  <c r="Y298" i="5"/>
  <c r="Z298" i="5"/>
  <c r="AA298" i="5"/>
  <c r="AB298" i="5"/>
  <c r="AC298" i="5"/>
  <c r="AD298" i="5"/>
  <c r="AE298" i="5"/>
  <c r="AF298" i="5"/>
  <c r="AG298" i="5"/>
  <c r="AH298" i="5"/>
  <c r="AI298" i="5"/>
  <c r="AJ298" i="5"/>
  <c r="AK298" i="5"/>
  <c r="AL298" i="5"/>
  <c r="AM298" i="5"/>
  <c r="AN298" i="5"/>
  <c r="AO298" i="5"/>
  <c r="AP298" i="5"/>
  <c r="AQ298" i="5"/>
  <c r="AR298" i="5"/>
  <c r="AS298" i="5"/>
  <c r="AT298" i="5"/>
  <c r="AU298" i="5"/>
  <c r="AV298" i="5"/>
  <c r="AW298" i="5"/>
  <c r="AX298" i="5"/>
  <c r="AY298" i="5"/>
  <c r="O299" i="5"/>
  <c r="B299" i="5" s="1"/>
  <c r="P299" i="5"/>
  <c r="Q299" i="5"/>
  <c r="R299" i="5"/>
  <c r="S299" i="5"/>
  <c r="T299" i="5"/>
  <c r="U299" i="5"/>
  <c r="V299" i="5"/>
  <c r="W299" i="5"/>
  <c r="X299" i="5"/>
  <c r="Y299" i="5"/>
  <c r="Z299" i="5"/>
  <c r="AA299" i="5"/>
  <c r="AB299" i="5"/>
  <c r="AC299" i="5"/>
  <c r="AD299" i="5"/>
  <c r="AE299" i="5"/>
  <c r="AF299" i="5"/>
  <c r="AG299" i="5"/>
  <c r="AH299" i="5"/>
  <c r="AI299" i="5"/>
  <c r="AJ299" i="5"/>
  <c r="AK299" i="5"/>
  <c r="AL299" i="5"/>
  <c r="AM299" i="5"/>
  <c r="AN299" i="5"/>
  <c r="AO299" i="5"/>
  <c r="AP299" i="5"/>
  <c r="AQ299" i="5"/>
  <c r="AR299" i="5"/>
  <c r="AS299" i="5"/>
  <c r="AT299" i="5"/>
  <c r="AU299" i="5"/>
  <c r="AV299" i="5"/>
  <c r="AW299" i="5"/>
  <c r="AX299" i="5"/>
  <c r="AY299" i="5"/>
  <c r="O300" i="5"/>
  <c r="P300" i="5"/>
  <c r="Q300" i="5"/>
  <c r="C300" i="5" s="1"/>
  <c r="R300" i="5"/>
  <c r="S300" i="5"/>
  <c r="T300" i="5"/>
  <c r="U300" i="5"/>
  <c r="V300" i="5"/>
  <c r="W300" i="5"/>
  <c r="X300" i="5"/>
  <c r="Y300" i="5"/>
  <c r="Z300" i="5"/>
  <c r="AA300" i="5"/>
  <c r="AB300" i="5"/>
  <c r="AC300" i="5"/>
  <c r="AD300" i="5"/>
  <c r="AE300" i="5"/>
  <c r="AF300" i="5"/>
  <c r="AG300" i="5"/>
  <c r="AH300" i="5"/>
  <c r="AI300" i="5"/>
  <c r="AJ300" i="5"/>
  <c r="AK300" i="5"/>
  <c r="AL300" i="5"/>
  <c r="AM300" i="5"/>
  <c r="AN300" i="5"/>
  <c r="AO300" i="5"/>
  <c r="AP300" i="5"/>
  <c r="AQ300" i="5"/>
  <c r="AR300" i="5"/>
  <c r="AS300" i="5"/>
  <c r="AT300" i="5"/>
  <c r="AU300" i="5"/>
  <c r="AV300" i="5"/>
  <c r="AW300" i="5"/>
  <c r="AX300" i="5"/>
  <c r="AY300" i="5"/>
  <c r="O301" i="5"/>
  <c r="P301" i="5"/>
  <c r="Q301" i="5"/>
  <c r="R301" i="5"/>
  <c r="S301" i="5"/>
  <c r="T301" i="5"/>
  <c r="U301" i="5"/>
  <c r="V301" i="5"/>
  <c r="W301" i="5"/>
  <c r="X301" i="5"/>
  <c r="Y301" i="5"/>
  <c r="Z301" i="5"/>
  <c r="AA301" i="5"/>
  <c r="AB301" i="5"/>
  <c r="AC301" i="5"/>
  <c r="AD301" i="5"/>
  <c r="AE301" i="5"/>
  <c r="AF301" i="5"/>
  <c r="AG301" i="5"/>
  <c r="AH301" i="5"/>
  <c r="AI301" i="5"/>
  <c r="AJ301" i="5"/>
  <c r="AK301" i="5"/>
  <c r="AL301" i="5"/>
  <c r="AM301" i="5"/>
  <c r="AN301" i="5"/>
  <c r="AO301" i="5"/>
  <c r="AP301" i="5"/>
  <c r="AQ301" i="5"/>
  <c r="AR301" i="5"/>
  <c r="AS301" i="5"/>
  <c r="AT301" i="5"/>
  <c r="AU301" i="5"/>
  <c r="AV301" i="5"/>
  <c r="AW301" i="5"/>
  <c r="AX301" i="5"/>
  <c r="AY301" i="5"/>
  <c r="O302" i="5"/>
  <c r="P302" i="5"/>
  <c r="Q302" i="5"/>
  <c r="R302" i="5"/>
  <c r="S302" i="5"/>
  <c r="T302" i="5"/>
  <c r="U302" i="5"/>
  <c r="V302" i="5"/>
  <c r="W302" i="5"/>
  <c r="X302" i="5"/>
  <c r="Y302" i="5"/>
  <c r="Z302" i="5"/>
  <c r="AA302" i="5"/>
  <c r="AB302" i="5"/>
  <c r="AC302" i="5"/>
  <c r="AD302" i="5"/>
  <c r="AE302" i="5"/>
  <c r="AF302" i="5"/>
  <c r="AG302" i="5"/>
  <c r="AH302" i="5"/>
  <c r="AI302" i="5"/>
  <c r="AJ302" i="5"/>
  <c r="AK302" i="5"/>
  <c r="AL302" i="5"/>
  <c r="AM302" i="5"/>
  <c r="AN302" i="5"/>
  <c r="AO302" i="5"/>
  <c r="AP302" i="5"/>
  <c r="AQ302" i="5"/>
  <c r="AR302" i="5"/>
  <c r="AS302" i="5"/>
  <c r="AT302" i="5"/>
  <c r="AU302" i="5"/>
  <c r="AV302" i="5"/>
  <c r="AW302" i="5"/>
  <c r="AX302" i="5"/>
  <c r="AY302" i="5"/>
  <c r="O303" i="5"/>
  <c r="P303" i="5"/>
  <c r="Q303" i="5"/>
  <c r="R303" i="5"/>
  <c r="S303" i="5"/>
  <c r="T303" i="5"/>
  <c r="U303" i="5"/>
  <c r="V303" i="5"/>
  <c r="W303" i="5"/>
  <c r="X303" i="5"/>
  <c r="Y303" i="5"/>
  <c r="Z303" i="5"/>
  <c r="AA303" i="5"/>
  <c r="AB303" i="5"/>
  <c r="AC303" i="5"/>
  <c r="AD303" i="5"/>
  <c r="AE303" i="5"/>
  <c r="AF303" i="5"/>
  <c r="AG303" i="5"/>
  <c r="AH303" i="5"/>
  <c r="AI303" i="5"/>
  <c r="AJ303" i="5"/>
  <c r="AK303" i="5"/>
  <c r="AL303" i="5"/>
  <c r="AM303" i="5"/>
  <c r="AN303" i="5"/>
  <c r="AO303" i="5"/>
  <c r="AP303" i="5"/>
  <c r="AQ303" i="5"/>
  <c r="AR303" i="5"/>
  <c r="AS303" i="5"/>
  <c r="AT303" i="5"/>
  <c r="AU303" i="5"/>
  <c r="AV303" i="5"/>
  <c r="AW303" i="5"/>
  <c r="AX303" i="5"/>
  <c r="AY303" i="5"/>
  <c r="O304" i="5"/>
  <c r="P304" i="5"/>
  <c r="Q304" i="5"/>
  <c r="R304" i="5"/>
  <c r="S304" i="5"/>
  <c r="T304" i="5"/>
  <c r="U304" i="5"/>
  <c r="V304" i="5"/>
  <c r="W304" i="5"/>
  <c r="X304" i="5"/>
  <c r="Y304" i="5"/>
  <c r="Z304" i="5"/>
  <c r="AA304" i="5"/>
  <c r="AB304" i="5"/>
  <c r="AC304" i="5"/>
  <c r="AD304" i="5"/>
  <c r="AE304" i="5"/>
  <c r="AF304" i="5"/>
  <c r="AG304" i="5"/>
  <c r="AH304" i="5"/>
  <c r="AI304" i="5"/>
  <c r="AJ304" i="5"/>
  <c r="AK304" i="5"/>
  <c r="AL304" i="5"/>
  <c r="AM304" i="5"/>
  <c r="AN304" i="5"/>
  <c r="AO304" i="5"/>
  <c r="AP304" i="5"/>
  <c r="AQ304" i="5"/>
  <c r="AR304" i="5"/>
  <c r="AS304" i="5"/>
  <c r="AT304" i="5"/>
  <c r="AU304" i="5"/>
  <c r="AV304" i="5"/>
  <c r="AW304" i="5"/>
  <c r="AX304" i="5"/>
  <c r="AY304" i="5"/>
  <c r="O305" i="5"/>
  <c r="P305" i="5"/>
  <c r="Q305" i="5"/>
  <c r="R305" i="5"/>
  <c r="S305" i="5"/>
  <c r="T305" i="5"/>
  <c r="U305" i="5"/>
  <c r="V305" i="5"/>
  <c r="W305" i="5"/>
  <c r="X305" i="5"/>
  <c r="Y305" i="5"/>
  <c r="Z305" i="5"/>
  <c r="AA305" i="5"/>
  <c r="AB305" i="5"/>
  <c r="AC305" i="5"/>
  <c r="AD305" i="5"/>
  <c r="AE305" i="5"/>
  <c r="AF305" i="5"/>
  <c r="AG305" i="5"/>
  <c r="AH305" i="5"/>
  <c r="AI305" i="5"/>
  <c r="AJ305" i="5"/>
  <c r="AK305" i="5"/>
  <c r="AL305" i="5"/>
  <c r="AM305" i="5"/>
  <c r="AN305" i="5"/>
  <c r="AO305" i="5"/>
  <c r="AP305" i="5"/>
  <c r="AQ305" i="5"/>
  <c r="AR305" i="5"/>
  <c r="AS305" i="5"/>
  <c r="AT305" i="5"/>
  <c r="AU305" i="5"/>
  <c r="AV305" i="5"/>
  <c r="AW305" i="5"/>
  <c r="AX305" i="5"/>
  <c r="AY305" i="5"/>
  <c r="O306" i="5"/>
  <c r="P306" i="5"/>
  <c r="Q306" i="5"/>
  <c r="R306" i="5"/>
  <c r="S306" i="5"/>
  <c r="T306" i="5"/>
  <c r="U306" i="5"/>
  <c r="V306" i="5"/>
  <c r="W306" i="5"/>
  <c r="X306" i="5"/>
  <c r="Y306" i="5"/>
  <c r="Z306" i="5"/>
  <c r="AA306" i="5"/>
  <c r="AB306" i="5"/>
  <c r="AC306" i="5"/>
  <c r="AD306" i="5"/>
  <c r="AE306" i="5"/>
  <c r="AF306" i="5"/>
  <c r="AG306" i="5"/>
  <c r="AH306" i="5"/>
  <c r="AI306" i="5"/>
  <c r="AJ306" i="5"/>
  <c r="AK306" i="5"/>
  <c r="AL306" i="5"/>
  <c r="AM306" i="5"/>
  <c r="AN306" i="5"/>
  <c r="AO306" i="5"/>
  <c r="AP306" i="5"/>
  <c r="AQ306" i="5"/>
  <c r="AR306" i="5"/>
  <c r="AS306" i="5"/>
  <c r="AT306" i="5"/>
  <c r="AU306" i="5"/>
  <c r="AV306" i="5"/>
  <c r="AW306" i="5"/>
  <c r="AX306" i="5"/>
  <c r="AY306" i="5"/>
  <c r="O307" i="5"/>
  <c r="P307" i="5"/>
  <c r="Q307" i="5"/>
  <c r="R307" i="5"/>
  <c r="S307" i="5"/>
  <c r="T307" i="5"/>
  <c r="U307" i="5"/>
  <c r="V307" i="5"/>
  <c r="W307" i="5"/>
  <c r="X307" i="5"/>
  <c r="Y307" i="5"/>
  <c r="Z307" i="5"/>
  <c r="AA307" i="5"/>
  <c r="AB307" i="5"/>
  <c r="AC307" i="5"/>
  <c r="AD307" i="5"/>
  <c r="AE307" i="5"/>
  <c r="AF307" i="5"/>
  <c r="AG307" i="5"/>
  <c r="AH307" i="5"/>
  <c r="AI307" i="5"/>
  <c r="AJ307" i="5"/>
  <c r="AK307" i="5"/>
  <c r="AL307" i="5"/>
  <c r="AM307" i="5"/>
  <c r="AN307" i="5"/>
  <c r="AO307" i="5"/>
  <c r="AP307" i="5"/>
  <c r="AQ307" i="5"/>
  <c r="AR307" i="5"/>
  <c r="AS307" i="5"/>
  <c r="AT307" i="5"/>
  <c r="AU307" i="5"/>
  <c r="AV307" i="5"/>
  <c r="AW307" i="5"/>
  <c r="AX307" i="5"/>
  <c r="AY307" i="5"/>
  <c r="O308" i="5"/>
  <c r="P308" i="5"/>
  <c r="Q308" i="5"/>
  <c r="R308" i="5"/>
  <c r="S308" i="5"/>
  <c r="T308" i="5"/>
  <c r="U308" i="5"/>
  <c r="V308" i="5"/>
  <c r="W308" i="5"/>
  <c r="X308" i="5"/>
  <c r="Y308" i="5"/>
  <c r="Z308" i="5"/>
  <c r="AA308" i="5"/>
  <c r="AB308" i="5"/>
  <c r="AC308" i="5"/>
  <c r="AD308" i="5"/>
  <c r="AE308" i="5"/>
  <c r="AF308" i="5"/>
  <c r="AG308" i="5"/>
  <c r="AH308" i="5"/>
  <c r="AI308" i="5"/>
  <c r="AJ308" i="5"/>
  <c r="AK308" i="5"/>
  <c r="AL308" i="5"/>
  <c r="AM308" i="5"/>
  <c r="AN308" i="5"/>
  <c r="AO308" i="5"/>
  <c r="AP308" i="5"/>
  <c r="AQ308" i="5"/>
  <c r="AR308" i="5"/>
  <c r="AS308" i="5"/>
  <c r="AT308" i="5"/>
  <c r="AU308" i="5"/>
  <c r="AV308" i="5"/>
  <c r="AW308" i="5"/>
  <c r="AX308" i="5"/>
  <c r="AY308" i="5"/>
  <c r="O309" i="5"/>
  <c r="C309" i="5" s="1"/>
  <c r="P309" i="5"/>
  <c r="Q309" i="5"/>
  <c r="R309" i="5"/>
  <c r="S309" i="5"/>
  <c r="T309" i="5"/>
  <c r="U309" i="5"/>
  <c r="V309" i="5"/>
  <c r="W309" i="5"/>
  <c r="X309" i="5"/>
  <c r="Y309" i="5"/>
  <c r="Z309" i="5"/>
  <c r="AA309" i="5"/>
  <c r="AB309" i="5"/>
  <c r="AC309" i="5"/>
  <c r="AD309" i="5"/>
  <c r="AE309" i="5"/>
  <c r="AF309" i="5"/>
  <c r="AG309" i="5"/>
  <c r="AH309" i="5"/>
  <c r="AI309" i="5"/>
  <c r="AJ309" i="5"/>
  <c r="AK309" i="5"/>
  <c r="AL309" i="5"/>
  <c r="AM309" i="5"/>
  <c r="AN309" i="5"/>
  <c r="AO309" i="5"/>
  <c r="AP309" i="5"/>
  <c r="AQ309" i="5"/>
  <c r="AR309" i="5"/>
  <c r="AS309" i="5"/>
  <c r="AT309" i="5"/>
  <c r="AU309" i="5"/>
  <c r="AV309" i="5"/>
  <c r="AW309" i="5"/>
  <c r="AX309" i="5"/>
  <c r="AY309" i="5"/>
  <c r="O310" i="5"/>
  <c r="P310" i="5"/>
  <c r="Q310" i="5"/>
  <c r="R310" i="5"/>
  <c r="S310" i="5"/>
  <c r="T310" i="5"/>
  <c r="U310" i="5"/>
  <c r="V310" i="5"/>
  <c r="W310" i="5"/>
  <c r="X310" i="5"/>
  <c r="Y310" i="5"/>
  <c r="Z310" i="5"/>
  <c r="AA310" i="5"/>
  <c r="AB310" i="5"/>
  <c r="AC310" i="5"/>
  <c r="AD310" i="5"/>
  <c r="AE310" i="5"/>
  <c r="AF310" i="5"/>
  <c r="AG310" i="5"/>
  <c r="AH310" i="5"/>
  <c r="AI310" i="5"/>
  <c r="AJ310" i="5"/>
  <c r="AK310" i="5"/>
  <c r="AL310" i="5"/>
  <c r="AM310" i="5"/>
  <c r="AN310" i="5"/>
  <c r="AO310" i="5"/>
  <c r="AP310" i="5"/>
  <c r="AQ310" i="5"/>
  <c r="AR310" i="5"/>
  <c r="AS310" i="5"/>
  <c r="AT310" i="5"/>
  <c r="AU310" i="5"/>
  <c r="AV310" i="5"/>
  <c r="AW310" i="5"/>
  <c r="AX310" i="5"/>
  <c r="AY310" i="5"/>
  <c r="O311" i="5"/>
  <c r="P311" i="5"/>
  <c r="Q311" i="5"/>
  <c r="R311" i="5"/>
  <c r="S311" i="5"/>
  <c r="T311" i="5"/>
  <c r="U311" i="5"/>
  <c r="V311" i="5"/>
  <c r="W311" i="5"/>
  <c r="X311" i="5"/>
  <c r="Y311" i="5"/>
  <c r="Z311" i="5"/>
  <c r="AA311" i="5"/>
  <c r="AB311" i="5"/>
  <c r="AC311" i="5"/>
  <c r="AD311" i="5"/>
  <c r="AE311" i="5"/>
  <c r="AF311" i="5"/>
  <c r="AG311" i="5"/>
  <c r="AH311" i="5"/>
  <c r="AI311" i="5"/>
  <c r="AJ311" i="5"/>
  <c r="AK311" i="5"/>
  <c r="AL311" i="5"/>
  <c r="AM311" i="5"/>
  <c r="AN311" i="5"/>
  <c r="AO311" i="5"/>
  <c r="AP311" i="5"/>
  <c r="AQ311" i="5"/>
  <c r="AR311" i="5"/>
  <c r="AS311" i="5"/>
  <c r="AT311" i="5"/>
  <c r="AU311" i="5"/>
  <c r="AV311" i="5"/>
  <c r="AW311" i="5"/>
  <c r="AX311" i="5"/>
  <c r="AY311" i="5"/>
  <c r="O312" i="5"/>
  <c r="P312" i="5"/>
  <c r="Q312" i="5"/>
  <c r="R312" i="5"/>
  <c r="S312" i="5"/>
  <c r="T312" i="5"/>
  <c r="U312" i="5"/>
  <c r="V312" i="5"/>
  <c r="W312" i="5"/>
  <c r="X312" i="5"/>
  <c r="Y312" i="5"/>
  <c r="Z312" i="5"/>
  <c r="AA312" i="5"/>
  <c r="AB312" i="5"/>
  <c r="AC312" i="5"/>
  <c r="AD312" i="5"/>
  <c r="AE312" i="5"/>
  <c r="AF312" i="5"/>
  <c r="AG312" i="5"/>
  <c r="AH312" i="5"/>
  <c r="AI312" i="5"/>
  <c r="AJ312" i="5"/>
  <c r="AK312" i="5"/>
  <c r="AL312" i="5"/>
  <c r="AM312" i="5"/>
  <c r="AN312" i="5"/>
  <c r="AO312" i="5"/>
  <c r="AP312" i="5"/>
  <c r="AQ312" i="5"/>
  <c r="AR312" i="5"/>
  <c r="AS312" i="5"/>
  <c r="AT312" i="5"/>
  <c r="AU312" i="5"/>
  <c r="AV312" i="5"/>
  <c r="AW312" i="5"/>
  <c r="AX312" i="5"/>
  <c r="AY312" i="5"/>
  <c r="O313" i="5"/>
  <c r="B313" i="5" s="1"/>
  <c r="P313" i="5"/>
  <c r="Q313" i="5"/>
  <c r="R313" i="5"/>
  <c r="S313" i="5"/>
  <c r="T313" i="5"/>
  <c r="U313" i="5"/>
  <c r="V313" i="5"/>
  <c r="W313" i="5"/>
  <c r="X313" i="5"/>
  <c r="Y313" i="5"/>
  <c r="Z313" i="5"/>
  <c r="AA313" i="5"/>
  <c r="AB313" i="5"/>
  <c r="AC313" i="5"/>
  <c r="AD313" i="5"/>
  <c r="AE313" i="5"/>
  <c r="AF313" i="5"/>
  <c r="AG313" i="5"/>
  <c r="AH313" i="5"/>
  <c r="AI313" i="5"/>
  <c r="AJ313" i="5"/>
  <c r="AK313" i="5"/>
  <c r="AL313" i="5"/>
  <c r="AM313" i="5"/>
  <c r="AN313" i="5"/>
  <c r="AO313" i="5"/>
  <c r="AP313" i="5"/>
  <c r="AQ313" i="5"/>
  <c r="AR313" i="5"/>
  <c r="AS313" i="5"/>
  <c r="AT313" i="5"/>
  <c r="AU313" i="5"/>
  <c r="AV313" i="5"/>
  <c r="AW313" i="5"/>
  <c r="AX313" i="5"/>
  <c r="AY313" i="5"/>
  <c r="O314" i="5"/>
  <c r="P314" i="5"/>
  <c r="Q314" i="5"/>
  <c r="R314" i="5"/>
  <c r="S314" i="5"/>
  <c r="T314" i="5"/>
  <c r="U314" i="5"/>
  <c r="V314" i="5"/>
  <c r="W314" i="5"/>
  <c r="X314" i="5"/>
  <c r="Y314" i="5"/>
  <c r="Z314" i="5"/>
  <c r="AA314" i="5"/>
  <c r="AB314" i="5"/>
  <c r="AC314" i="5"/>
  <c r="AD314" i="5"/>
  <c r="AE314" i="5"/>
  <c r="AF314" i="5"/>
  <c r="AG314" i="5"/>
  <c r="AH314" i="5"/>
  <c r="AI314" i="5"/>
  <c r="AJ314" i="5"/>
  <c r="AK314" i="5"/>
  <c r="AL314" i="5"/>
  <c r="AM314" i="5"/>
  <c r="AN314" i="5"/>
  <c r="AO314" i="5"/>
  <c r="AP314" i="5"/>
  <c r="AQ314" i="5"/>
  <c r="AR314" i="5"/>
  <c r="AS314" i="5"/>
  <c r="AT314" i="5"/>
  <c r="AU314" i="5"/>
  <c r="AV314" i="5"/>
  <c r="AW314" i="5"/>
  <c r="AX314" i="5"/>
  <c r="AY314" i="5"/>
  <c r="O315" i="5"/>
  <c r="P315" i="5"/>
  <c r="Q315" i="5"/>
  <c r="R315" i="5"/>
  <c r="S315" i="5"/>
  <c r="T315" i="5"/>
  <c r="U315" i="5"/>
  <c r="V315" i="5"/>
  <c r="W315" i="5"/>
  <c r="X315" i="5"/>
  <c r="Y315" i="5"/>
  <c r="Z315" i="5"/>
  <c r="AA315" i="5"/>
  <c r="AB315" i="5"/>
  <c r="AC315" i="5"/>
  <c r="AD315" i="5"/>
  <c r="AE315" i="5"/>
  <c r="AF315" i="5"/>
  <c r="AG315" i="5"/>
  <c r="AH315" i="5"/>
  <c r="AI315" i="5"/>
  <c r="AJ315" i="5"/>
  <c r="AK315" i="5"/>
  <c r="AL315" i="5"/>
  <c r="AM315" i="5"/>
  <c r="AN315" i="5"/>
  <c r="AO315" i="5"/>
  <c r="AP315" i="5"/>
  <c r="AQ315" i="5"/>
  <c r="AR315" i="5"/>
  <c r="AS315" i="5"/>
  <c r="AT315" i="5"/>
  <c r="AU315" i="5"/>
  <c r="AV315" i="5"/>
  <c r="AW315" i="5"/>
  <c r="AX315" i="5"/>
  <c r="AY315" i="5"/>
  <c r="O316" i="5"/>
  <c r="P316" i="5"/>
  <c r="Q316" i="5"/>
  <c r="R316" i="5"/>
  <c r="S316" i="5"/>
  <c r="T316" i="5"/>
  <c r="U316" i="5"/>
  <c r="V316" i="5"/>
  <c r="W316" i="5"/>
  <c r="X316" i="5"/>
  <c r="Y316" i="5"/>
  <c r="Z316" i="5"/>
  <c r="AA316" i="5"/>
  <c r="AB316" i="5"/>
  <c r="AC316" i="5"/>
  <c r="AD316" i="5"/>
  <c r="AE316" i="5"/>
  <c r="AF316" i="5"/>
  <c r="AG316" i="5"/>
  <c r="AH316" i="5"/>
  <c r="AI316" i="5"/>
  <c r="AJ316" i="5"/>
  <c r="AK316" i="5"/>
  <c r="AL316" i="5"/>
  <c r="AM316" i="5"/>
  <c r="AN316" i="5"/>
  <c r="AO316" i="5"/>
  <c r="AP316" i="5"/>
  <c r="AQ316" i="5"/>
  <c r="AR316" i="5"/>
  <c r="AS316" i="5"/>
  <c r="AT316" i="5"/>
  <c r="AU316" i="5"/>
  <c r="AV316" i="5"/>
  <c r="AW316" i="5"/>
  <c r="AX316" i="5"/>
  <c r="AY316" i="5"/>
  <c r="O317" i="5"/>
  <c r="P317" i="5"/>
  <c r="Q317" i="5"/>
  <c r="R317" i="5"/>
  <c r="S317" i="5"/>
  <c r="T317" i="5"/>
  <c r="U317" i="5"/>
  <c r="V317" i="5"/>
  <c r="W317" i="5"/>
  <c r="X317" i="5"/>
  <c r="Y317" i="5"/>
  <c r="Z317" i="5"/>
  <c r="AA317" i="5"/>
  <c r="AB317" i="5"/>
  <c r="AC317" i="5"/>
  <c r="AD317" i="5"/>
  <c r="AE317" i="5"/>
  <c r="AF317" i="5"/>
  <c r="AG317" i="5"/>
  <c r="AH317" i="5"/>
  <c r="AI317" i="5"/>
  <c r="AJ317" i="5"/>
  <c r="AK317" i="5"/>
  <c r="AL317" i="5"/>
  <c r="AM317" i="5"/>
  <c r="AN317" i="5"/>
  <c r="AO317" i="5"/>
  <c r="AP317" i="5"/>
  <c r="AQ317" i="5"/>
  <c r="AR317" i="5"/>
  <c r="AS317" i="5"/>
  <c r="AT317" i="5"/>
  <c r="AU317" i="5"/>
  <c r="AV317" i="5"/>
  <c r="AW317" i="5"/>
  <c r="AX317" i="5"/>
  <c r="AY317" i="5"/>
  <c r="O318" i="5"/>
  <c r="P318" i="5"/>
  <c r="Q318" i="5"/>
  <c r="R318" i="5"/>
  <c r="S318" i="5"/>
  <c r="T318" i="5"/>
  <c r="U318" i="5"/>
  <c r="V318" i="5"/>
  <c r="W318" i="5"/>
  <c r="X318" i="5"/>
  <c r="Y318" i="5"/>
  <c r="Z318" i="5"/>
  <c r="AA318" i="5"/>
  <c r="AB318" i="5"/>
  <c r="AC318" i="5"/>
  <c r="AD318" i="5"/>
  <c r="AE318" i="5"/>
  <c r="AF318" i="5"/>
  <c r="AG318" i="5"/>
  <c r="AH318" i="5"/>
  <c r="AI318" i="5"/>
  <c r="AJ318" i="5"/>
  <c r="AK318" i="5"/>
  <c r="AL318" i="5"/>
  <c r="AM318" i="5"/>
  <c r="AN318" i="5"/>
  <c r="AO318" i="5"/>
  <c r="AP318" i="5"/>
  <c r="AQ318" i="5"/>
  <c r="AR318" i="5"/>
  <c r="AS318" i="5"/>
  <c r="AT318" i="5"/>
  <c r="AU318" i="5"/>
  <c r="AV318" i="5"/>
  <c r="AW318" i="5"/>
  <c r="AX318" i="5"/>
  <c r="AY318" i="5"/>
  <c r="O319" i="5"/>
  <c r="P319" i="5"/>
  <c r="Q319" i="5"/>
  <c r="R319" i="5"/>
  <c r="S319" i="5"/>
  <c r="T319" i="5"/>
  <c r="U319" i="5"/>
  <c r="V319" i="5"/>
  <c r="W319" i="5"/>
  <c r="X319" i="5"/>
  <c r="Y319" i="5"/>
  <c r="Z319" i="5"/>
  <c r="AA319" i="5"/>
  <c r="AB319" i="5"/>
  <c r="AC319" i="5"/>
  <c r="AD319" i="5"/>
  <c r="AE319" i="5"/>
  <c r="AF319" i="5"/>
  <c r="AG319" i="5"/>
  <c r="AH319" i="5"/>
  <c r="AI319" i="5"/>
  <c r="AJ319" i="5"/>
  <c r="AK319" i="5"/>
  <c r="AL319" i="5"/>
  <c r="AM319" i="5"/>
  <c r="AN319" i="5"/>
  <c r="AO319" i="5"/>
  <c r="AP319" i="5"/>
  <c r="AQ319" i="5"/>
  <c r="AR319" i="5"/>
  <c r="AS319" i="5"/>
  <c r="AT319" i="5"/>
  <c r="AU319" i="5"/>
  <c r="AV319" i="5"/>
  <c r="AW319" i="5"/>
  <c r="AX319" i="5"/>
  <c r="AY319" i="5"/>
  <c r="O320" i="5"/>
  <c r="P320" i="5"/>
  <c r="Q320" i="5"/>
  <c r="R320" i="5"/>
  <c r="S320" i="5"/>
  <c r="T320" i="5"/>
  <c r="U320" i="5"/>
  <c r="V320" i="5"/>
  <c r="W320" i="5"/>
  <c r="X320" i="5"/>
  <c r="Y320" i="5"/>
  <c r="Z320" i="5"/>
  <c r="AA320" i="5"/>
  <c r="AB320" i="5"/>
  <c r="AC320" i="5"/>
  <c r="AD320" i="5"/>
  <c r="AE320" i="5"/>
  <c r="AF320" i="5"/>
  <c r="AG320" i="5"/>
  <c r="AH320" i="5"/>
  <c r="AI320" i="5"/>
  <c r="AJ320" i="5"/>
  <c r="AK320" i="5"/>
  <c r="AL320" i="5"/>
  <c r="AM320" i="5"/>
  <c r="AN320" i="5"/>
  <c r="AO320" i="5"/>
  <c r="AP320" i="5"/>
  <c r="AQ320" i="5"/>
  <c r="AR320" i="5"/>
  <c r="AS320" i="5"/>
  <c r="AT320" i="5"/>
  <c r="AU320" i="5"/>
  <c r="AV320" i="5"/>
  <c r="AW320" i="5"/>
  <c r="AX320" i="5"/>
  <c r="AY320" i="5"/>
  <c r="O321" i="5"/>
  <c r="P321" i="5"/>
  <c r="Q321" i="5"/>
  <c r="R321" i="5"/>
  <c r="S321" i="5"/>
  <c r="T321" i="5"/>
  <c r="U321" i="5"/>
  <c r="V321" i="5"/>
  <c r="W321" i="5"/>
  <c r="X321" i="5"/>
  <c r="Y321" i="5"/>
  <c r="Z321" i="5"/>
  <c r="AA321" i="5"/>
  <c r="AB321" i="5"/>
  <c r="AC321" i="5"/>
  <c r="AD321" i="5"/>
  <c r="AE321" i="5"/>
  <c r="AF321" i="5"/>
  <c r="AG321" i="5"/>
  <c r="AH321" i="5"/>
  <c r="AI321" i="5"/>
  <c r="AJ321" i="5"/>
  <c r="AK321" i="5"/>
  <c r="AL321" i="5"/>
  <c r="AM321" i="5"/>
  <c r="AN321" i="5"/>
  <c r="AO321" i="5"/>
  <c r="AP321" i="5"/>
  <c r="AQ321" i="5"/>
  <c r="AR321" i="5"/>
  <c r="AS321" i="5"/>
  <c r="AT321" i="5"/>
  <c r="AU321" i="5"/>
  <c r="AV321" i="5"/>
  <c r="AW321" i="5"/>
  <c r="AX321" i="5"/>
  <c r="AY321" i="5"/>
  <c r="O322" i="5"/>
  <c r="P322" i="5"/>
  <c r="Q322" i="5"/>
  <c r="R322" i="5"/>
  <c r="S322" i="5"/>
  <c r="T322" i="5"/>
  <c r="U322" i="5"/>
  <c r="V322" i="5"/>
  <c r="W322" i="5"/>
  <c r="X322" i="5"/>
  <c r="Y322" i="5"/>
  <c r="Z322" i="5"/>
  <c r="AA322" i="5"/>
  <c r="AB322" i="5"/>
  <c r="AC322" i="5"/>
  <c r="AD322" i="5"/>
  <c r="AE322" i="5"/>
  <c r="AF322" i="5"/>
  <c r="AG322" i="5"/>
  <c r="AH322" i="5"/>
  <c r="AI322" i="5"/>
  <c r="AJ322" i="5"/>
  <c r="AK322" i="5"/>
  <c r="AL322" i="5"/>
  <c r="AM322" i="5"/>
  <c r="AN322" i="5"/>
  <c r="AO322" i="5"/>
  <c r="AP322" i="5"/>
  <c r="AQ322" i="5"/>
  <c r="AR322" i="5"/>
  <c r="AS322" i="5"/>
  <c r="AT322" i="5"/>
  <c r="AU322" i="5"/>
  <c r="AV322" i="5"/>
  <c r="AW322" i="5"/>
  <c r="AX322" i="5"/>
  <c r="AY322" i="5"/>
  <c r="O323" i="5"/>
  <c r="B323" i="5"/>
  <c r="P323" i="5"/>
  <c r="Q323" i="5"/>
  <c r="R323" i="5"/>
  <c r="S323" i="5"/>
  <c r="T323" i="5"/>
  <c r="U323" i="5"/>
  <c r="V323" i="5"/>
  <c r="W323" i="5"/>
  <c r="X323" i="5"/>
  <c r="Y323" i="5"/>
  <c r="Z323" i="5"/>
  <c r="AA323" i="5"/>
  <c r="AB323" i="5"/>
  <c r="AC323" i="5"/>
  <c r="AD323" i="5"/>
  <c r="AE323" i="5"/>
  <c r="AF323" i="5"/>
  <c r="AG323" i="5"/>
  <c r="AH323" i="5"/>
  <c r="AI323" i="5"/>
  <c r="AJ323" i="5"/>
  <c r="AK323" i="5"/>
  <c r="AL323" i="5"/>
  <c r="AM323" i="5"/>
  <c r="AN323" i="5"/>
  <c r="AO323" i="5"/>
  <c r="AP323" i="5"/>
  <c r="AQ323" i="5"/>
  <c r="AR323" i="5"/>
  <c r="AS323" i="5"/>
  <c r="AT323" i="5"/>
  <c r="AU323" i="5"/>
  <c r="AV323" i="5"/>
  <c r="AW323" i="5"/>
  <c r="AX323" i="5"/>
  <c r="AY323" i="5"/>
  <c r="O324" i="5"/>
  <c r="P324" i="5"/>
  <c r="Q324" i="5"/>
  <c r="R324" i="5"/>
  <c r="S324" i="5"/>
  <c r="T324" i="5"/>
  <c r="U324" i="5"/>
  <c r="V324" i="5"/>
  <c r="W324" i="5"/>
  <c r="X324" i="5"/>
  <c r="Y324" i="5"/>
  <c r="Z324" i="5"/>
  <c r="AA324" i="5"/>
  <c r="AB324" i="5"/>
  <c r="AC324" i="5"/>
  <c r="AD324" i="5"/>
  <c r="AE324" i="5"/>
  <c r="AF324" i="5"/>
  <c r="AG324" i="5"/>
  <c r="AH324" i="5"/>
  <c r="AI324" i="5"/>
  <c r="AJ324" i="5"/>
  <c r="AK324" i="5"/>
  <c r="AL324" i="5"/>
  <c r="AM324" i="5"/>
  <c r="AN324" i="5"/>
  <c r="AO324" i="5"/>
  <c r="AP324" i="5"/>
  <c r="AQ324" i="5"/>
  <c r="AR324" i="5"/>
  <c r="AS324" i="5"/>
  <c r="AT324" i="5"/>
  <c r="AU324" i="5"/>
  <c r="AV324" i="5"/>
  <c r="AW324" i="5"/>
  <c r="AX324" i="5"/>
  <c r="AY324" i="5"/>
  <c r="O325" i="5"/>
  <c r="P325" i="5"/>
  <c r="Q325" i="5"/>
  <c r="C325" i="5"/>
  <c r="R325" i="5"/>
  <c r="S325" i="5"/>
  <c r="T325" i="5"/>
  <c r="U325" i="5"/>
  <c r="V325" i="5"/>
  <c r="W325" i="5"/>
  <c r="X325" i="5"/>
  <c r="Y325" i="5"/>
  <c r="Z325" i="5"/>
  <c r="AA325" i="5"/>
  <c r="AB325" i="5"/>
  <c r="AC325" i="5"/>
  <c r="AD325" i="5"/>
  <c r="AE325" i="5"/>
  <c r="AF325" i="5"/>
  <c r="AG325" i="5"/>
  <c r="AH325" i="5"/>
  <c r="AI325" i="5"/>
  <c r="AJ325" i="5"/>
  <c r="AK325" i="5"/>
  <c r="AL325" i="5"/>
  <c r="AM325" i="5"/>
  <c r="AN325" i="5"/>
  <c r="AO325" i="5"/>
  <c r="AP325" i="5"/>
  <c r="AQ325" i="5"/>
  <c r="AR325" i="5"/>
  <c r="AS325" i="5"/>
  <c r="AT325" i="5"/>
  <c r="AU325" i="5"/>
  <c r="AV325" i="5"/>
  <c r="AW325" i="5"/>
  <c r="AX325" i="5"/>
  <c r="AY325" i="5"/>
  <c r="O326" i="5"/>
  <c r="P326" i="5"/>
  <c r="Q326" i="5"/>
  <c r="R326" i="5"/>
  <c r="S326" i="5"/>
  <c r="T326" i="5"/>
  <c r="U326" i="5"/>
  <c r="V326" i="5"/>
  <c r="W326" i="5"/>
  <c r="X326" i="5"/>
  <c r="Y326" i="5"/>
  <c r="Z326" i="5"/>
  <c r="AA326" i="5"/>
  <c r="AB326" i="5"/>
  <c r="AC326" i="5"/>
  <c r="AD326" i="5"/>
  <c r="AE326" i="5"/>
  <c r="AF326" i="5"/>
  <c r="AG326" i="5"/>
  <c r="AH326" i="5"/>
  <c r="AI326" i="5"/>
  <c r="AJ326" i="5"/>
  <c r="AK326" i="5"/>
  <c r="AL326" i="5"/>
  <c r="AM326" i="5"/>
  <c r="AN326" i="5"/>
  <c r="AO326" i="5"/>
  <c r="AP326" i="5"/>
  <c r="AQ326" i="5"/>
  <c r="AR326" i="5"/>
  <c r="AS326" i="5"/>
  <c r="AT326" i="5"/>
  <c r="AU326" i="5"/>
  <c r="AV326" i="5"/>
  <c r="AW326" i="5"/>
  <c r="AX326" i="5"/>
  <c r="AY326" i="5"/>
  <c r="O327" i="5"/>
  <c r="P327" i="5"/>
  <c r="Q327" i="5"/>
  <c r="R327" i="5"/>
  <c r="S327" i="5"/>
  <c r="T327" i="5"/>
  <c r="U327" i="5"/>
  <c r="V327" i="5"/>
  <c r="W327" i="5"/>
  <c r="X327" i="5"/>
  <c r="Y327" i="5"/>
  <c r="Z327" i="5"/>
  <c r="AA327" i="5"/>
  <c r="AB327" i="5"/>
  <c r="AC327" i="5"/>
  <c r="AD327" i="5"/>
  <c r="AE327" i="5"/>
  <c r="AF327" i="5"/>
  <c r="AG327" i="5"/>
  <c r="AH327" i="5"/>
  <c r="AI327" i="5"/>
  <c r="AJ327" i="5"/>
  <c r="AK327" i="5"/>
  <c r="AL327" i="5"/>
  <c r="AM327" i="5"/>
  <c r="AN327" i="5"/>
  <c r="AO327" i="5"/>
  <c r="AP327" i="5"/>
  <c r="AQ327" i="5"/>
  <c r="AR327" i="5"/>
  <c r="AS327" i="5"/>
  <c r="AT327" i="5"/>
  <c r="AU327" i="5"/>
  <c r="AV327" i="5"/>
  <c r="AW327" i="5"/>
  <c r="AX327" i="5"/>
  <c r="AY327" i="5"/>
  <c r="O328" i="5"/>
  <c r="P328" i="5"/>
  <c r="Q328" i="5"/>
  <c r="R328" i="5"/>
  <c r="S328" i="5"/>
  <c r="T328" i="5"/>
  <c r="U328" i="5"/>
  <c r="V328" i="5"/>
  <c r="W328" i="5"/>
  <c r="X328" i="5"/>
  <c r="Y328" i="5"/>
  <c r="Z328" i="5"/>
  <c r="AA328" i="5"/>
  <c r="AB328" i="5"/>
  <c r="AC328" i="5"/>
  <c r="AD328" i="5"/>
  <c r="AE328" i="5"/>
  <c r="AF328" i="5"/>
  <c r="AG328" i="5"/>
  <c r="AH328" i="5"/>
  <c r="AI328" i="5"/>
  <c r="AJ328" i="5"/>
  <c r="AK328" i="5"/>
  <c r="AL328" i="5"/>
  <c r="AM328" i="5"/>
  <c r="AN328" i="5"/>
  <c r="AO328" i="5"/>
  <c r="AP328" i="5"/>
  <c r="AQ328" i="5"/>
  <c r="AR328" i="5"/>
  <c r="AS328" i="5"/>
  <c r="AT328" i="5"/>
  <c r="AU328" i="5"/>
  <c r="AV328" i="5"/>
  <c r="AW328" i="5"/>
  <c r="AX328" i="5"/>
  <c r="AY328" i="5"/>
  <c r="O329" i="5"/>
  <c r="P329" i="5"/>
  <c r="Q329" i="5"/>
  <c r="R329" i="5"/>
  <c r="S329" i="5"/>
  <c r="T329" i="5"/>
  <c r="U329" i="5"/>
  <c r="V329" i="5"/>
  <c r="W329" i="5"/>
  <c r="X329" i="5"/>
  <c r="Y329" i="5"/>
  <c r="Z329" i="5"/>
  <c r="AA329" i="5"/>
  <c r="AB329" i="5"/>
  <c r="AC329" i="5"/>
  <c r="AD329" i="5"/>
  <c r="AE329" i="5"/>
  <c r="AF329" i="5"/>
  <c r="AG329" i="5"/>
  <c r="AH329" i="5"/>
  <c r="AI329" i="5"/>
  <c r="AJ329" i="5"/>
  <c r="AK329" i="5"/>
  <c r="AL329" i="5"/>
  <c r="AM329" i="5"/>
  <c r="AN329" i="5"/>
  <c r="AO329" i="5"/>
  <c r="AP329" i="5"/>
  <c r="AQ329" i="5"/>
  <c r="AR329" i="5"/>
  <c r="AS329" i="5"/>
  <c r="AT329" i="5"/>
  <c r="AU329" i="5"/>
  <c r="AV329" i="5"/>
  <c r="AW329" i="5"/>
  <c r="AX329" i="5"/>
  <c r="AY329" i="5"/>
  <c r="O330" i="5"/>
  <c r="P330" i="5"/>
  <c r="Q330" i="5"/>
  <c r="R330" i="5"/>
  <c r="S330" i="5"/>
  <c r="T330" i="5"/>
  <c r="U330" i="5"/>
  <c r="V330" i="5"/>
  <c r="W330" i="5"/>
  <c r="X330" i="5"/>
  <c r="Y330" i="5"/>
  <c r="Z330" i="5"/>
  <c r="AA330" i="5"/>
  <c r="AB330" i="5"/>
  <c r="AC330" i="5"/>
  <c r="AD330" i="5"/>
  <c r="AE330" i="5"/>
  <c r="AF330" i="5"/>
  <c r="AG330" i="5"/>
  <c r="AH330" i="5"/>
  <c r="AI330" i="5"/>
  <c r="AJ330" i="5"/>
  <c r="AK330" i="5"/>
  <c r="AL330" i="5"/>
  <c r="AM330" i="5"/>
  <c r="AN330" i="5"/>
  <c r="AO330" i="5"/>
  <c r="AP330" i="5"/>
  <c r="AQ330" i="5"/>
  <c r="AR330" i="5"/>
  <c r="AS330" i="5"/>
  <c r="AT330" i="5"/>
  <c r="AU330" i="5"/>
  <c r="AV330" i="5"/>
  <c r="AW330" i="5"/>
  <c r="AX330" i="5"/>
  <c r="AY330" i="5"/>
  <c r="O331" i="5"/>
  <c r="P331" i="5"/>
  <c r="Q331" i="5"/>
  <c r="R331" i="5"/>
  <c r="S331" i="5"/>
  <c r="T331" i="5"/>
  <c r="U331" i="5"/>
  <c r="V331" i="5"/>
  <c r="W331" i="5"/>
  <c r="X331" i="5"/>
  <c r="Y331" i="5"/>
  <c r="Z331" i="5"/>
  <c r="AA331" i="5"/>
  <c r="AB331" i="5"/>
  <c r="AC331" i="5"/>
  <c r="AD331" i="5"/>
  <c r="AE331" i="5"/>
  <c r="AF331" i="5"/>
  <c r="AG331" i="5"/>
  <c r="AH331" i="5"/>
  <c r="AI331" i="5"/>
  <c r="AJ331" i="5"/>
  <c r="AK331" i="5"/>
  <c r="AL331" i="5"/>
  <c r="AM331" i="5"/>
  <c r="AN331" i="5"/>
  <c r="AO331" i="5"/>
  <c r="AP331" i="5"/>
  <c r="AQ331" i="5"/>
  <c r="AR331" i="5"/>
  <c r="AS331" i="5"/>
  <c r="AT331" i="5"/>
  <c r="AU331" i="5"/>
  <c r="AV331" i="5"/>
  <c r="AW331" i="5"/>
  <c r="AX331" i="5"/>
  <c r="AY331" i="5"/>
  <c r="O332" i="5"/>
  <c r="K332" i="5" s="1"/>
  <c r="L332" i="5" s="1"/>
  <c r="P332" i="5"/>
  <c r="Q332" i="5"/>
  <c r="R332" i="5"/>
  <c r="S332" i="5"/>
  <c r="T332" i="5"/>
  <c r="U332" i="5"/>
  <c r="V332" i="5"/>
  <c r="W332" i="5"/>
  <c r="X332" i="5"/>
  <c r="Y332" i="5"/>
  <c r="Z332" i="5"/>
  <c r="AA332" i="5"/>
  <c r="AB332" i="5"/>
  <c r="AC332" i="5"/>
  <c r="AD332" i="5"/>
  <c r="AE332" i="5"/>
  <c r="AF332" i="5"/>
  <c r="AG332" i="5"/>
  <c r="AH332" i="5"/>
  <c r="AI332" i="5"/>
  <c r="AJ332" i="5"/>
  <c r="AK332" i="5"/>
  <c r="AL332" i="5"/>
  <c r="AM332" i="5"/>
  <c r="AN332" i="5"/>
  <c r="AO332" i="5"/>
  <c r="AP332" i="5"/>
  <c r="AQ332" i="5"/>
  <c r="AR332" i="5"/>
  <c r="AS332" i="5"/>
  <c r="AT332" i="5"/>
  <c r="AU332" i="5"/>
  <c r="AV332" i="5"/>
  <c r="AW332" i="5"/>
  <c r="AX332" i="5"/>
  <c r="AY332" i="5"/>
  <c r="O333" i="5"/>
  <c r="P333" i="5"/>
  <c r="Q333" i="5"/>
  <c r="R333" i="5"/>
  <c r="S333" i="5"/>
  <c r="T333" i="5"/>
  <c r="U333" i="5"/>
  <c r="V333" i="5"/>
  <c r="W333" i="5"/>
  <c r="X333" i="5"/>
  <c r="Y333" i="5"/>
  <c r="Z333" i="5"/>
  <c r="AA333" i="5"/>
  <c r="AB333" i="5"/>
  <c r="AC333" i="5"/>
  <c r="AD333" i="5"/>
  <c r="AE333" i="5"/>
  <c r="AF333" i="5"/>
  <c r="AG333" i="5"/>
  <c r="AH333" i="5"/>
  <c r="AI333" i="5"/>
  <c r="AJ333" i="5"/>
  <c r="AK333" i="5"/>
  <c r="AL333" i="5"/>
  <c r="AM333" i="5"/>
  <c r="AN333" i="5"/>
  <c r="AO333" i="5"/>
  <c r="AP333" i="5"/>
  <c r="AQ333" i="5"/>
  <c r="AR333" i="5"/>
  <c r="AS333" i="5"/>
  <c r="AT333" i="5"/>
  <c r="AU333" i="5"/>
  <c r="AV333" i="5"/>
  <c r="AW333" i="5"/>
  <c r="AX333" i="5"/>
  <c r="AY333" i="5"/>
  <c r="O334" i="5"/>
  <c r="P334" i="5"/>
  <c r="Q334" i="5"/>
  <c r="R334" i="5"/>
  <c r="S334" i="5"/>
  <c r="T334" i="5"/>
  <c r="U334" i="5"/>
  <c r="V334" i="5"/>
  <c r="W334" i="5"/>
  <c r="X334" i="5"/>
  <c r="Y334" i="5"/>
  <c r="Z334" i="5"/>
  <c r="AA334" i="5"/>
  <c r="AB334" i="5"/>
  <c r="AC334" i="5"/>
  <c r="AD334" i="5"/>
  <c r="AE334" i="5"/>
  <c r="AF334" i="5"/>
  <c r="AG334" i="5"/>
  <c r="AH334" i="5"/>
  <c r="AI334" i="5"/>
  <c r="AJ334" i="5"/>
  <c r="AK334" i="5"/>
  <c r="AL334" i="5"/>
  <c r="AM334" i="5"/>
  <c r="AN334" i="5"/>
  <c r="AO334" i="5"/>
  <c r="AP334" i="5"/>
  <c r="AQ334" i="5"/>
  <c r="AR334" i="5"/>
  <c r="AS334" i="5"/>
  <c r="AT334" i="5"/>
  <c r="AU334" i="5"/>
  <c r="AV334" i="5"/>
  <c r="AW334" i="5"/>
  <c r="AX334" i="5"/>
  <c r="AY334" i="5"/>
  <c r="O335" i="5"/>
  <c r="P335" i="5"/>
  <c r="Q335" i="5"/>
  <c r="R335" i="5"/>
  <c r="S335" i="5"/>
  <c r="T335" i="5"/>
  <c r="U335" i="5"/>
  <c r="V335" i="5"/>
  <c r="W335" i="5"/>
  <c r="X335" i="5"/>
  <c r="Y335" i="5"/>
  <c r="Z335" i="5"/>
  <c r="AA335" i="5"/>
  <c r="AB335" i="5"/>
  <c r="AC335" i="5"/>
  <c r="AD335" i="5"/>
  <c r="AE335" i="5"/>
  <c r="AF335" i="5"/>
  <c r="AG335" i="5"/>
  <c r="AH335" i="5"/>
  <c r="AI335" i="5"/>
  <c r="AJ335" i="5"/>
  <c r="AK335" i="5"/>
  <c r="AL335" i="5"/>
  <c r="AM335" i="5"/>
  <c r="AN335" i="5"/>
  <c r="AO335" i="5"/>
  <c r="AP335" i="5"/>
  <c r="AQ335" i="5"/>
  <c r="AR335" i="5"/>
  <c r="AS335" i="5"/>
  <c r="AT335" i="5"/>
  <c r="AU335" i="5"/>
  <c r="AV335" i="5"/>
  <c r="AW335" i="5"/>
  <c r="AX335" i="5"/>
  <c r="AY335" i="5"/>
  <c r="O336" i="5"/>
  <c r="P336" i="5"/>
  <c r="Q336" i="5"/>
  <c r="R336" i="5"/>
  <c r="S336" i="5"/>
  <c r="T336" i="5"/>
  <c r="U336" i="5"/>
  <c r="V336" i="5"/>
  <c r="W336" i="5"/>
  <c r="X336" i="5"/>
  <c r="Y336" i="5"/>
  <c r="Z336" i="5"/>
  <c r="AA336" i="5"/>
  <c r="AB336" i="5"/>
  <c r="AC336" i="5"/>
  <c r="AD336" i="5"/>
  <c r="AE336" i="5"/>
  <c r="AF336" i="5"/>
  <c r="AG336" i="5"/>
  <c r="AH336" i="5"/>
  <c r="AI336" i="5"/>
  <c r="AJ336" i="5"/>
  <c r="AK336" i="5"/>
  <c r="AL336" i="5"/>
  <c r="AM336" i="5"/>
  <c r="AN336" i="5"/>
  <c r="AO336" i="5"/>
  <c r="AP336" i="5"/>
  <c r="AQ336" i="5"/>
  <c r="AR336" i="5"/>
  <c r="AS336" i="5"/>
  <c r="AT336" i="5"/>
  <c r="AU336" i="5"/>
  <c r="AV336" i="5"/>
  <c r="AW336" i="5"/>
  <c r="AX336" i="5"/>
  <c r="AY336" i="5"/>
  <c r="O337" i="5"/>
  <c r="P337" i="5"/>
  <c r="Q337" i="5"/>
  <c r="R337" i="5"/>
  <c r="S337" i="5"/>
  <c r="T337" i="5"/>
  <c r="U337" i="5"/>
  <c r="V337" i="5"/>
  <c r="W337" i="5"/>
  <c r="X337" i="5"/>
  <c r="Y337" i="5"/>
  <c r="Z337" i="5"/>
  <c r="AA337" i="5"/>
  <c r="AB337" i="5"/>
  <c r="AC337" i="5"/>
  <c r="AD337" i="5"/>
  <c r="AE337" i="5"/>
  <c r="AF337" i="5"/>
  <c r="AG337" i="5"/>
  <c r="AH337" i="5"/>
  <c r="AI337" i="5"/>
  <c r="AJ337" i="5"/>
  <c r="AK337" i="5"/>
  <c r="AL337" i="5"/>
  <c r="AM337" i="5"/>
  <c r="AN337" i="5"/>
  <c r="AO337" i="5"/>
  <c r="AP337" i="5"/>
  <c r="AQ337" i="5"/>
  <c r="AR337" i="5"/>
  <c r="AS337" i="5"/>
  <c r="AT337" i="5"/>
  <c r="AU337" i="5"/>
  <c r="AV337" i="5"/>
  <c r="AW337" i="5"/>
  <c r="AX337" i="5"/>
  <c r="AY337" i="5"/>
  <c r="O338" i="5"/>
  <c r="P338" i="5"/>
  <c r="Q338" i="5"/>
  <c r="R338" i="5"/>
  <c r="S338" i="5"/>
  <c r="T338" i="5"/>
  <c r="U338" i="5"/>
  <c r="V338" i="5"/>
  <c r="W338" i="5"/>
  <c r="X338" i="5"/>
  <c r="Y338" i="5"/>
  <c r="Z338" i="5"/>
  <c r="AA338" i="5"/>
  <c r="AB338" i="5"/>
  <c r="AC338" i="5"/>
  <c r="AD338" i="5"/>
  <c r="AE338" i="5"/>
  <c r="AF338" i="5"/>
  <c r="AG338" i="5"/>
  <c r="AH338" i="5"/>
  <c r="AI338" i="5"/>
  <c r="AJ338" i="5"/>
  <c r="AK338" i="5"/>
  <c r="AL338" i="5"/>
  <c r="AM338" i="5"/>
  <c r="AN338" i="5"/>
  <c r="AO338" i="5"/>
  <c r="AP338" i="5"/>
  <c r="AQ338" i="5"/>
  <c r="AR338" i="5"/>
  <c r="AS338" i="5"/>
  <c r="AT338" i="5"/>
  <c r="AU338" i="5"/>
  <c r="AV338" i="5"/>
  <c r="AW338" i="5"/>
  <c r="AX338" i="5"/>
  <c r="AY338" i="5"/>
  <c r="O339" i="5"/>
  <c r="P339" i="5"/>
  <c r="Q339" i="5"/>
  <c r="R339" i="5"/>
  <c r="S339" i="5"/>
  <c r="T339" i="5"/>
  <c r="U339" i="5"/>
  <c r="V339" i="5"/>
  <c r="W339" i="5"/>
  <c r="X339" i="5"/>
  <c r="Y339" i="5"/>
  <c r="Z339" i="5"/>
  <c r="AA339" i="5"/>
  <c r="AB339" i="5"/>
  <c r="AC339" i="5"/>
  <c r="AD339" i="5"/>
  <c r="AE339" i="5"/>
  <c r="AF339" i="5"/>
  <c r="AG339" i="5"/>
  <c r="AH339" i="5"/>
  <c r="AI339" i="5"/>
  <c r="AJ339" i="5"/>
  <c r="AK339" i="5"/>
  <c r="AL339" i="5"/>
  <c r="AM339" i="5"/>
  <c r="AN339" i="5"/>
  <c r="AO339" i="5"/>
  <c r="AP339" i="5"/>
  <c r="AQ339" i="5"/>
  <c r="AR339" i="5"/>
  <c r="AS339" i="5"/>
  <c r="AT339" i="5"/>
  <c r="AU339" i="5"/>
  <c r="AV339" i="5"/>
  <c r="AW339" i="5"/>
  <c r="AX339" i="5"/>
  <c r="AY339" i="5"/>
  <c r="O340" i="5"/>
  <c r="P340" i="5"/>
  <c r="Q340" i="5"/>
  <c r="R340" i="5"/>
  <c r="S340" i="5"/>
  <c r="T340" i="5"/>
  <c r="U340" i="5"/>
  <c r="V340" i="5"/>
  <c r="W340" i="5"/>
  <c r="X340" i="5"/>
  <c r="Y340" i="5"/>
  <c r="Z340" i="5"/>
  <c r="AA340" i="5"/>
  <c r="AB340" i="5"/>
  <c r="AC340" i="5"/>
  <c r="AD340" i="5"/>
  <c r="AE340" i="5"/>
  <c r="AF340" i="5"/>
  <c r="AG340" i="5"/>
  <c r="AH340" i="5"/>
  <c r="AI340" i="5"/>
  <c r="AJ340" i="5"/>
  <c r="AK340" i="5"/>
  <c r="AL340" i="5"/>
  <c r="AM340" i="5"/>
  <c r="AN340" i="5"/>
  <c r="AO340" i="5"/>
  <c r="AP340" i="5"/>
  <c r="AQ340" i="5"/>
  <c r="AR340" i="5"/>
  <c r="AS340" i="5"/>
  <c r="AT340" i="5"/>
  <c r="AU340" i="5"/>
  <c r="AV340" i="5"/>
  <c r="AW340" i="5"/>
  <c r="AX340" i="5"/>
  <c r="AY340" i="5"/>
  <c r="O341" i="5"/>
  <c r="P341" i="5"/>
  <c r="Q341" i="5"/>
  <c r="R341" i="5"/>
  <c r="S341" i="5"/>
  <c r="T341" i="5"/>
  <c r="U341" i="5"/>
  <c r="V341" i="5"/>
  <c r="W341" i="5"/>
  <c r="X341" i="5"/>
  <c r="Y341" i="5"/>
  <c r="Z341" i="5"/>
  <c r="AA341" i="5"/>
  <c r="AB341" i="5"/>
  <c r="AC341" i="5"/>
  <c r="AD341" i="5"/>
  <c r="AE341" i="5"/>
  <c r="AF341" i="5"/>
  <c r="AG341" i="5"/>
  <c r="AH341" i="5"/>
  <c r="AI341" i="5"/>
  <c r="AJ341" i="5"/>
  <c r="AK341" i="5"/>
  <c r="AL341" i="5"/>
  <c r="AM341" i="5"/>
  <c r="AN341" i="5"/>
  <c r="AO341" i="5"/>
  <c r="AP341" i="5"/>
  <c r="AQ341" i="5"/>
  <c r="AR341" i="5"/>
  <c r="AS341" i="5"/>
  <c r="AT341" i="5"/>
  <c r="AU341" i="5"/>
  <c r="AV341" i="5"/>
  <c r="AW341" i="5"/>
  <c r="AX341" i="5"/>
  <c r="AY341" i="5"/>
  <c r="O342" i="5"/>
  <c r="P342" i="5"/>
  <c r="Q342" i="5"/>
  <c r="R342" i="5"/>
  <c r="S342" i="5"/>
  <c r="T342" i="5"/>
  <c r="U342" i="5"/>
  <c r="V342" i="5"/>
  <c r="W342" i="5"/>
  <c r="X342" i="5"/>
  <c r="Y342" i="5"/>
  <c r="Z342" i="5"/>
  <c r="AA342" i="5"/>
  <c r="AB342" i="5"/>
  <c r="AC342" i="5"/>
  <c r="AD342" i="5"/>
  <c r="AE342" i="5"/>
  <c r="AF342" i="5"/>
  <c r="AG342" i="5"/>
  <c r="AH342" i="5"/>
  <c r="AI342" i="5"/>
  <c r="AJ342" i="5"/>
  <c r="AK342" i="5"/>
  <c r="AL342" i="5"/>
  <c r="AM342" i="5"/>
  <c r="AN342" i="5"/>
  <c r="AO342" i="5"/>
  <c r="AP342" i="5"/>
  <c r="AQ342" i="5"/>
  <c r="AR342" i="5"/>
  <c r="AS342" i="5"/>
  <c r="AT342" i="5"/>
  <c r="AU342" i="5"/>
  <c r="AV342" i="5"/>
  <c r="AW342" i="5"/>
  <c r="AX342" i="5"/>
  <c r="AY342" i="5"/>
  <c r="O343" i="5"/>
  <c r="P343" i="5"/>
  <c r="Q343" i="5"/>
  <c r="R343" i="5"/>
  <c r="S343" i="5"/>
  <c r="T343" i="5"/>
  <c r="U343" i="5"/>
  <c r="V343" i="5"/>
  <c r="W343" i="5"/>
  <c r="X343" i="5"/>
  <c r="Y343" i="5"/>
  <c r="Z343" i="5"/>
  <c r="AA343" i="5"/>
  <c r="AB343" i="5"/>
  <c r="AC343" i="5"/>
  <c r="AD343" i="5"/>
  <c r="AE343" i="5"/>
  <c r="AF343" i="5"/>
  <c r="AG343" i="5"/>
  <c r="AH343" i="5"/>
  <c r="AI343" i="5"/>
  <c r="AJ343" i="5"/>
  <c r="AK343" i="5"/>
  <c r="AL343" i="5"/>
  <c r="AM343" i="5"/>
  <c r="AN343" i="5"/>
  <c r="AO343" i="5"/>
  <c r="AP343" i="5"/>
  <c r="AQ343" i="5"/>
  <c r="AR343" i="5"/>
  <c r="AS343" i="5"/>
  <c r="AT343" i="5"/>
  <c r="AU343" i="5"/>
  <c r="AV343" i="5"/>
  <c r="AW343" i="5"/>
  <c r="AX343" i="5"/>
  <c r="AY343" i="5"/>
  <c r="O344" i="5"/>
  <c r="P344" i="5"/>
  <c r="Q344" i="5"/>
  <c r="R344" i="5"/>
  <c r="S344" i="5"/>
  <c r="T344" i="5"/>
  <c r="U344" i="5"/>
  <c r="V344" i="5"/>
  <c r="W344" i="5"/>
  <c r="X344" i="5"/>
  <c r="Y344" i="5"/>
  <c r="Z344" i="5"/>
  <c r="AA344" i="5"/>
  <c r="AB344" i="5"/>
  <c r="AC344" i="5"/>
  <c r="AD344" i="5"/>
  <c r="AE344" i="5"/>
  <c r="AF344" i="5"/>
  <c r="AG344" i="5"/>
  <c r="AH344" i="5"/>
  <c r="AI344" i="5"/>
  <c r="AJ344" i="5"/>
  <c r="AK344" i="5"/>
  <c r="AL344" i="5"/>
  <c r="AM344" i="5"/>
  <c r="AN344" i="5"/>
  <c r="AO344" i="5"/>
  <c r="AP344" i="5"/>
  <c r="AQ344" i="5"/>
  <c r="AR344" i="5"/>
  <c r="AS344" i="5"/>
  <c r="AT344" i="5"/>
  <c r="AU344" i="5"/>
  <c r="AV344" i="5"/>
  <c r="AW344" i="5"/>
  <c r="AX344" i="5"/>
  <c r="AY344" i="5"/>
  <c r="O345" i="5"/>
  <c r="P345" i="5"/>
  <c r="Q345" i="5"/>
  <c r="R345" i="5"/>
  <c r="S345" i="5"/>
  <c r="T345" i="5"/>
  <c r="U345" i="5"/>
  <c r="V345" i="5"/>
  <c r="W345" i="5"/>
  <c r="X345" i="5"/>
  <c r="Y345" i="5"/>
  <c r="Z345" i="5"/>
  <c r="AA345" i="5"/>
  <c r="AB345" i="5"/>
  <c r="AC345" i="5"/>
  <c r="AD345" i="5"/>
  <c r="AE345" i="5"/>
  <c r="AF345" i="5"/>
  <c r="AG345" i="5"/>
  <c r="AH345" i="5"/>
  <c r="AI345" i="5"/>
  <c r="AJ345" i="5"/>
  <c r="AK345" i="5"/>
  <c r="AL345" i="5"/>
  <c r="AM345" i="5"/>
  <c r="AN345" i="5"/>
  <c r="AO345" i="5"/>
  <c r="AP345" i="5"/>
  <c r="AQ345" i="5"/>
  <c r="AR345" i="5"/>
  <c r="AS345" i="5"/>
  <c r="AT345" i="5"/>
  <c r="AU345" i="5"/>
  <c r="AV345" i="5"/>
  <c r="AW345" i="5"/>
  <c r="AX345" i="5"/>
  <c r="AY345" i="5"/>
  <c r="O346" i="5"/>
  <c r="P346" i="5"/>
  <c r="Q346" i="5"/>
  <c r="R346" i="5"/>
  <c r="S346" i="5"/>
  <c r="T346" i="5"/>
  <c r="U346" i="5"/>
  <c r="V346" i="5"/>
  <c r="W346" i="5"/>
  <c r="X346" i="5"/>
  <c r="Y346" i="5"/>
  <c r="Z346" i="5"/>
  <c r="AA346" i="5"/>
  <c r="AB346" i="5"/>
  <c r="AC346" i="5"/>
  <c r="AD346" i="5"/>
  <c r="AE346" i="5"/>
  <c r="AF346" i="5"/>
  <c r="AG346" i="5"/>
  <c r="AH346" i="5"/>
  <c r="AI346" i="5"/>
  <c r="AJ346" i="5"/>
  <c r="AK346" i="5"/>
  <c r="AL346" i="5"/>
  <c r="AM346" i="5"/>
  <c r="AN346" i="5"/>
  <c r="AO346" i="5"/>
  <c r="AP346" i="5"/>
  <c r="AQ346" i="5"/>
  <c r="AR346" i="5"/>
  <c r="AS346" i="5"/>
  <c r="AT346" i="5"/>
  <c r="AU346" i="5"/>
  <c r="AV346" i="5"/>
  <c r="AW346" i="5"/>
  <c r="AX346" i="5"/>
  <c r="AY346" i="5"/>
  <c r="O347" i="5"/>
  <c r="P347" i="5"/>
  <c r="Q347" i="5"/>
  <c r="R347" i="5"/>
  <c r="S347" i="5"/>
  <c r="T347" i="5"/>
  <c r="U347" i="5"/>
  <c r="V347" i="5"/>
  <c r="W347" i="5"/>
  <c r="X347" i="5"/>
  <c r="Y347" i="5"/>
  <c r="Z347" i="5"/>
  <c r="AA347" i="5"/>
  <c r="AB347" i="5"/>
  <c r="AC347" i="5"/>
  <c r="AD347" i="5"/>
  <c r="AE347" i="5"/>
  <c r="AF347" i="5"/>
  <c r="AG347" i="5"/>
  <c r="AH347" i="5"/>
  <c r="AI347" i="5"/>
  <c r="AJ347" i="5"/>
  <c r="AK347" i="5"/>
  <c r="AL347" i="5"/>
  <c r="AM347" i="5"/>
  <c r="AN347" i="5"/>
  <c r="AO347" i="5"/>
  <c r="AP347" i="5"/>
  <c r="AQ347" i="5"/>
  <c r="AR347" i="5"/>
  <c r="AS347" i="5"/>
  <c r="AT347" i="5"/>
  <c r="AU347" i="5"/>
  <c r="AV347" i="5"/>
  <c r="AW347" i="5"/>
  <c r="AX347" i="5"/>
  <c r="AY347" i="5"/>
  <c r="O348" i="5"/>
  <c r="P348" i="5"/>
  <c r="Q348" i="5"/>
  <c r="R348" i="5"/>
  <c r="S348" i="5"/>
  <c r="T348" i="5"/>
  <c r="U348" i="5"/>
  <c r="V348" i="5"/>
  <c r="W348" i="5"/>
  <c r="X348" i="5"/>
  <c r="Y348" i="5"/>
  <c r="Z348" i="5"/>
  <c r="AA348" i="5"/>
  <c r="AB348" i="5"/>
  <c r="AC348" i="5"/>
  <c r="AD348" i="5"/>
  <c r="AE348" i="5"/>
  <c r="AF348" i="5"/>
  <c r="AG348" i="5"/>
  <c r="AH348" i="5"/>
  <c r="AI348" i="5"/>
  <c r="AJ348" i="5"/>
  <c r="AK348" i="5"/>
  <c r="AL348" i="5"/>
  <c r="AM348" i="5"/>
  <c r="AN348" i="5"/>
  <c r="AO348" i="5"/>
  <c r="AP348" i="5"/>
  <c r="AQ348" i="5"/>
  <c r="AR348" i="5"/>
  <c r="AS348" i="5"/>
  <c r="AT348" i="5"/>
  <c r="AU348" i="5"/>
  <c r="AV348" i="5"/>
  <c r="AW348" i="5"/>
  <c r="AX348" i="5"/>
  <c r="AY348" i="5"/>
  <c r="O349" i="5"/>
  <c r="P349" i="5"/>
  <c r="Q349" i="5"/>
  <c r="R349" i="5"/>
  <c r="S349" i="5"/>
  <c r="T349" i="5"/>
  <c r="U349" i="5"/>
  <c r="V349" i="5"/>
  <c r="W349" i="5"/>
  <c r="X349" i="5"/>
  <c r="Y349" i="5"/>
  <c r="Z349" i="5"/>
  <c r="AA349" i="5"/>
  <c r="AB349" i="5"/>
  <c r="AC349" i="5"/>
  <c r="AD349" i="5"/>
  <c r="AE349" i="5"/>
  <c r="AF349" i="5"/>
  <c r="AG349" i="5"/>
  <c r="AH349" i="5"/>
  <c r="AI349" i="5"/>
  <c r="AJ349" i="5"/>
  <c r="AK349" i="5"/>
  <c r="AL349" i="5"/>
  <c r="AM349" i="5"/>
  <c r="AN349" i="5"/>
  <c r="AO349" i="5"/>
  <c r="AP349" i="5"/>
  <c r="AQ349" i="5"/>
  <c r="AR349" i="5"/>
  <c r="AS349" i="5"/>
  <c r="AT349" i="5"/>
  <c r="AU349" i="5"/>
  <c r="AV349" i="5"/>
  <c r="AW349" i="5"/>
  <c r="AX349" i="5"/>
  <c r="AY349" i="5"/>
  <c r="O350" i="5"/>
  <c r="P350" i="5"/>
  <c r="Q350" i="5"/>
  <c r="R350" i="5"/>
  <c r="S350" i="5"/>
  <c r="T350" i="5"/>
  <c r="U350" i="5"/>
  <c r="V350" i="5"/>
  <c r="W350" i="5"/>
  <c r="X350" i="5"/>
  <c r="Y350" i="5"/>
  <c r="Z350" i="5"/>
  <c r="AA350" i="5"/>
  <c r="AB350" i="5"/>
  <c r="AC350" i="5"/>
  <c r="AD350" i="5"/>
  <c r="AE350" i="5"/>
  <c r="AF350" i="5"/>
  <c r="AG350" i="5"/>
  <c r="AH350" i="5"/>
  <c r="AI350" i="5"/>
  <c r="AJ350" i="5"/>
  <c r="AK350" i="5"/>
  <c r="AL350" i="5"/>
  <c r="AM350" i="5"/>
  <c r="AN350" i="5"/>
  <c r="AO350" i="5"/>
  <c r="AP350" i="5"/>
  <c r="AQ350" i="5"/>
  <c r="AR350" i="5"/>
  <c r="AS350" i="5"/>
  <c r="AT350" i="5"/>
  <c r="AU350" i="5"/>
  <c r="AV350" i="5"/>
  <c r="AW350" i="5"/>
  <c r="AX350" i="5"/>
  <c r="AY350" i="5"/>
  <c r="O351" i="5"/>
  <c r="C351" i="5" s="1"/>
  <c r="P351" i="5"/>
  <c r="Q351" i="5"/>
  <c r="R351" i="5"/>
  <c r="S351" i="5"/>
  <c r="T351" i="5"/>
  <c r="U351" i="5"/>
  <c r="V351" i="5"/>
  <c r="W351" i="5"/>
  <c r="X351" i="5"/>
  <c r="Y351" i="5"/>
  <c r="Z351" i="5"/>
  <c r="AA351" i="5"/>
  <c r="AB351" i="5"/>
  <c r="AC351" i="5"/>
  <c r="AD351" i="5"/>
  <c r="AE351" i="5"/>
  <c r="AF351" i="5"/>
  <c r="AG351" i="5"/>
  <c r="AH351" i="5"/>
  <c r="AI351" i="5"/>
  <c r="AJ351" i="5"/>
  <c r="AK351" i="5"/>
  <c r="AL351" i="5"/>
  <c r="AM351" i="5"/>
  <c r="AN351" i="5"/>
  <c r="AO351" i="5"/>
  <c r="AP351" i="5"/>
  <c r="AQ351" i="5"/>
  <c r="AR351" i="5"/>
  <c r="AS351" i="5"/>
  <c r="AT351" i="5"/>
  <c r="AU351" i="5"/>
  <c r="AV351" i="5"/>
  <c r="AW351" i="5"/>
  <c r="AX351" i="5"/>
  <c r="AY351" i="5"/>
  <c r="O352" i="5"/>
  <c r="P352" i="5"/>
  <c r="Q352" i="5"/>
  <c r="R352" i="5"/>
  <c r="S352" i="5"/>
  <c r="T352" i="5"/>
  <c r="U352" i="5"/>
  <c r="V352" i="5"/>
  <c r="W352" i="5"/>
  <c r="X352" i="5"/>
  <c r="Y352" i="5"/>
  <c r="Z352" i="5"/>
  <c r="AA352" i="5"/>
  <c r="AB352" i="5"/>
  <c r="AC352" i="5"/>
  <c r="AD352" i="5"/>
  <c r="AE352" i="5"/>
  <c r="AF352" i="5"/>
  <c r="AG352" i="5"/>
  <c r="AH352" i="5"/>
  <c r="AI352" i="5"/>
  <c r="AJ352" i="5"/>
  <c r="AK352" i="5"/>
  <c r="AL352" i="5"/>
  <c r="AM352" i="5"/>
  <c r="AN352" i="5"/>
  <c r="AO352" i="5"/>
  <c r="AP352" i="5"/>
  <c r="AQ352" i="5"/>
  <c r="AR352" i="5"/>
  <c r="AS352" i="5"/>
  <c r="AT352" i="5"/>
  <c r="AU352" i="5"/>
  <c r="AV352" i="5"/>
  <c r="AW352" i="5"/>
  <c r="AX352" i="5"/>
  <c r="AY352" i="5"/>
  <c r="O353" i="5"/>
  <c r="P353" i="5"/>
  <c r="Q353" i="5"/>
  <c r="R353" i="5"/>
  <c r="S353" i="5"/>
  <c r="T353" i="5"/>
  <c r="U353" i="5"/>
  <c r="V353" i="5"/>
  <c r="W353" i="5"/>
  <c r="X353" i="5"/>
  <c r="Y353" i="5"/>
  <c r="Z353" i="5"/>
  <c r="AA353" i="5"/>
  <c r="AB353" i="5"/>
  <c r="AC353" i="5"/>
  <c r="AD353" i="5"/>
  <c r="AE353" i="5"/>
  <c r="AF353" i="5"/>
  <c r="AG353" i="5"/>
  <c r="AH353" i="5"/>
  <c r="AI353" i="5"/>
  <c r="AJ353" i="5"/>
  <c r="AK353" i="5"/>
  <c r="AL353" i="5"/>
  <c r="AM353" i="5"/>
  <c r="AN353" i="5"/>
  <c r="AO353" i="5"/>
  <c r="AP353" i="5"/>
  <c r="AQ353" i="5"/>
  <c r="AR353" i="5"/>
  <c r="AS353" i="5"/>
  <c r="AT353" i="5"/>
  <c r="AU353" i="5"/>
  <c r="AV353" i="5"/>
  <c r="AW353" i="5"/>
  <c r="AX353" i="5"/>
  <c r="AY353" i="5"/>
  <c r="O354" i="5"/>
  <c r="C354" i="5" s="1"/>
  <c r="P354" i="5"/>
  <c r="Q354" i="5"/>
  <c r="R354" i="5"/>
  <c r="S354" i="5"/>
  <c r="T354" i="5"/>
  <c r="U354" i="5"/>
  <c r="V354" i="5"/>
  <c r="W354" i="5"/>
  <c r="X354" i="5"/>
  <c r="Y354" i="5"/>
  <c r="Z354" i="5"/>
  <c r="AA354" i="5"/>
  <c r="AB354" i="5"/>
  <c r="AC354" i="5"/>
  <c r="AD354" i="5"/>
  <c r="AE354" i="5"/>
  <c r="AF354" i="5"/>
  <c r="AG354" i="5"/>
  <c r="AH354" i="5"/>
  <c r="AI354" i="5"/>
  <c r="AJ354" i="5"/>
  <c r="AK354" i="5"/>
  <c r="AL354" i="5"/>
  <c r="AM354" i="5"/>
  <c r="AN354" i="5"/>
  <c r="AO354" i="5"/>
  <c r="AP354" i="5"/>
  <c r="AQ354" i="5"/>
  <c r="AR354" i="5"/>
  <c r="AS354" i="5"/>
  <c r="AT354" i="5"/>
  <c r="AU354" i="5"/>
  <c r="AV354" i="5"/>
  <c r="AW354" i="5"/>
  <c r="AX354" i="5"/>
  <c r="AY354" i="5"/>
  <c r="O355" i="5"/>
  <c r="K355" i="5"/>
  <c r="L355" i="5" s="1"/>
  <c r="P355" i="5"/>
  <c r="Q355" i="5"/>
  <c r="R355" i="5"/>
  <c r="S355" i="5"/>
  <c r="T355" i="5"/>
  <c r="U355" i="5"/>
  <c r="V355" i="5"/>
  <c r="W355" i="5"/>
  <c r="X355" i="5"/>
  <c r="Y355" i="5"/>
  <c r="Z355" i="5"/>
  <c r="AA355" i="5"/>
  <c r="AB355" i="5"/>
  <c r="AC355" i="5"/>
  <c r="AD355" i="5"/>
  <c r="AE355" i="5"/>
  <c r="AF355" i="5"/>
  <c r="AG355" i="5"/>
  <c r="AH355" i="5"/>
  <c r="AI355" i="5"/>
  <c r="AJ355" i="5"/>
  <c r="AK355" i="5"/>
  <c r="AL355" i="5"/>
  <c r="AM355" i="5"/>
  <c r="AN355" i="5"/>
  <c r="AO355" i="5"/>
  <c r="AP355" i="5"/>
  <c r="AQ355" i="5"/>
  <c r="AR355" i="5"/>
  <c r="AS355" i="5"/>
  <c r="AT355" i="5"/>
  <c r="AU355" i="5"/>
  <c r="AV355" i="5"/>
  <c r="AW355" i="5"/>
  <c r="AX355" i="5"/>
  <c r="AY355" i="5"/>
  <c r="O356" i="5"/>
  <c r="P356" i="5"/>
  <c r="Q356" i="5"/>
  <c r="R356" i="5"/>
  <c r="S356" i="5"/>
  <c r="T356" i="5"/>
  <c r="U356" i="5"/>
  <c r="V356" i="5"/>
  <c r="W356" i="5"/>
  <c r="X356" i="5"/>
  <c r="Y356" i="5"/>
  <c r="Z356" i="5"/>
  <c r="AA356" i="5"/>
  <c r="AB356" i="5"/>
  <c r="AC356" i="5"/>
  <c r="AD356" i="5"/>
  <c r="AE356" i="5"/>
  <c r="AF356" i="5"/>
  <c r="AG356" i="5"/>
  <c r="AH356" i="5"/>
  <c r="AI356" i="5"/>
  <c r="AJ356" i="5"/>
  <c r="AK356" i="5"/>
  <c r="AL356" i="5"/>
  <c r="AM356" i="5"/>
  <c r="AN356" i="5"/>
  <c r="AO356" i="5"/>
  <c r="AP356" i="5"/>
  <c r="AQ356" i="5"/>
  <c r="AR356" i="5"/>
  <c r="AS356" i="5"/>
  <c r="AT356" i="5"/>
  <c r="AU356" i="5"/>
  <c r="AV356" i="5"/>
  <c r="AW356" i="5"/>
  <c r="AX356" i="5"/>
  <c r="AY356" i="5"/>
  <c r="O357" i="5"/>
  <c r="P357" i="5"/>
  <c r="Q357" i="5"/>
  <c r="R357" i="5"/>
  <c r="S357" i="5"/>
  <c r="T357" i="5"/>
  <c r="U357" i="5"/>
  <c r="V357" i="5"/>
  <c r="W357" i="5"/>
  <c r="X357" i="5"/>
  <c r="Y357" i="5"/>
  <c r="Z357" i="5"/>
  <c r="AA357" i="5"/>
  <c r="AB357" i="5"/>
  <c r="AC357" i="5"/>
  <c r="AD357" i="5"/>
  <c r="AE357" i="5"/>
  <c r="AF357" i="5"/>
  <c r="AG357" i="5"/>
  <c r="AH357" i="5"/>
  <c r="AI357" i="5"/>
  <c r="AJ357" i="5"/>
  <c r="AK357" i="5"/>
  <c r="AL357" i="5"/>
  <c r="AM357" i="5"/>
  <c r="AN357" i="5"/>
  <c r="AO357" i="5"/>
  <c r="AP357" i="5"/>
  <c r="AQ357" i="5"/>
  <c r="AR357" i="5"/>
  <c r="AS357" i="5"/>
  <c r="AT357" i="5"/>
  <c r="AU357" i="5"/>
  <c r="AV357" i="5"/>
  <c r="AW357" i="5"/>
  <c r="AX357" i="5"/>
  <c r="AY357" i="5"/>
  <c r="O358" i="5"/>
  <c r="P358" i="5"/>
  <c r="Q358" i="5"/>
  <c r="R358" i="5"/>
  <c r="S358" i="5"/>
  <c r="T358" i="5"/>
  <c r="U358" i="5"/>
  <c r="V358" i="5"/>
  <c r="W358" i="5"/>
  <c r="X358" i="5"/>
  <c r="Y358" i="5"/>
  <c r="Z358" i="5"/>
  <c r="AA358" i="5"/>
  <c r="AB358" i="5"/>
  <c r="AC358" i="5"/>
  <c r="AD358" i="5"/>
  <c r="AE358" i="5"/>
  <c r="AF358" i="5"/>
  <c r="AG358" i="5"/>
  <c r="AH358" i="5"/>
  <c r="AI358" i="5"/>
  <c r="AJ358" i="5"/>
  <c r="AK358" i="5"/>
  <c r="AL358" i="5"/>
  <c r="AM358" i="5"/>
  <c r="AN358" i="5"/>
  <c r="AO358" i="5"/>
  <c r="AP358" i="5"/>
  <c r="AQ358" i="5"/>
  <c r="AR358" i="5"/>
  <c r="AS358" i="5"/>
  <c r="AT358" i="5"/>
  <c r="AU358" i="5"/>
  <c r="AV358" i="5"/>
  <c r="AW358" i="5"/>
  <c r="AX358" i="5"/>
  <c r="AY358" i="5"/>
  <c r="O359" i="5"/>
  <c r="P359" i="5"/>
  <c r="Q359" i="5"/>
  <c r="R359" i="5"/>
  <c r="S359" i="5"/>
  <c r="T359" i="5"/>
  <c r="U359" i="5"/>
  <c r="V359" i="5"/>
  <c r="W359" i="5"/>
  <c r="X359" i="5"/>
  <c r="Y359" i="5"/>
  <c r="Z359" i="5"/>
  <c r="AA359" i="5"/>
  <c r="AB359" i="5"/>
  <c r="AC359" i="5"/>
  <c r="AD359" i="5"/>
  <c r="AE359" i="5"/>
  <c r="AF359" i="5"/>
  <c r="AG359" i="5"/>
  <c r="AH359" i="5"/>
  <c r="AI359" i="5"/>
  <c r="AJ359" i="5"/>
  <c r="AK359" i="5"/>
  <c r="AL359" i="5"/>
  <c r="AM359" i="5"/>
  <c r="AN359" i="5"/>
  <c r="AO359" i="5"/>
  <c r="AP359" i="5"/>
  <c r="AQ359" i="5"/>
  <c r="AR359" i="5"/>
  <c r="AS359" i="5"/>
  <c r="AT359" i="5"/>
  <c r="AU359" i="5"/>
  <c r="AV359" i="5"/>
  <c r="AW359" i="5"/>
  <c r="AX359" i="5"/>
  <c r="AY359" i="5"/>
  <c r="O360" i="5"/>
  <c r="P360" i="5"/>
  <c r="Q360" i="5"/>
  <c r="R360" i="5"/>
  <c r="S360" i="5"/>
  <c r="T360" i="5"/>
  <c r="U360" i="5"/>
  <c r="V360" i="5"/>
  <c r="W360" i="5"/>
  <c r="X360" i="5"/>
  <c r="Y360" i="5"/>
  <c r="Z360" i="5"/>
  <c r="AA360" i="5"/>
  <c r="AB360" i="5"/>
  <c r="AC360" i="5"/>
  <c r="AD360" i="5"/>
  <c r="AE360" i="5"/>
  <c r="AF360" i="5"/>
  <c r="AG360" i="5"/>
  <c r="AH360" i="5"/>
  <c r="AI360" i="5"/>
  <c r="AJ360" i="5"/>
  <c r="AK360" i="5"/>
  <c r="AL360" i="5"/>
  <c r="AM360" i="5"/>
  <c r="AN360" i="5"/>
  <c r="AO360" i="5"/>
  <c r="AP360" i="5"/>
  <c r="AQ360" i="5"/>
  <c r="AR360" i="5"/>
  <c r="AS360" i="5"/>
  <c r="AT360" i="5"/>
  <c r="AU360" i="5"/>
  <c r="AV360" i="5"/>
  <c r="AW360" i="5"/>
  <c r="AX360" i="5"/>
  <c r="AY360" i="5"/>
  <c r="O361" i="5"/>
  <c r="P361" i="5"/>
  <c r="Q361" i="5"/>
  <c r="R361" i="5"/>
  <c r="S361" i="5"/>
  <c r="T361" i="5"/>
  <c r="U361" i="5"/>
  <c r="V361" i="5"/>
  <c r="W361" i="5"/>
  <c r="X361" i="5"/>
  <c r="Y361" i="5"/>
  <c r="Z361" i="5"/>
  <c r="AA361" i="5"/>
  <c r="AB361" i="5"/>
  <c r="AC361" i="5"/>
  <c r="AD361" i="5"/>
  <c r="AE361" i="5"/>
  <c r="AF361" i="5"/>
  <c r="AG361" i="5"/>
  <c r="AH361" i="5"/>
  <c r="AI361" i="5"/>
  <c r="AJ361" i="5"/>
  <c r="AK361" i="5"/>
  <c r="AL361" i="5"/>
  <c r="AM361" i="5"/>
  <c r="AN361" i="5"/>
  <c r="AO361" i="5"/>
  <c r="AP361" i="5"/>
  <c r="AQ361" i="5"/>
  <c r="AR361" i="5"/>
  <c r="AS361" i="5"/>
  <c r="AT361" i="5"/>
  <c r="AU361" i="5"/>
  <c r="AV361" i="5"/>
  <c r="AW361" i="5"/>
  <c r="AX361" i="5"/>
  <c r="AY361" i="5"/>
  <c r="O362" i="5"/>
  <c r="P362" i="5"/>
  <c r="Q362" i="5"/>
  <c r="R362" i="5"/>
  <c r="S362" i="5"/>
  <c r="T362" i="5"/>
  <c r="U362" i="5"/>
  <c r="V362" i="5"/>
  <c r="W362" i="5"/>
  <c r="X362" i="5"/>
  <c r="Y362" i="5"/>
  <c r="Z362" i="5"/>
  <c r="AA362" i="5"/>
  <c r="AB362" i="5"/>
  <c r="AC362" i="5"/>
  <c r="AD362" i="5"/>
  <c r="AE362" i="5"/>
  <c r="AF362" i="5"/>
  <c r="AG362" i="5"/>
  <c r="AH362" i="5"/>
  <c r="AI362" i="5"/>
  <c r="AJ362" i="5"/>
  <c r="AK362" i="5"/>
  <c r="AL362" i="5"/>
  <c r="AM362" i="5"/>
  <c r="AN362" i="5"/>
  <c r="AO362" i="5"/>
  <c r="AP362" i="5"/>
  <c r="AQ362" i="5"/>
  <c r="AR362" i="5"/>
  <c r="AS362" i="5"/>
  <c r="AT362" i="5"/>
  <c r="AU362" i="5"/>
  <c r="AV362" i="5"/>
  <c r="AW362" i="5"/>
  <c r="AX362" i="5"/>
  <c r="AY362" i="5"/>
  <c r="O363" i="5"/>
  <c r="P363" i="5"/>
  <c r="Q363" i="5"/>
  <c r="R363" i="5"/>
  <c r="S363" i="5"/>
  <c r="T363" i="5"/>
  <c r="U363" i="5"/>
  <c r="V363" i="5"/>
  <c r="W363" i="5"/>
  <c r="X363" i="5"/>
  <c r="Y363" i="5"/>
  <c r="Z363" i="5"/>
  <c r="AA363" i="5"/>
  <c r="AB363" i="5"/>
  <c r="AC363" i="5"/>
  <c r="AD363" i="5"/>
  <c r="AE363" i="5"/>
  <c r="AF363" i="5"/>
  <c r="AG363" i="5"/>
  <c r="AH363" i="5"/>
  <c r="AI363" i="5"/>
  <c r="AJ363" i="5"/>
  <c r="AK363" i="5"/>
  <c r="AL363" i="5"/>
  <c r="AM363" i="5"/>
  <c r="AN363" i="5"/>
  <c r="AO363" i="5"/>
  <c r="AP363" i="5"/>
  <c r="AQ363" i="5"/>
  <c r="AR363" i="5"/>
  <c r="AS363" i="5"/>
  <c r="AT363" i="5"/>
  <c r="AU363" i="5"/>
  <c r="AV363" i="5"/>
  <c r="AW363" i="5"/>
  <c r="AX363" i="5"/>
  <c r="AY363" i="5"/>
  <c r="O364" i="5"/>
  <c r="B364" i="5" s="1"/>
  <c r="P364" i="5"/>
  <c r="Q364" i="5"/>
  <c r="R364" i="5"/>
  <c r="S364" i="5"/>
  <c r="T364" i="5"/>
  <c r="U364" i="5"/>
  <c r="V364" i="5"/>
  <c r="W364" i="5"/>
  <c r="X364" i="5"/>
  <c r="Y364" i="5"/>
  <c r="Z364" i="5"/>
  <c r="AA364" i="5"/>
  <c r="AB364" i="5"/>
  <c r="AC364" i="5"/>
  <c r="AD364" i="5"/>
  <c r="AE364" i="5"/>
  <c r="AF364" i="5"/>
  <c r="AG364" i="5"/>
  <c r="AH364" i="5"/>
  <c r="AI364" i="5"/>
  <c r="AJ364" i="5"/>
  <c r="AK364" i="5"/>
  <c r="AL364" i="5"/>
  <c r="AM364" i="5"/>
  <c r="AN364" i="5"/>
  <c r="AO364" i="5"/>
  <c r="AP364" i="5"/>
  <c r="AQ364" i="5"/>
  <c r="AR364" i="5"/>
  <c r="AS364" i="5"/>
  <c r="AT364" i="5"/>
  <c r="AU364" i="5"/>
  <c r="AV364" i="5"/>
  <c r="AW364" i="5"/>
  <c r="AX364" i="5"/>
  <c r="AY364" i="5"/>
  <c r="O365" i="5"/>
  <c r="P365" i="5"/>
  <c r="Q365" i="5"/>
  <c r="R365" i="5"/>
  <c r="S365" i="5"/>
  <c r="T365" i="5"/>
  <c r="U365" i="5"/>
  <c r="V365" i="5"/>
  <c r="W365" i="5"/>
  <c r="X365" i="5"/>
  <c r="Y365" i="5"/>
  <c r="Z365" i="5"/>
  <c r="AA365" i="5"/>
  <c r="AB365" i="5"/>
  <c r="AC365" i="5"/>
  <c r="AD365" i="5"/>
  <c r="AE365" i="5"/>
  <c r="AF365" i="5"/>
  <c r="AG365" i="5"/>
  <c r="AH365" i="5"/>
  <c r="AI365" i="5"/>
  <c r="AJ365" i="5"/>
  <c r="AK365" i="5"/>
  <c r="AL365" i="5"/>
  <c r="AM365" i="5"/>
  <c r="AN365" i="5"/>
  <c r="AO365" i="5"/>
  <c r="AP365" i="5"/>
  <c r="AQ365" i="5"/>
  <c r="AR365" i="5"/>
  <c r="AS365" i="5"/>
  <c r="AT365" i="5"/>
  <c r="AU365" i="5"/>
  <c r="AV365" i="5"/>
  <c r="AW365" i="5"/>
  <c r="AX365" i="5"/>
  <c r="AY365" i="5"/>
  <c r="O366" i="5"/>
  <c r="P366" i="5"/>
  <c r="Q366" i="5"/>
  <c r="R366" i="5"/>
  <c r="S366" i="5"/>
  <c r="T366" i="5"/>
  <c r="U366" i="5"/>
  <c r="V366" i="5"/>
  <c r="W366" i="5"/>
  <c r="X366" i="5"/>
  <c r="Y366" i="5"/>
  <c r="Z366" i="5"/>
  <c r="AA366" i="5"/>
  <c r="AB366" i="5"/>
  <c r="AC366" i="5"/>
  <c r="AD366" i="5"/>
  <c r="AE366" i="5"/>
  <c r="AF366" i="5"/>
  <c r="AG366" i="5"/>
  <c r="AH366" i="5"/>
  <c r="AI366" i="5"/>
  <c r="AJ366" i="5"/>
  <c r="AK366" i="5"/>
  <c r="AL366" i="5"/>
  <c r="AM366" i="5"/>
  <c r="AN366" i="5"/>
  <c r="AO366" i="5"/>
  <c r="AP366" i="5"/>
  <c r="AQ366" i="5"/>
  <c r="AR366" i="5"/>
  <c r="AS366" i="5"/>
  <c r="AT366" i="5"/>
  <c r="AU366" i="5"/>
  <c r="AV366" i="5"/>
  <c r="AW366" i="5"/>
  <c r="AX366" i="5"/>
  <c r="AY366" i="5"/>
  <c r="O367" i="5"/>
  <c r="B367" i="5" s="1"/>
  <c r="P367" i="5"/>
  <c r="Q367" i="5"/>
  <c r="R367" i="5"/>
  <c r="S367" i="5"/>
  <c r="T367" i="5"/>
  <c r="U367" i="5"/>
  <c r="V367" i="5"/>
  <c r="W367" i="5"/>
  <c r="X367" i="5"/>
  <c r="Y367" i="5"/>
  <c r="Z367" i="5"/>
  <c r="AA367" i="5"/>
  <c r="AB367" i="5"/>
  <c r="AC367" i="5"/>
  <c r="AD367" i="5"/>
  <c r="AE367" i="5"/>
  <c r="AF367" i="5"/>
  <c r="AG367" i="5"/>
  <c r="AH367" i="5"/>
  <c r="AI367" i="5"/>
  <c r="AJ367" i="5"/>
  <c r="AK367" i="5"/>
  <c r="AL367" i="5"/>
  <c r="AM367" i="5"/>
  <c r="AN367" i="5"/>
  <c r="AO367" i="5"/>
  <c r="AP367" i="5"/>
  <c r="AQ367" i="5"/>
  <c r="AR367" i="5"/>
  <c r="AS367" i="5"/>
  <c r="AT367" i="5"/>
  <c r="AU367" i="5"/>
  <c r="AV367" i="5"/>
  <c r="AW367" i="5"/>
  <c r="AX367" i="5"/>
  <c r="AY367" i="5"/>
  <c r="O368" i="5"/>
  <c r="P368" i="5"/>
  <c r="Q368" i="5"/>
  <c r="R368" i="5"/>
  <c r="S368" i="5"/>
  <c r="T368" i="5"/>
  <c r="U368" i="5"/>
  <c r="V368" i="5"/>
  <c r="W368" i="5"/>
  <c r="X368" i="5"/>
  <c r="Y368" i="5"/>
  <c r="Z368" i="5"/>
  <c r="AA368" i="5"/>
  <c r="AB368" i="5"/>
  <c r="AC368" i="5"/>
  <c r="AD368" i="5"/>
  <c r="AE368" i="5"/>
  <c r="AF368" i="5"/>
  <c r="AG368" i="5"/>
  <c r="AH368" i="5"/>
  <c r="AI368" i="5"/>
  <c r="AJ368" i="5"/>
  <c r="AK368" i="5"/>
  <c r="AL368" i="5"/>
  <c r="AM368" i="5"/>
  <c r="AN368" i="5"/>
  <c r="AO368" i="5"/>
  <c r="AP368" i="5"/>
  <c r="AQ368" i="5"/>
  <c r="AR368" i="5"/>
  <c r="AS368" i="5"/>
  <c r="AT368" i="5"/>
  <c r="AU368" i="5"/>
  <c r="AV368" i="5"/>
  <c r="AW368" i="5"/>
  <c r="AX368" i="5"/>
  <c r="AY368" i="5"/>
  <c r="O369" i="5"/>
  <c r="C369" i="5" s="1"/>
  <c r="P369" i="5"/>
  <c r="Q369" i="5"/>
  <c r="R369" i="5"/>
  <c r="S369" i="5"/>
  <c r="T369" i="5"/>
  <c r="U369" i="5"/>
  <c r="V369" i="5"/>
  <c r="W369" i="5"/>
  <c r="X369" i="5"/>
  <c r="Y369" i="5"/>
  <c r="Z369" i="5"/>
  <c r="AA369" i="5"/>
  <c r="AB369" i="5"/>
  <c r="AC369" i="5"/>
  <c r="AD369" i="5"/>
  <c r="AE369" i="5"/>
  <c r="AF369" i="5"/>
  <c r="AG369" i="5"/>
  <c r="AH369" i="5"/>
  <c r="AI369" i="5"/>
  <c r="AJ369" i="5"/>
  <c r="AK369" i="5"/>
  <c r="AL369" i="5"/>
  <c r="AM369" i="5"/>
  <c r="AN369" i="5"/>
  <c r="AO369" i="5"/>
  <c r="AP369" i="5"/>
  <c r="AQ369" i="5"/>
  <c r="AR369" i="5"/>
  <c r="AS369" i="5"/>
  <c r="AT369" i="5"/>
  <c r="AU369" i="5"/>
  <c r="AV369" i="5"/>
  <c r="AW369" i="5"/>
  <c r="AX369" i="5"/>
  <c r="AY369" i="5"/>
  <c r="O370" i="5"/>
  <c r="P370" i="5"/>
  <c r="Q370" i="5"/>
  <c r="R370" i="5"/>
  <c r="S370" i="5"/>
  <c r="T370" i="5"/>
  <c r="U370" i="5"/>
  <c r="V370" i="5"/>
  <c r="W370" i="5"/>
  <c r="X370" i="5"/>
  <c r="Y370" i="5"/>
  <c r="Z370" i="5"/>
  <c r="AA370" i="5"/>
  <c r="AB370" i="5"/>
  <c r="AC370" i="5"/>
  <c r="AD370" i="5"/>
  <c r="AE370" i="5"/>
  <c r="AF370" i="5"/>
  <c r="AG370" i="5"/>
  <c r="AH370" i="5"/>
  <c r="AI370" i="5"/>
  <c r="AJ370" i="5"/>
  <c r="AK370" i="5"/>
  <c r="AL370" i="5"/>
  <c r="AM370" i="5"/>
  <c r="AN370" i="5"/>
  <c r="AO370" i="5"/>
  <c r="AP370" i="5"/>
  <c r="AQ370" i="5"/>
  <c r="AR370" i="5"/>
  <c r="AS370" i="5"/>
  <c r="AT370" i="5"/>
  <c r="AU370" i="5"/>
  <c r="AV370" i="5"/>
  <c r="AW370" i="5"/>
  <c r="AX370" i="5"/>
  <c r="AY370" i="5"/>
  <c r="O371" i="5"/>
  <c r="P371" i="5"/>
  <c r="Q371" i="5"/>
  <c r="R371" i="5"/>
  <c r="S371" i="5"/>
  <c r="T371" i="5"/>
  <c r="U371" i="5"/>
  <c r="V371" i="5"/>
  <c r="W371" i="5"/>
  <c r="X371" i="5"/>
  <c r="Y371" i="5"/>
  <c r="Z371" i="5"/>
  <c r="AA371" i="5"/>
  <c r="AB371" i="5"/>
  <c r="AC371" i="5"/>
  <c r="AD371" i="5"/>
  <c r="AE371" i="5"/>
  <c r="AF371" i="5"/>
  <c r="AG371" i="5"/>
  <c r="AH371" i="5"/>
  <c r="AI371" i="5"/>
  <c r="AJ371" i="5"/>
  <c r="AK371" i="5"/>
  <c r="AL371" i="5"/>
  <c r="AM371" i="5"/>
  <c r="AN371" i="5"/>
  <c r="AO371" i="5"/>
  <c r="AP371" i="5"/>
  <c r="AQ371" i="5"/>
  <c r="AR371" i="5"/>
  <c r="AS371" i="5"/>
  <c r="AT371" i="5"/>
  <c r="AU371" i="5"/>
  <c r="AV371" i="5"/>
  <c r="AW371" i="5"/>
  <c r="AX371" i="5"/>
  <c r="AY371" i="5"/>
  <c r="O372" i="5"/>
  <c r="P372" i="5"/>
  <c r="Q372" i="5"/>
  <c r="R372" i="5"/>
  <c r="S372" i="5"/>
  <c r="T372" i="5"/>
  <c r="U372" i="5"/>
  <c r="V372" i="5"/>
  <c r="W372" i="5"/>
  <c r="X372" i="5"/>
  <c r="Y372" i="5"/>
  <c r="Z372" i="5"/>
  <c r="AA372" i="5"/>
  <c r="AB372" i="5"/>
  <c r="AC372" i="5"/>
  <c r="AD372" i="5"/>
  <c r="AE372" i="5"/>
  <c r="AF372" i="5"/>
  <c r="AG372" i="5"/>
  <c r="AH372" i="5"/>
  <c r="AI372" i="5"/>
  <c r="AJ372" i="5"/>
  <c r="AK372" i="5"/>
  <c r="AL372" i="5"/>
  <c r="AM372" i="5"/>
  <c r="AN372" i="5"/>
  <c r="AO372" i="5"/>
  <c r="AP372" i="5"/>
  <c r="AQ372" i="5"/>
  <c r="AR372" i="5"/>
  <c r="AS372" i="5"/>
  <c r="AT372" i="5"/>
  <c r="AU372" i="5"/>
  <c r="AV372" i="5"/>
  <c r="AW372" i="5"/>
  <c r="AX372" i="5"/>
  <c r="AY372" i="5"/>
  <c r="O373" i="5"/>
  <c r="P373" i="5"/>
  <c r="Q373" i="5"/>
  <c r="R373" i="5"/>
  <c r="S373" i="5"/>
  <c r="T373" i="5"/>
  <c r="U373" i="5"/>
  <c r="V373" i="5"/>
  <c r="W373" i="5"/>
  <c r="X373" i="5"/>
  <c r="Y373" i="5"/>
  <c r="Z373" i="5"/>
  <c r="AA373" i="5"/>
  <c r="AB373" i="5"/>
  <c r="AC373" i="5"/>
  <c r="AD373" i="5"/>
  <c r="AE373" i="5"/>
  <c r="AF373" i="5"/>
  <c r="AG373" i="5"/>
  <c r="AH373" i="5"/>
  <c r="AI373" i="5"/>
  <c r="AJ373" i="5"/>
  <c r="AK373" i="5"/>
  <c r="AL373" i="5"/>
  <c r="AM373" i="5"/>
  <c r="AN373" i="5"/>
  <c r="AO373" i="5"/>
  <c r="AP373" i="5"/>
  <c r="AQ373" i="5"/>
  <c r="AR373" i="5"/>
  <c r="AS373" i="5"/>
  <c r="AT373" i="5"/>
  <c r="AU373" i="5"/>
  <c r="AV373" i="5"/>
  <c r="AW373" i="5"/>
  <c r="AX373" i="5"/>
  <c r="AY373" i="5"/>
  <c r="O374" i="5"/>
  <c r="P374" i="5"/>
  <c r="Q374" i="5"/>
  <c r="R374" i="5"/>
  <c r="S374" i="5"/>
  <c r="T374" i="5"/>
  <c r="U374" i="5"/>
  <c r="V374" i="5"/>
  <c r="W374" i="5"/>
  <c r="X374" i="5"/>
  <c r="Y374" i="5"/>
  <c r="Z374" i="5"/>
  <c r="AA374" i="5"/>
  <c r="AB374" i="5"/>
  <c r="AC374" i="5"/>
  <c r="AD374" i="5"/>
  <c r="AE374" i="5"/>
  <c r="AF374" i="5"/>
  <c r="AG374" i="5"/>
  <c r="AH374" i="5"/>
  <c r="AI374" i="5"/>
  <c r="AJ374" i="5"/>
  <c r="AK374" i="5"/>
  <c r="AL374" i="5"/>
  <c r="AM374" i="5"/>
  <c r="AN374" i="5"/>
  <c r="AO374" i="5"/>
  <c r="AP374" i="5"/>
  <c r="AQ374" i="5"/>
  <c r="AR374" i="5"/>
  <c r="AS374" i="5"/>
  <c r="AT374" i="5"/>
  <c r="AU374" i="5"/>
  <c r="AV374" i="5"/>
  <c r="AW374" i="5"/>
  <c r="AX374" i="5"/>
  <c r="AY374" i="5"/>
  <c r="O375" i="5"/>
  <c r="P375" i="5"/>
  <c r="Q375" i="5"/>
  <c r="R375" i="5"/>
  <c r="S375" i="5"/>
  <c r="T375" i="5"/>
  <c r="U375" i="5"/>
  <c r="V375" i="5"/>
  <c r="W375" i="5"/>
  <c r="X375" i="5"/>
  <c r="Y375" i="5"/>
  <c r="Z375" i="5"/>
  <c r="AA375" i="5"/>
  <c r="AB375" i="5"/>
  <c r="AC375" i="5"/>
  <c r="AD375" i="5"/>
  <c r="AE375" i="5"/>
  <c r="AF375" i="5"/>
  <c r="AG375" i="5"/>
  <c r="AH375" i="5"/>
  <c r="AI375" i="5"/>
  <c r="AJ375" i="5"/>
  <c r="AK375" i="5"/>
  <c r="AL375" i="5"/>
  <c r="AM375" i="5"/>
  <c r="AN375" i="5"/>
  <c r="AO375" i="5"/>
  <c r="AP375" i="5"/>
  <c r="AQ375" i="5"/>
  <c r="AR375" i="5"/>
  <c r="AS375" i="5"/>
  <c r="AT375" i="5"/>
  <c r="AU375" i="5"/>
  <c r="AV375" i="5"/>
  <c r="AW375" i="5"/>
  <c r="AX375" i="5"/>
  <c r="AY375" i="5"/>
  <c r="O376" i="5"/>
  <c r="P376" i="5"/>
  <c r="Q376" i="5"/>
  <c r="R376" i="5"/>
  <c r="S376" i="5"/>
  <c r="T376" i="5"/>
  <c r="U376" i="5"/>
  <c r="V376" i="5"/>
  <c r="W376" i="5"/>
  <c r="X376" i="5"/>
  <c r="Y376" i="5"/>
  <c r="Z376" i="5"/>
  <c r="AA376" i="5"/>
  <c r="AB376" i="5"/>
  <c r="AC376" i="5"/>
  <c r="AD376" i="5"/>
  <c r="AE376" i="5"/>
  <c r="AF376" i="5"/>
  <c r="AG376" i="5"/>
  <c r="AH376" i="5"/>
  <c r="AI376" i="5"/>
  <c r="AJ376" i="5"/>
  <c r="AK376" i="5"/>
  <c r="AL376" i="5"/>
  <c r="AM376" i="5"/>
  <c r="AN376" i="5"/>
  <c r="AO376" i="5"/>
  <c r="AP376" i="5"/>
  <c r="AQ376" i="5"/>
  <c r="AR376" i="5"/>
  <c r="AS376" i="5"/>
  <c r="AT376" i="5"/>
  <c r="AU376" i="5"/>
  <c r="AV376" i="5"/>
  <c r="AW376" i="5"/>
  <c r="AX376" i="5"/>
  <c r="AY376" i="5"/>
  <c r="O377" i="5"/>
  <c r="P377" i="5"/>
  <c r="Q377" i="5"/>
  <c r="R377" i="5"/>
  <c r="S377" i="5"/>
  <c r="T377" i="5"/>
  <c r="U377" i="5"/>
  <c r="V377" i="5"/>
  <c r="W377" i="5"/>
  <c r="X377" i="5"/>
  <c r="Y377" i="5"/>
  <c r="Z377" i="5"/>
  <c r="AA377" i="5"/>
  <c r="AB377" i="5"/>
  <c r="AC377" i="5"/>
  <c r="AD377" i="5"/>
  <c r="AE377" i="5"/>
  <c r="AF377" i="5"/>
  <c r="AG377" i="5"/>
  <c r="AH377" i="5"/>
  <c r="AI377" i="5"/>
  <c r="AJ377" i="5"/>
  <c r="AK377" i="5"/>
  <c r="AL377" i="5"/>
  <c r="AM377" i="5"/>
  <c r="AN377" i="5"/>
  <c r="AO377" i="5"/>
  <c r="AP377" i="5"/>
  <c r="AQ377" i="5"/>
  <c r="AR377" i="5"/>
  <c r="AS377" i="5"/>
  <c r="AT377" i="5"/>
  <c r="AU377" i="5"/>
  <c r="AV377" i="5"/>
  <c r="AW377" i="5"/>
  <c r="AX377" i="5"/>
  <c r="AY377" i="5"/>
  <c r="O378" i="5"/>
  <c r="P378" i="5"/>
  <c r="Q378" i="5"/>
  <c r="R378" i="5"/>
  <c r="S378" i="5"/>
  <c r="T378" i="5"/>
  <c r="U378" i="5"/>
  <c r="V378" i="5"/>
  <c r="W378" i="5"/>
  <c r="X378" i="5"/>
  <c r="Y378" i="5"/>
  <c r="Z378" i="5"/>
  <c r="AA378" i="5"/>
  <c r="AB378" i="5"/>
  <c r="AC378" i="5"/>
  <c r="AD378" i="5"/>
  <c r="AE378" i="5"/>
  <c r="AF378" i="5"/>
  <c r="AG378" i="5"/>
  <c r="AH378" i="5"/>
  <c r="AI378" i="5"/>
  <c r="AJ378" i="5"/>
  <c r="AK378" i="5"/>
  <c r="AL378" i="5"/>
  <c r="AM378" i="5"/>
  <c r="AN378" i="5"/>
  <c r="AO378" i="5"/>
  <c r="AP378" i="5"/>
  <c r="AQ378" i="5"/>
  <c r="AR378" i="5"/>
  <c r="AS378" i="5"/>
  <c r="AT378" i="5"/>
  <c r="AU378" i="5"/>
  <c r="AV378" i="5"/>
  <c r="AW378" i="5"/>
  <c r="AX378" i="5"/>
  <c r="AY378" i="5"/>
  <c r="O379" i="5"/>
  <c r="P379" i="5"/>
  <c r="Q379" i="5"/>
  <c r="C379" i="5" s="1"/>
  <c r="R379" i="5"/>
  <c r="S379" i="5"/>
  <c r="T379" i="5"/>
  <c r="U379" i="5"/>
  <c r="V379" i="5"/>
  <c r="W379" i="5"/>
  <c r="X379" i="5"/>
  <c r="Y379" i="5"/>
  <c r="Z379" i="5"/>
  <c r="AA379" i="5"/>
  <c r="AB379" i="5"/>
  <c r="AC379" i="5"/>
  <c r="AD379" i="5"/>
  <c r="AE379" i="5"/>
  <c r="AF379" i="5"/>
  <c r="AG379" i="5"/>
  <c r="AH379" i="5"/>
  <c r="AI379" i="5"/>
  <c r="AJ379" i="5"/>
  <c r="AK379" i="5"/>
  <c r="AL379" i="5"/>
  <c r="AM379" i="5"/>
  <c r="AN379" i="5"/>
  <c r="AO379" i="5"/>
  <c r="AP379" i="5"/>
  <c r="AQ379" i="5"/>
  <c r="AR379" i="5"/>
  <c r="AS379" i="5"/>
  <c r="AT379" i="5"/>
  <c r="AU379" i="5"/>
  <c r="AV379" i="5"/>
  <c r="AW379" i="5"/>
  <c r="AX379" i="5"/>
  <c r="AY379" i="5"/>
  <c r="O380" i="5"/>
  <c r="P380" i="5"/>
  <c r="Q380" i="5"/>
  <c r="R380" i="5"/>
  <c r="S380" i="5"/>
  <c r="T380" i="5"/>
  <c r="U380" i="5"/>
  <c r="V380" i="5"/>
  <c r="W380" i="5"/>
  <c r="X380" i="5"/>
  <c r="Y380" i="5"/>
  <c r="Z380" i="5"/>
  <c r="AA380" i="5"/>
  <c r="AB380" i="5"/>
  <c r="AC380" i="5"/>
  <c r="AD380" i="5"/>
  <c r="AE380" i="5"/>
  <c r="AF380" i="5"/>
  <c r="AG380" i="5"/>
  <c r="AH380" i="5"/>
  <c r="AI380" i="5"/>
  <c r="AJ380" i="5"/>
  <c r="AK380" i="5"/>
  <c r="AL380" i="5"/>
  <c r="AM380" i="5"/>
  <c r="AN380" i="5"/>
  <c r="AO380" i="5"/>
  <c r="AP380" i="5"/>
  <c r="AQ380" i="5"/>
  <c r="AR380" i="5"/>
  <c r="AS380" i="5"/>
  <c r="AT380" i="5"/>
  <c r="AU380" i="5"/>
  <c r="AV380" i="5"/>
  <c r="AW380" i="5"/>
  <c r="AX380" i="5"/>
  <c r="AY380" i="5"/>
  <c r="O381" i="5"/>
  <c r="P381" i="5"/>
  <c r="Q381" i="5"/>
  <c r="R381" i="5"/>
  <c r="S381" i="5"/>
  <c r="T381" i="5"/>
  <c r="U381" i="5"/>
  <c r="V381" i="5"/>
  <c r="W381" i="5"/>
  <c r="X381" i="5"/>
  <c r="Y381" i="5"/>
  <c r="Z381" i="5"/>
  <c r="AA381" i="5"/>
  <c r="AB381" i="5"/>
  <c r="AC381" i="5"/>
  <c r="AD381" i="5"/>
  <c r="AE381" i="5"/>
  <c r="AF381" i="5"/>
  <c r="AG381" i="5"/>
  <c r="AH381" i="5"/>
  <c r="AI381" i="5"/>
  <c r="AJ381" i="5"/>
  <c r="AK381" i="5"/>
  <c r="AL381" i="5"/>
  <c r="AM381" i="5"/>
  <c r="AN381" i="5"/>
  <c r="AO381" i="5"/>
  <c r="AP381" i="5"/>
  <c r="AQ381" i="5"/>
  <c r="AR381" i="5"/>
  <c r="AS381" i="5"/>
  <c r="AT381" i="5"/>
  <c r="AU381" i="5"/>
  <c r="AV381" i="5"/>
  <c r="AW381" i="5"/>
  <c r="AX381" i="5"/>
  <c r="AY381" i="5"/>
  <c r="O382" i="5"/>
  <c r="P382" i="5"/>
  <c r="Q382" i="5"/>
  <c r="R382" i="5"/>
  <c r="S382" i="5"/>
  <c r="T382" i="5"/>
  <c r="U382" i="5"/>
  <c r="V382" i="5"/>
  <c r="W382" i="5"/>
  <c r="X382" i="5"/>
  <c r="Y382" i="5"/>
  <c r="Z382" i="5"/>
  <c r="AA382" i="5"/>
  <c r="AB382" i="5"/>
  <c r="AC382" i="5"/>
  <c r="AD382" i="5"/>
  <c r="AE382" i="5"/>
  <c r="AF382" i="5"/>
  <c r="AG382" i="5"/>
  <c r="AH382" i="5"/>
  <c r="AI382" i="5"/>
  <c r="AJ382" i="5"/>
  <c r="AK382" i="5"/>
  <c r="AL382" i="5"/>
  <c r="AM382" i="5"/>
  <c r="AN382" i="5"/>
  <c r="AO382" i="5"/>
  <c r="AP382" i="5"/>
  <c r="AQ382" i="5"/>
  <c r="AR382" i="5"/>
  <c r="AS382" i="5"/>
  <c r="AT382" i="5"/>
  <c r="AU382" i="5"/>
  <c r="AV382" i="5"/>
  <c r="AW382" i="5"/>
  <c r="AX382" i="5"/>
  <c r="AY382" i="5"/>
  <c r="O383" i="5"/>
  <c r="P383" i="5"/>
  <c r="Q383" i="5"/>
  <c r="R383" i="5"/>
  <c r="S383" i="5"/>
  <c r="T383" i="5"/>
  <c r="U383" i="5"/>
  <c r="V383" i="5"/>
  <c r="W383" i="5"/>
  <c r="X383" i="5"/>
  <c r="Y383" i="5"/>
  <c r="Z383" i="5"/>
  <c r="AA383" i="5"/>
  <c r="AB383" i="5"/>
  <c r="AC383" i="5"/>
  <c r="AD383" i="5"/>
  <c r="AE383" i="5"/>
  <c r="AF383" i="5"/>
  <c r="AG383" i="5"/>
  <c r="AH383" i="5"/>
  <c r="AI383" i="5"/>
  <c r="AJ383" i="5"/>
  <c r="AK383" i="5"/>
  <c r="AL383" i="5"/>
  <c r="AM383" i="5"/>
  <c r="AN383" i="5"/>
  <c r="AO383" i="5"/>
  <c r="AP383" i="5"/>
  <c r="AQ383" i="5"/>
  <c r="AR383" i="5"/>
  <c r="AS383" i="5"/>
  <c r="AT383" i="5"/>
  <c r="AU383" i="5"/>
  <c r="AV383" i="5"/>
  <c r="AW383" i="5"/>
  <c r="AX383" i="5"/>
  <c r="AY383" i="5"/>
  <c r="O384" i="5"/>
  <c r="P384" i="5"/>
  <c r="Q384" i="5"/>
  <c r="R384" i="5"/>
  <c r="S384" i="5"/>
  <c r="T384" i="5"/>
  <c r="U384" i="5"/>
  <c r="V384" i="5"/>
  <c r="W384" i="5"/>
  <c r="X384" i="5"/>
  <c r="Y384" i="5"/>
  <c r="Z384" i="5"/>
  <c r="AA384" i="5"/>
  <c r="AB384" i="5"/>
  <c r="AC384" i="5"/>
  <c r="AD384" i="5"/>
  <c r="AE384" i="5"/>
  <c r="AF384" i="5"/>
  <c r="AG384" i="5"/>
  <c r="AH384" i="5"/>
  <c r="AI384" i="5"/>
  <c r="AJ384" i="5"/>
  <c r="AK384" i="5"/>
  <c r="AL384" i="5"/>
  <c r="AM384" i="5"/>
  <c r="AN384" i="5"/>
  <c r="AO384" i="5"/>
  <c r="AP384" i="5"/>
  <c r="AQ384" i="5"/>
  <c r="AR384" i="5"/>
  <c r="AS384" i="5"/>
  <c r="AT384" i="5"/>
  <c r="AU384" i="5"/>
  <c r="AV384" i="5"/>
  <c r="AW384" i="5"/>
  <c r="AX384" i="5"/>
  <c r="AY384" i="5"/>
  <c r="O385" i="5"/>
  <c r="P385" i="5"/>
  <c r="Q385" i="5"/>
  <c r="R385" i="5"/>
  <c r="S385" i="5"/>
  <c r="T385" i="5"/>
  <c r="U385" i="5"/>
  <c r="V385" i="5"/>
  <c r="W385" i="5"/>
  <c r="X385" i="5"/>
  <c r="Y385" i="5"/>
  <c r="Z385" i="5"/>
  <c r="AA385" i="5"/>
  <c r="AB385" i="5"/>
  <c r="AC385" i="5"/>
  <c r="AD385" i="5"/>
  <c r="AE385" i="5"/>
  <c r="AF385" i="5"/>
  <c r="AG385" i="5"/>
  <c r="AH385" i="5"/>
  <c r="AI385" i="5"/>
  <c r="AJ385" i="5"/>
  <c r="AK385" i="5"/>
  <c r="AL385" i="5"/>
  <c r="AM385" i="5"/>
  <c r="AN385" i="5"/>
  <c r="AO385" i="5"/>
  <c r="AP385" i="5"/>
  <c r="AQ385" i="5"/>
  <c r="AR385" i="5"/>
  <c r="AS385" i="5"/>
  <c r="AT385" i="5"/>
  <c r="AU385" i="5"/>
  <c r="AV385" i="5"/>
  <c r="AW385" i="5"/>
  <c r="AX385" i="5"/>
  <c r="AY385" i="5"/>
  <c r="O386" i="5"/>
  <c r="P386" i="5"/>
  <c r="Q386" i="5"/>
  <c r="R386" i="5"/>
  <c r="S386" i="5"/>
  <c r="T386" i="5"/>
  <c r="U386" i="5"/>
  <c r="V386" i="5"/>
  <c r="W386" i="5"/>
  <c r="X386" i="5"/>
  <c r="Y386" i="5"/>
  <c r="Z386" i="5"/>
  <c r="AA386" i="5"/>
  <c r="AB386" i="5"/>
  <c r="AC386" i="5"/>
  <c r="AD386" i="5"/>
  <c r="AE386" i="5"/>
  <c r="AF386" i="5"/>
  <c r="AG386" i="5"/>
  <c r="AH386" i="5"/>
  <c r="AI386" i="5"/>
  <c r="AJ386" i="5"/>
  <c r="AK386" i="5"/>
  <c r="AL386" i="5"/>
  <c r="AM386" i="5"/>
  <c r="AN386" i="5"/>
  <c r="AO386" i="5"/>
  <c r="AP386" i="5"/>
  <c r="AQ386" i="5"/>
  <c r="AR386" i="5"/>
  <c r="AS386" i="5"/>
  <c r="AT386" i="5"/>
  <c r="AU386" i="5"/>
  <c r="AV386" i="5"/>
  <c r="AW386" i="5"/>
  <c r="AX386" i="5"/>
  <c r="AY386" i="5"/>
  <c r="O387" i="5"/>
  <c r="K387" i="5" s="1"/>
  <c r="L387" i="5" s="1"/>
  <c r="P387" i="5"/>
  <c r="Q387" i="5"/>
  <c r="R387" i="5"/>
  <c r="S387" i="5"/>
  <c r="T387" i="5"/>
  <c r="U387" i="5"/>
  <c r="V387" i="5"/>
  <c r="W387" i="5"/>
  <c r="X387" i="5"/>
  <c r="Y387" i="5"/>
  <c r="Z387" i="5"/>
  <c r="AA387" i="5"/>
  <c r="AB387" i="5"/>
  <c r="AC387" i="5"/>
  <c r="AD387" i="5"/>
  <c r="AE387" i="5"/>
  <c r="AF387" i="5"/>
  <c r="AG387" i="5"/>
  <c r="AH387" i="5"/>
  <c r="AI387" i="5"/>
  <c r="AJ387" i="5"/>
  <c r="AK387" i="5"/>
  <c r="AL387" i="5"/>
  <c r="AM387" i="5"/>
  <c r="AN387" i="5"/>
  <c r="AO387" i="5"/>
  <c r="AP387" i="5"/>
  <c r="AQ387" i="5"/>
  <c r="AR387" i="5"/>
  <c r="AS387" i="5"/>
  <c r="AT387" i="5"/>
  <c r="AU387" i="5"/>
  <c r="AV387" i="5"/>
  <c r="AW387" i="5"/>
  <c r="AX387" i="5"/>
  <c r="AY387" i="5"/>
  <c r="O388" i="5"/>
  <c r="P388" i="5"/>
  <c r="Q388" i="5"/>
  <c r="R388" i="5"/>
  <c r="S388" i="5"/>
  <c r="T388" i="5"/>
  <c r="U388" i="5"/>
  <c r="V388" i="5"/>
  <c r="W388" i="5"/>
  <c r="X388" i="5"/>
  <c r="Y388" i="5"/>
  <c r="Z388" i="5"/>
  <c r="AA388" i="5"/>
  <c r="AB388" i="5"/>
  <c r="AC388" i="5"/>
  <c r="AD388" i="5"/>
  <c r="AE388" i="5"/>
  <c r="AF388" i="5"/>
  <c r="AG388" i="5"/>
  <c r="AH388" i="5"/>
  <c r="AI388" i="5"/>
  <c r="AJ388" i="5"/>
  <c r="AK388" i="5"/>
  <c r="AL388" i="5"/>
  <c r="AM388" i="5"/>
  <c r="AN388" i="5"/>
  <c r="AO388" i="5"/>
  <c r="AP388" i="5"/>
  <c r="AQ388" i="5"/>
  <c r="AR388" i="5"/>
  <c r="AS388" i="5"/>
  <c r="AT388" i="5"/>
  <c r="AU388" i="5"/>
  <c r="AV388" i="5"/>
  <c r="AW388" i="5"/>
  <c r="AX388" i="5"/>
  <c r="AY388" i="5"/>
  <c r="O389" i="5"/>
  <c r="P389" i="5"/>
  <c r="Q389" i="5"/>
  <c r="R389" i="5"/>
  <c r="S389" i="5"/>
  <c r="T389" i="5"/>
  <c r="U389" i="5"/>
  <c r="V389" i="5"/>
  <c r="W389" i="5"/>
  <c r="X389" i="5"/>
  <c r="Y389" i="5"/>
  <c r="Z389" i="5"/>
  <c r="AA389" i="5"/>
  <c r="AB389" i="5"/>
  <c r="AC389" i="5"/>
  <c r="AD389" i="5"/>
  <c r="AE389" i="5"/>
  <c r="AF389" i="5"/>
  <c r="AG389" i="5"/>
  <c r="AH389" i="5"/>
  <c r="AI389" i="5"/>
  <c r="AJ389" i="5"/>
  <c r="AK389" i="5"/>
  <c r="AL389" i="5"/>
  <c r="AM389" i="5"/>
  <c r="AN389" i="5"/>
  <c r="AO389" i="5"/>
  <c r="AP389" i="5"/>
  <c r="AQ389" i="5"/>
  <c r="AR389" i="5"/>
  <c r="AS389" i="5"/>
  <c r="AT389" i="5"/>
  <c r="AU389" i="5"/>
  <c r="AV389" i="5"/>
  <c r="AW389" i="5"/>
  <c r="AX389" i="5"/>
  <c r="AY389" i="5"/>
  <c r="O390" i="5"/>
  <c r="P390" i="5"/>
  <c r="Q390" i="5"/>
  <c r="R390" i="5"/>
  <c r="S390" i="5"/>
  <c r="T390" i="5"/>
  <c r="U390" i="5"/>
  <c r="V390" i="5"/>
  <c r="W390" i="5"/>
  <c r="X390" i="5"/>
  <c r="Y390" i="5"/>
  <c r="Z390" i="5"/>
  <c r="AA390" i="5"/>
  <c r="AB390" i="5"/>
  <c r="AC390" i="5"/>
  <c r="AD390" i="5"/>
  <c r="AE390" i="5"/>
  <c r="AF390" i="5"/>
  <c r="AG390" i="5"/>
  <c r="AH390" i="5"/>
  <c r="AI390" i="5"/>
  <c r="AJ390" i="5"/>
  <c r="AK390" i="5"/>
  <c r="AL390" i="5"/>
  <c r="AM390" i="5"/>
  <c r="AN390" i="5"/>
  <c r="AO390" i="5"/>
  <c r="AP390" i="5"/>
  <c r="AQ390" i="5"/>
  <c r="AR390" i="5"/>
  <c r="AS390" i="5"/>
  <c r="AT390" i="5"/>
  <c r="AU390" i="5"/>
  <c r="AV390" i="5"/>
  <c r="AW390" i="5"/>
  <c r="AX390" i="5"/>
  <c r="AY390" i="5"/>
  <c r="O391" i="5"/>
  <c r="P391" i="5"/>
  <c r="Q391" i="5"/>
  <c r="R391" i="5"/>
  <c r="S391" i="5"/>
  <c r="T391" i="5"/>
  <c r="U391" i="5"/>
  <c r="V391" i="5"/>
  <c r="W391" i="5"/>
  <c r="X391" i="5"/>
  <c r="Y391" i="5"/>
  <c r="Z391" i="5"/>
  <c r="AA391" i="5"/>
  <c r="AB391" i="5"/>
  <c r="AC391" i="5"/>
  <c r="AD391" i="5"/>
  <c r="AE391" i="5"/>
  <c r="AF391" i="5"/>
  <c r="AG391" i="5"/>
  <c r="AH391" i="5"/>
  <c r="AI391" i="5"/>
  <c r="AJ391" i="5"/>
  <c r="AK391" i="5"/>
  <c r="AL391" i="5"/>
  <c r="AM391" i="5"/>
  <c r="AN391" i="5"/>
  <c r="AO391" i="5"/>
  <c r="AP391" i="5"/>
  <c r="AQ391" i="5"/>
  <c r="AR391" i="5"/>
  <c r="AS391" i="5"/>
  <c r="AT391" i="5"/>
  <c r="AU391" i="5"/>
  <c r="AV391" i="5"/>
  <c r="AW391" i="5"/>
  <c r="AX391" i="5"/>
  <c r="AY391" i="5"/>
  <c r="O392" i="5"/>
  <c r="P392" i="5"/>
  <c r="Q392" i="5"/>
  <c r="R392" i="5"/>
  <c r="S392" i="5"/>
  <c r="T392" i="5"/>
  <c r="U392" i="5"/>
  <c r="V392" i="5"/>
  <c r="W392" i="5"/>
  <c r="X392" i="5"/>
  <c r="Y392" i="5"/>
  <c r="Z392" i="5"/>
  <c r="AA392" i="5"/>
  <c r="AB392" i="5"/>
  <c r="AC392" i="5"/>
  <c r="AD392" i="5"/>
  <c r="AE392" i="5"/>
  <c r="AF392" i="5"/>
  <c r="AG392" i="5"/>
  <c r="AH392" i="5"/>
  <c r="AI392" i="5"/>
  <c r="AJ392" i="5"/>
  <c r="AK392" i="5"/>
  <c r="AL392" i="5"/>
  <c r="AM392" i="5"/>
  <c r="AN392" i="5"/>
  <c r="AO392" i="5"/>
  <c r="AP392" i="5"/>
  <c r="AQ392" i="5"/>
  <c r="AR392" i="5"/>
  <c r="AS392" i="5"/>
  <c r="AT392" i="5"/>
  <c r="AU392" i="5"/>
  <c r="AV392" i="5"/>
  <c r="AW392" i="5"/>
  <c r="AX392" i="5"/>
  <c r="AY392" i="5"/>
  <c r="O393" i="5"/>
  <c r="P393" i="5"/>
  <c r="Q393" i="5"/>
  <c r="R393" i="5"/>
  <c r="S393" i="5"/>
  <c r="T393" i="5"/>
  <c r="U393" i="5"/>
  <c r="V393" i="5"/>
  <c r="W393" i="5"/>
  <c r="X393" i="5"/>
  <c r="Y393" i="5"/>
  <c r="Z393" i="5"/>
  <c r="AA393" i="5"/>
  <c r="AB393" i="5"/>
  <c r="AC393" i="5"/>
  <c r="AD393" i="5"/>
  <c r="AE393" i="5"/>
  <c r="AF393" i="5"/>
  <c r="AG393" i="5"/>
  <c r="AH393" i="5"/>
  <c r="AI393" i="5"/>
  <c r="AJ393" i="5"/>
  <c r="AK393" i="5"/>
  <c r="AL393" i="5"/>
  <c r="AM393" i="5"/>
  <c r="AN393" i="5"/>
  <c r="AO393" i="5"/>
  <c r="AP393" i="5"/>
  <c r="AQ393" i="5"/>
  <c r="AR393" i="5"/>
  <c r="AS393" i="5"/>
  <c r="AT393" i="5"/>
  <c r="AU393" i="5"/>
  <c r="AV393" i="5"/>
  <c r="AW393" i="5"/>
  <c r="AX393" i="5"/>
  <c r="AY393" i="5"/>
  <c r="O394" i="5"/>
  <c r="P394" i="5"/>
  <c r="Q394" i="5"/>
  <c r="R394" i="5"/>
  <c r="S394" i="5"/>
  <c r="T394" i="5"/>
  <c r="U394" i="5"/>
  <c r="V394" i="5"/>
  <c r="W394" i="5"/>
  <c r="X394" i="5"/>
  <c r="Y394" i="5"/>
  <c r="Z394" i="5"/>
  <c r="AA394" i="5"/>
  <c r="AB394" i="5"/>
  <c r="AC394" i="5"/>
  <c r="AD394" i="5"/>
  <c r="AE394" i="5"/>
  <c r="AF394" i="5"/>
  <c r="AG394" i="5"/>
  <c r="AH394" i="5"/>
  <c r="AI394" i="5"/>
  <c r="AJ394" i="5"/>
  <c r="AK394" i="5"/>
  <c r="AL394" i="5"/>
  <c r="AM394" i="5"/>
  <c r="AN394" i="5"/>
  <c r="AO394" i="5"/>
  <c r="AP394" i="5"/>
  <c r="AQ394" i="5"/>
  <c r="AR394" i="5"/>
  <c r="AS394" i="5"/>
  <c r="AT394" i="5"/>
  <c r="AU394" i="5"/>
  <c r="AV394" i="5"/>
  <c r="AW394" i="5"/>
  <c r="AX394" i="5"/>
  <c r="AY394" i="5"/>
  <c r="O395" i="5"/>
  <c r="P395" i="5"/>
  <c r="Q395" i="5"/>
  <c r="R395" i="5"/>
  <c r="S395" i="5"/>
  <c r="T395" i="5"/>
  <c r="U395" i="5"/>
  <c r="V395" i="5"/>
  <c r="W395" i="5"/>
  <c r="X395" i="5"/>
  <c r="Y395" i="5"/>
  <c r="Z395" i="5"/>
  <c r="AA395" i="5"/>
  <c r="AB395" i="5"/>
  <c r="AC395" i="5"/>
  <c r="AD395" i="5"/>
  <c r="AE395" i="5"/>
  <c r="AF395" i="5"/>
  <c r="AG395" i="5"/>
  <c r="AH395" i="5"/>
  <c r="AI395" i="5"/>
  <c r="AJ395" i="5"/>
  <c r="AK395" i="5"/>
  <c r="AL395" i="5"/>
  <c r="AM395" i="5"/>
  <c r="AN395" i="5"/>
  <c r="AO395" i="5"/>
  <c r="AP395" i="5"/>
  <c r="AQ395" i="5"/>
  <c r="AR395" i="5"/>
  <c r="AS395" i="5"/>
  <c r="AT395" i="5"/>
  <c r="AU395" i="5"/>
  <c r="AV395" i="5"/>
  <c r="AW395" i="5"/>
  <c r="AX395" i="5"/>
  <c r="AY395" i="5"/>
  <c r="O396" i="5"/>
  <c r="K396" i="5"/>
  <c r="L396" i="5" s="1"/>
  <c r="P396" i="5"/>
  <c r="Q396" i="5"/>
  <c r="R396" i="5"/>
  <c r="S396" i="5"/>
  <c r="T396" i="5"/>
  <c r="U396" i="5"/>
  <c r="V396" i="5"/>
  <c r="W396" i="5"/>
  <c r="X396" i="5"/>
  <c r="Y396" i="5"/>
  <c r="Z396" i="5"/>
  <c r="AA396" i="5"/>
  <c r="AB396" i="5"/>
  <c r="AC396" i="5"/>
  <c r="AD396" i="5"/>
  <c r="AE396" i="5"/>
  <c r="AF396" i="5"/>
  <c r="AG396" i="5"/>
  <c r="AH396" i="5"/>
  <c r="AI396" i="5"/>
  <c r="AJ396" i="5"/>
  <c r="AK396" i="5"/>
  <c r="AL396" i="5"/>
  <c r="AM396" i="5"/>
  <c r="AN396" i="5"/>
  <c r="AO396" i="5"/>
  <c r="AP396" i="5"/>
  <c r="AQ396" i="5"/>
  <c r="AR396" i="5"/>
  <c r="AS396" i="5"/>
  <c r="AT396" i="5"/>
  <c r="AU396" i="5"/>
  <c r="AV396" i="5"/>
  <c r="AW396" i="5"/>
  <c r="AX396" i="5"/>
  <c r="AY396" i="5"/>
  <c r="O397" i="5"/>
  <c r="P397" i="5"/>
  <c r="Q397" i="5"/>
  <c r="C397" i="5"/>
  <c r="R397" i="5"/>
  <c r="S397" i="5"/>
  <c r="T397" i="5"/>
  <c r="U397" i="5"/>
  <c r="V397" i="5"/>
  <c r="W397" i="5"/>
  <c r="X397" i="5"/>
  <c r="Y397" i="5"/>
  <c r="Z397" i="5"/>
  <c r="AA397" i="5"/>
  <c r="AB397" i="5"/>
  <c r="AC397" i="5"/>
  <c r="AD397" i="5"/>
  <c r="AE397" i="5"/>
  <c r="AF397" i="5"/>
  <c r="AG397" i="5"/>
  <c r="AH397" i="5"/>
  <c r="AI397" i="5"/>
  <c r="AJ397" i="5"/>
  <c r="AK397" i="5"/>
  <c r="AL397" i="5"/>
  <c r="AM397" i="5"/>
  <c r="AN397" i="5"/>
  <c r="AO397" i="5"/>
  <c r="AP397" i="5"/>
  <c r="AQ397" i="5"/>
  <c r="AR397" i="5"/>
  <c r="AS397" i="5"/>
  <c r="AT397" i="5"/>
  <c r="AU397" i="5"/>
  <c r="AV397" i="5"/>
  <c r="AW397" i="5"/>
  <c r="AX397" i="5"/>
  <c r="AY397" i="5"/>
  <c r="O398" i="5"/>
  <c r="P398" i="5"/>
  <c r="Q398" i="5"/>
  <c r="R398" i="5"/>
  <c r="S398" i="5"/>
  <c r="T398" i="5"/>
  <c r="U398" i="5"/>
  <c r="V398" i="5"/>
  <c r="W398" i="5"/>
  <c r="X398" i="5"/>
  <c r="Y398" i="5"/>
  <c r="Z398" i="5"/>
  <c r="AA398" i="5"/>
  <c r="AB398" i="5"/>
  <c r="AC398" i="5"/>
  <c r="AD398" i="5"/>
  <c r="AE398" i="5"/>
  <c r="AF398" i="5"/>
  <c r="AG398" i="5"/>
  <c r="AH398" i="5"/>
  <c r="AI398" i="5"/>
  <c r="AJ398" i="5"/>
  <c r="AK398" i="5"/>
  <c r="AL398" i="5"/>
  <c r="AM398" i="5"/>
  <c r="AN398" i="5"/>
  <c r="AO398" i="5"/>
  <c r="AP398" i="5"/>
  <c r="AQ398" i="5"/>
  <c r="AR398" i="5"/>
  <c r="AS398" i="5"/>
  <c r="AT398" i="5"/>
  <c r="AU398" i="5"/>
  <c r="AV398" i="5"/>
  <c r="AW398" i="5"/>
  <c r="AX398" i="5"/>
  <c r="AY398" i="5"/>
  <c r="O399" i="5"/>
  <c r="C399" i="5" s="1"/>
  <c r="P399" i="5"/>
  <c r="Q399" i="5"/>
  <c r="R399" i="5"/>
  <c r="S399" i="5"/>
  <c r="T399" i="5"/>
  <c r="U399" i="5"/>
  <c r="V399" i="5"/>
  <c r="W399" i="5"/>
  <c r="X399" i="5"/>
  <c r="Y399" i="5"/>
  <c r="Z399" i="5"/>
  <c r="AA399" i="5"/>
  <c r="AB399" i="5"/>
  <c r="AC399" i="5"/>
  <c r="AD399" i="5"/>
  <c r="AE399" i="5"/>
  <c r="AF399" i="5"/>
  <c r="AG399" i="5"/>
  <c r="AH399" i="5"/>
  <c r="AI399" i="5"/>
  <c r="AJ399" i="5"/>
  <c r="AK399" i="5"/>
  <c r="AL399" i="5"/>
  <c r="AM399" i="5"/>
  <c r="AN399" i="5"/>
  <c r="AO399" i="5"/>
  <c r="AP399" i="5"/>
  <c r="AQ399" i="5"/>
  <c r="AR399" i="5"/>
  <c r="AS399" i="5"/>
  <c r="AT399" i="5"/>
  <c r="AU399" i="5"/>
  <c r="AV399" i="5"/>
  <c r="AW399" i="5"/>
  <c r="AX399" i="5"/>
  <c r="AY399" i="5"/>
  <c r="O400" i="5"/>
  <c r="P400" i="5"/>
  <c r="Q400" i="5"/>
  <c r="R400" i="5"/>
  <c r="S400" i="5"/>
  <c r="T400" i="5"/>
  <c r="U400" i="5"/>
  <c r="V400" i="5"/>
  <c r="W400" i="5"/>
  <c r="X400" i="5"/>
  <c r="Y400" i="5"/>
  <c r="Z400" i="5"/>
  <c r="AA400" i="5"/>
  <c r="AB400" i="5"/>
  <c r="AC400" i="5"/>
  <c r="AD400" i="5"/>
  <c r="AE400" i="5"/>
  <c r="AF400" i="5"/>
  <c r="AG400" i="5"/>
  <c r="AH400" i="5"/>
  <c r="AI400" i="5"/>
  <c r="AJ400" i="5"/>
  <c r="AK400" i="5"/>
  <c r="AL400" i="5"/>
  <c r="AM400" i="5"/>
  <c r="AN400" i="5"/>
  <c r="AO400" i="5"/>
  <c r="AP400" i="5"/>
  <c r="AQ400" i="5"/>
  <c r="AR400" i="5"/>
  <c r="AS400" i="5"/>
  <c r="AT400" i="5"/>
  <c r="AU400" i="5"/>
  <c r="AV400" i="5"/>
  <c r="AW400" i="5"/>
  <c r="AX400" i="5"/>
  <c r="AY400" i="5"/>
  <c r="O401" i="5"/>
  <c r="P401" i="5"/>
  <c r="Q401" i="5"/>
  <c r="R401" i="5"/>
  <c r="S401" i="5"/>
  <c r="T401" i="5"/>
  <c r="U401" i="5"/>
  <c r="V401" i="5"/>
  <c r="W401" i="5"/>
  <c r="X401" i="5"/>
  <c r="Y401" i="5"/>
  <c r="Z401" i="5"/>
  <c r="AA401" i="5"/>
  <c r="AB401" i="5"/>
  <c r="AC401" i="5"/>
  <c r="AD401" i="5"/>
  <c r="AE401" i="5"/>
  <c r="AF401" i="5"/>
  <c r="AG401" i="5"/>
  <c r="AH401" i="5"/>
  <c r="AI401" i="5"/>
  <c r="AJ401" i="5"/>
  <c r="AK401" i="5"/>
  <c r="AL401" i="5"/>
  <c r="AM401" i="5"/>
  <c r="AN401" i="5"/>
  <c r="AO401" i="5"/>
  <c r="AP401" i="5"/>
  <c r="AQ401" i="5"/>
  <c r="AR401" i="5"/>
  <c r="AS401" i="5"/>
  <c r="AT401" i="5"/>
  <c r="AU401" i="5"/>
  <c r="AV401" i="5"/>
  <c r="AW401" i="5"/>
  <c r="AX401" i="5"/>
  <c r="AY401" i="5"/>
  <c r="O402" i="5"/>
  <c r="P402" i="5"/>
  <c r="Q402" i="5"/>
  <c r="R402" i="5"/>
  <c r="S402" i="5"/>
  <c r="T402" i="5"/>
  <c r="U402" i="5"/>
  <c r="V402" i="5"/>
  <c r="W402" i="5"/>
  <c r="X402" i="5"/>
  <c r="Y402" i="5"/>
  <c r="Z402" i="5"/>
  <c r="AA402" i="5"/>
  <c r="AB402" i="5"/>
  <c r="AC402" i="5"/>
  <c r="AD402" i="5"/>
  <c r="AE402" i="5"/>
  <c r="AF402" i="5"/>
  <c r="AG402" i="5"/>
  <c r="AH402" i="5"/>
  <c r="AI402" i="5"/>
  <c r="AJ402" i="5"/>
  <c r="AK402" i="5"/>
  <c r="AL402" i="5"/>
  <c r="AM402" i="5"/>
  <c r="AN402" i="5"/>
  <c r="AO402" i="5"/>
  <c r="AP402" i="5"/>
  <c r="AQ402" i="5"/>
  <c r="AR402" i="5"/>
  <c r="AS402" i="5"/>
  <c r="AT402" i="5"/>
  <c r="AU402" i="5"/>
  <c r="AV402" i="5"/>
  <c r="AW402" i="5"/>
  <c r="AX402" i="5"/>
  <c r="AY402" i="5"/>
  <c r="O403" i="5"/>
  <c r="P403" i="5"/>
  <c r="Q403" i="5"/>
  <c r="R403" i="5"/>
  <c r="S403" i="5"/>
  <c r="T403" i="5"/>
  <c r="U403" i="5"/>
  <c r="V403" i="5"/>
  <c r="W403" i="5"/>
  <c r="X403" i="5"/>
  <c r="Y403" i="5"/>
  <c r="Z403" i="5"/>
  <c r="AA403" i="5"/>
  <c r="AB403" i="5"/>
  <c r="AC403" i="5"/>
  <c r="AD403" i="5"/>
  <c r="AE403" i="5"/>
  <c r="AF403" i="5"/>
  <c r="AG403" i="5"/>
  <c r="AH403" i="5"/>
  <c r="AI403" i="5"/>
  <c r="AJ403" i="5"/>
  <c r="AK403" i="5"/>
  <c r="AL403" i="5"/>
  <c r="AM403" i="5"/>
  <c r="AN403" i="5"/>
  <c r="AO403" i="5"/>
  <c r="AP403" i="5"/>
  <c r="AQ403" i="5"/>
  <c r="AR403" i="5"/>
  <c r="AS403" i="5"/>
  <c r="AT403" i="5"/>
  <c r="AU403" i="5"/>
  <c r="AV403" i="5"/>
  <c r="AW403" i="5"/>
  <c r="AX403" i="5"/>
  <c r="AY403" i="5"/>
  <c r="O404" i="5"/>
  <c r="P404" i="5"/>
  <c r="Q404" i="5"/>
  <c r="R404" i="5"/>
  <c r="S404" i="5"/>
  <c r="T404" i="5"/>
  <c r="U404" i="5"/>
  <c r="V404" i="5"/>
  <c r="W404" i="5"/>
  <c r="X404" i="5"/>
  <c r="Y404" i="5"/>
  <c r="Z404" i="5"/>
  <c r="AA404" i="5"/>
  <c r="AB404" i="5"/>
  <c r="AC404" i="5"/>
  <c r="AD404" i="5"/>
  <c r="AE404" i="5"/>
  <c r="AF404" i="5"/>
  <c r="AG404" i="5"/>
  <c r="AH404" i="5"/>
  <c r="AI404" i="5"/>
  <c r="AJ404" i="5"/>
  <c r="AK404" i="5"/>
  <c r="AL404" i="5"/>
  <c r="AM404" i="5"/>
  <c r="AN404" i="5"/>
  <c r="AO404" i="5"/>
  <c r="AP404" i="5"/>
  <c r="AQ404" i="5"/>
  <c r="AR404" i="5"/>
  <c r="AS404" i="5"/>
  <c r="AT404" i="5"/>
  <c r="AU404" i="5"/>
  <c r="AV404" i="5"/>
  <c r="AW404" i="5"/>
  <c r="AX404" i="5"/>
  <c r="AY404" i="5"/>
  <c r="O405" i="5"/>
  <c r="P405" i="5"/>
  <c r="Q405" i="5"/>
  <c r="R405" i="5"/>
  <c r="S405" i="5"/>
  <c r="T405" i="5"/>
  <c r="U405" i="5"/>
  <c r="V405" i="5"/>
  <c r="W405" i="5"/>
  <c r="X405" i="5"/>
  <c r="Y405" i="5"/>
  <c r="Z405" i="5"/>
  <c r="AA405" i="5"/>
  <c r="AB405" i="5"/>
  <c r="AC405" i="5"/>
  <c r="AD405" i="5"/>
  <c r="AE405" i="5"/>
  <c r="AF405" i="5"/>
  <c r="AG405" i="5"/>
  <c r="AH405" i="5"/>
  <c r="AI405" i="5"/>
  <c r="AJ405" i="5"/>
  <c r="AK405" i="5"/>
  <c r="AL405" i="5"/>
  <c r="AM405" i="5"/>
  <c r="AN405" i="5"/>
  <c r="AO405" i="5"/>
  <c r="AP405" i="5"/>
  <c r="AQ405" i="5"/>
  <c r="AR405" i="5"/>
  <c r="AS405" i="5"/>
  <c r="AT405" i="5"/>
  <c r="AU405" i="5"/>
  <c r="AV405" i="5"/>
  <c r="AW405" i="5"/>
  <c r="AX405" i="5"/>
  <c r="AY405" i="5"/>
  <c r="O406" i="5"/>
  <c r="P406" i="5"/>
  <c r="Q406" i="5"/>
  <c r="R406" i="5"/>
  <c r="S406" i="5"/>
  <c r="T406" i="5"/>
  <c r="U406" i="5"/>
  <c r="V406" i="5"/>
  <c r="W406" i="5"/>
  <c r="X406" i="5"/>
  <c r="Y406" i="5"/>
  <c r="Z406" i="5"/>
  <c r="AA406" i="5"/>
  <c r="AB406" i="5"/>
  <c r="AC406" i="5"/>
  <c r="AD406" i="5"/>
  <c r="AE406" i="5"/>
  <c r="AF406" i="5"/>
  <c r="AG406" i="5"/>
  <c r="AH406" i="5"/>
  <c r="AI406" i="5"/>
  <c r="AJ406" i="5"/>
  <c r="AK406" i="5"/>
  <c r="AL406" i="5"/>
  <c r="AM406" i="5"/>
  <c r="AN406" i="5"/>
  <c r="AO406" i="5"/>
  <c r="AP406" i="5"/>
  <c r="AQ406" i="5"/>
  <c r="AR406" i="5"/>
  <c r="AS406" i="5"/>
  <c r="AT406" i="5"/>
  <c r="AU406" i="5"/>
  <c r="AV406" i="5"/>
  <c r="AW406" i="5"/>
  <c r="AX406" i="5"/>
  <c r="AY406" i="5"/>
  <c r="O407" i="5"/>
  <c r="K407" i="5"/>
  <c r="L407" i="5" s="1"/>
  <c r="P407" i="5"/>
  <c r="Q407" i="5"/>
  <c r="C407" i="5" s="1"/>
  <c r="R407" i="5"/>
  <c r="S407" i="5"/>
  <c r="T407" i="5"/>
  <c r="U407" i="5"/>
  <c r="V407" i="5"/>
  <c r="W407" i="5"/>
  <c r="X407" i="5"/>
  <c r="Y407" i="5"/>
  <c r="Z407" i="5"/>
  <c r="AA407" i="5"/>
  <c r="AB407" i="5"/>
  <c r="AC407" i="5"/>
  <c r="AD407" i="5"/>
  <c r="AE407" i="5"/>
  <c r="AF407" i="5"/>
  <c r="AG407" i="5"/>
  <c r="AH407" i="5"/>
  <c r="AI407" i="5"/>
  <c r="AJ407" i="5"/>
  <c r="AK407" i="5"/>
  <c r="AL407" i="5"/>
  <c r="AM407" i="5"/>
  <c r="AN407" i="5"/>
  <c r="AO407" i="5"/>
  <c r="AP407" i="5"/>
  <c r="AQ407" i="5"/>
  <c r="AR407" i="5"/>
  <c r="AS407" i="5"/>
  <c r="AT407" i="5"/>
  <c r="AU407" i="5"/>
  <c r="AV407" i="5"/>
  <c r="AW407" i="5"/>
  <c r="AX407" i="5"/>
  <c r="AY407" i="5"/>
  <c r="O408" i="5"/>
  <c r="P408" i="5"/>
  <c r="Q408" i="5"/>
  <c r="R408" i="5"/>
  <c r="S408" i="5"/>
  <c r="T408" i="5"/>
  <c r="U408" i="5"/>
  <c r="V408" i="5"/>
  <c r="W408" i="5"/>
  <c r="X408" i="5"/>
  <c r="Y408" i="5"/>
  <c r="Z408" i="5"/>
  <c r="AA408" i="5"/>
  <c r="AB408" i="5"/>
  <c r="AC408" i="5"/>
  <c r="AD408" i="5"/>
  <c r="AE408" i="5"/>
  <c r="AF408" i="5"/>
  <c r="AG408" i="5"/>
  <c r="AH408" i="5"/>
  <c r="AI408" i="5"/>
  <c r="AJ408" i="5"/>
  <c r="AK408" i="5"/>
  <c r="AL408" i="5"/>
  <c r="AM408" i="5"/>
  <c r="AN408" i="5"/>
  <c r="AO408" i="5"/>
  <c r="AP408" i="5"/>
  <c r="AQ408" i="5"/>
  <c r="AR408" i="5"/>
  <c r="AS408" i="5"/>
  <c r="AT408" i="5"/>
  <c r="AU408" i="5"/>
  <c r="AV408" i="5"/>
  <c r="AW408" i="5"/>
  <c r="AX408" i="5"/>
  <c r="AY408" i="5"/>
  <c r="O409" i="5"/>
  <c r="P409" i="5"/>
  <c r="Q409" i="5"/>
  <c r="R409" i="5"/>
  <c r="S409" i="5"/>
  <c r="T409" i="5"/>
  <c r="U409" i="5"/>
  <c r="V409" i="5"/>
  <c r="W409" i="5"/>
  <c r="X409" i="5"/>
  <c r="Y409" i="5"/>
  <c r="Z409" i="5"/>
  <c r="AA409" i="5"/>
  <c r="AB409" i="5"/>
  <c r="AC409" i="5"/>
  <c r="AD409" i="5"/>
  <c r="AE409" i="5"/>
  <c r="AF409" i="5"/>
  <c r="AG409" i="5"/>
  <c r="AH409" i="5"/>
  <c r="AI409" i="5"/>
  <c r="AJ409" i="5"/>
  <c r="AK409" i="5"/>
  <c r="AL409" i="5"/>
  <c r="AM409" i="5"/>
  <c r="AN409" i="5"/>
  <c r="AO409" i="5"/>
  <c r="AP409" i="5"/>
  <c r="AQ409" i="5"/>
  <c r="AR409" i="5"/>
  <c r="AS409" i="5"/>
  <c r="AT409" i="5"/>
  <c r="AU409" i="5"/>
  <c r="AV409" i="5"/>
  <c r="AW409" i="5"/>
  <c r="AX409" i="5"/>
  <c r="AY409" i="5"/>
  <c r="O410" i="5"/>
  <c r="C410" i="5" s="1"/>
  <c r="P410" i="5"/>
  <c r="Q410" i="5"/>
  <c r="R410" i="5"/>
  <c r="S410" i="5"/>
  <c r="T410" i="5"/>
  <c r="U410" i="5"/>
  <c r="V410" i="5"/>
  <c r="W410" i="5"/>
  <c r="X410" i="5"/>
  <c r="Y410" i="5"/>
  <c r="Z410" i="5"/>
  <c r="AA410" i="5"/>
  <c r="AB410" i="5"/>
  <c r="AC410" i="5"/>
  <c r="AD410" i="5"/>
  <c r="AE410" i="5"/>
  <c r="AF410" i="5"/>
  <c r="AG410" i="5"/>
  <c r="AH410" i="5"/>
  <c r="AI410" i="5"/>
  <c r="AJ410" i="5"/>
  <c r="AK410" i="5"/>
  <c r="AL410" i="5"/>
  <c r="AM410" i="5"/>
  <c r="AN410" i="5"/>
  <c r="AO410" i="5"/>
  <c r="AP410" i="5"/>
  <c r="AQ410" i="5"/>
  <c r="AR410" i="5"/>
  <c r="AS410" i="5"/>
  <c r="AT410" i="5"/>
  <c r="AU410" i="5"/>
  <c r="AV410" i="5"/>
  <c r="AW410" i="5"/>
  <c r="AX410" i="5"/>
  <c r="AY410" i="5"/>
  <c r="O411" i="5"/>
  <c r="C411" i="5" s="1"/>
  <c r="P411" i="5"/>
  <c r="Q411" i="5"/>
  <c r="R411" i="5"/>
  <c r="S411" i="5"/>
  <c r="T411" i="5"/>
  <c r="U411" i="5"/>
  <c r="V411" i="5"/>
  <c r="W411" i="5"/>
  <c r="X411" i="5"/>
  <c r="Y411" i="5"/>
  <c r="Z411" i="5"/>
  <c r="AA411" i="5"/>
  <c r="AB411" i="5"/>
  <c r="AC411" i="5"/>
  <c r="AD411" i="5"/>
  <c r="AE411" i="5"/>
  <c r="AF411" i="5"/>
  <c r="AG411" i="5"/>
  <c r="AH411" i="5"/>
  <c r="AI411" i="5"/>
  <c r="AJ411" i="5"/>
  <c r="AK411" i="5"/>
  <c r="AL411" i="5"/>
  <c r="AM411" i="5"/>
  <c r="AN411" i="5"/>
  <c r="AO411" i="5"/>
  <c r="AP411" i="5"/>
  <c r="AQ411" i="5"/>
  <c r="AR411" i="5"/>
  <c r="AS411" i="5"/>
  <c r="AT411" i="5"/>
  <c r="AU411" i="5"/>
  <c r="AV411" i="5"/>
  <c r="AW411" i="5"/>
  <c r="AX411" i="5"/>
  <c r="AY411" i="5"/>
  <c r="O412" i="5"/>
  <c r="P412" i="5"/>
  <c r="Q412" i="5"/>
  <c r="R412" i="5"/>
  <c r="S412" i="5"/>
  <c r="T412" i="5"/>
  <c r="U412" i="5"/>
  <c r="V412" i="5"/>
  <c r="W412" i="5"/>
  <c r="X412" i="5"/>
  <c r="Y412" i="5"/>
  <c r="Z412" i="5"/>
  <c r="AA412" i="5"/>
  <c r="AB412" i="5"/>
  <c r="AC412" i="5"/>
  <c r="AD412" i="5"/>
  <c r="AE412" i="5"/>
  <c r="AF412" i="5"/>
  <c r="AG412" i="5"/>
  <c r="AH412" i="5"/>
  <c r="AI412" i="5"/>
  <c r="AJ412" i="5"/>
  <c r="AK412" i="5"/>
  <c r="AL412" i="5"/>
  <c r="AM412" i="5"/>
  <c r="AN412" i="5"/>
  <c r="AO412" i="5"/>
  <c r="AP412" i="5"/>
  <c r="AQ412" i="5"/>
  <c r="AR412" i="5"/>
  <c r="AS412" i="5"/>
  <c r="AT412" i="5"/>
  <c r="AU412" i="5"/>
  <c r="AV412" i="5"/>
  <c r="AW412" i="5"/>
  <c r="AX412" i="5"/>
  <c r="AY412" i="5"/>
  <c r="O413" i="5"/>
  <c r="P413" i="5"/>
  <c r="Q413" i="5"/>
  <c r="R413" i="5"/>
  <c r="S413" i="5"/>
  <c r="T413" i="5"/>
  <c r="U413" i="5"/>
  <c r="V413" i="5"/>
  <c r="W413" i="5"/>
  <c r="X413" i="5"/>
  <c r="Y413" i="5"/>
  <c r="Z413" i="5"/>
  <c r="AA413" i="5"/>
  <c r="AB413" i="5"/>
  <c r="AC413" i="5"/>
  <c r="AD413" i="5"/>
  <c r="AE413" i="5"/>
  <c r="AF413" i="5"/>
  <c r="AG413" i="5"/>
  <c r="AH413" i="5"/>
  <c r="AI413" i="5"/>
  <c r="AJ413" i="5"/>
  <c r="AK413" i="5"/>
  <c r="AL413" i="5"/>
  <c r="AM413" i="5"/>
  <c r="AN413" i="5"/>
  <c r="AO413" i="5"/>
  <c r="AP413" i="5"/>
  <c r="AQ413" i="5"/>
  <c r="AR413" i="5"/>
  <c r="AS413" i="5"/>
  <c r="AT413" i="5"/>
  <c r="AU413" i="5"/>
  <c r="AV413" i="5"/>
  <c r="AW413" i="5"/>
  <c r="AX413" i="5"/>
  <c r="AY413" i="5"/>
  <c r="O414" i="5"/>
  <c r="P414" i="5"/>
  <c r="Q414" i="5"/>
  <c r="R414" i="5"/>
  <c r="S414" i="5"/>
  <c r="T414" i="5"/>
  <c r="U414" i="5"/>
  <c r="V414" i="5"/>
  <c r="W414" i="5"/>
  <c r="X414" i="5"/>
  <c r="Y414" i="5"/>
  <c r="Z414" i="5"/>
  <c r="AA414" i="5"/>
  <c r="AB414" i="5"/>
  <c r="AC414" i="5"/>
  <c r="AD414" i="5"/>
  <c r="AE414" i="5"/>
  <c r="AF414" i="5"/>
  <c r="AG414" i="5"/>
  <c r="AH414" i="5"/>
  <c r="AI414" i="5"/>
  <c r="AJ414" i="5"/>
  <c r="AK414" i="5"/>
  <c r="AL414" i="5"/>
  <c r="AM414" i="5"/>
  <c r="AN414" i="5"/>
  <c r="AO414" i="5"/>
  <c r="AP414" i="5"/>
  <c r="AQ414" i="5"/>
  <c r="AR414" i="5"/>
  <c r="AS414" i="5"/>
  <c r="AT414" i="5"/>
  <c r="AU414" i="5"/>
  <c r="AV414" i="5"/>
  <c r="AW414" i="5"/>
  <c r="AX414" i="5"/>
  <c r="AY414" i="5"/>
  <c r="O415" i="5"/>
  <c r="P415" i="5"/>
  <c r="Q415" i="5"/>
  <c r="R415" i="5"/>
  <c r="S415" i="5"/>
  <c r="T415" i="5"/>
  <c r="U415" i="5"/>
  <c r="V415" i="5"/>
  <c r="W415" i="5"/>
  <c r="X415" i="5"/>
  <c r="Y415" i="5"/>
  <c r="Z415" i="5"/>
  <c r="AA415" i="5"/>
  <c r="AB415" i="5"/>
  <c r="AC415" i="5"/>
  <c r="AD415" i="5"/>
  <c r="AE415" i="5"/>
  <c r="AF415" i="5"/>
  <c r="AG415" i="5"/>
  <c r="AH415" i="5"/>
  <c r="AI415" i="5"/>
  <c r="AJ415" i="5"/>
  <c r="AK415" i="5"/>
  <c r="AL415" i="5"/>
  <c r="AM415" i="5"/>
  <c r="AN415" i="5"/>
  <c r="AO415" i="5"/>
  <c r="AP415" i="5"/>
  <c r="AQ415" i="5"/>
  <c r="AR415" i="5"/>
  <c r="AS415" i="5"/>
  <c r="AT415" i="5"/>
  <c r="AU415" i="5"/>
  <c r="AV415" i="5"/>
  <c r="AW415" i="5"/>
  <c r="AX415" i="5"/>
  <c r="AY415" i="5"/>
  <c r="O416" i="5"/>
  <c r="P416" i="5"/>
  <c r="Q416" i="5"/>
  <c r="R416" i="5"/>
  <c r="S416" i="5"/>
  <c r="T416" i="5"/>
  <c r="U416" i="5"/>
  <c r="V416" i="5"/>
  <c r="W416" i="5"/>
  <c r="X416" i="5"/>
  <c r="Y416" i="5"/>
  <c r="Z416" i="5"/>
  <c r="AA416" i="5"/>
  <c r="AB416" i="5"/>
  <c r="AC416" i="5"/>
  <c r="AD416" i="5"/>
  <c r="AE416" i="5"/>
  <c r="AF416" i="5"/>
  <c r="AG416" i="5"/>
  <c r="AH416" i="5"/>
  <c r="AI416" i="5"/>
  <c r="AJ416" i="5"/>
  <c r="AK416" i="5"/>
  <c r="AL416" i="5"/>
  <c r="AM416" i="5"/>
  <c r="AN416" i="5"/>
  <c r="AO416" i="5"/>
  <c r="AP416" i="5"/>
  <c r="AQ416" i="5"/>
  <c r="AR416" i="5"/>
  <c r="AS416" i="5"/>
  <c r="AT416" i="5"/>
  <c r="AU416" i="5"/>
  <c r="AV416" i="5"/>
  <c r="AW416" i="5"/>
  <c r="AX416" i="5"/>
  <c r="AY416" i="5"/>
  <c r="O417" i="5"/>
  <c r="P417" i="5"/>
  <c r="Q417" i="5"/>
  <c r="R417" i="5"/>
  <c r="S417" i="5"/>
  <c r="T417" i="5"/>
  <c r="U417" i="5"/>
  <c r="V417" i="5"/>
  <c r="W417" i="5"/>
  <c r="X417" i="5"/>
  <c r="Y417" i="5"/>
  <c r="Z417" i="5"/>
  <c r="AA417" i="5"/>
  <c r="AB417" i="5"/>
  <c r="AC417" i="5"/>
  <c r="AD417" i="5"/>
  <c r="AE417" i="5"/>
  <c r="AF417" i="5"/>
  <c r="AG417" i="5"/>
  <c r="AH417" i="5"/>
  <c r="AI417" i="5"/>
  <c r="AJ417" i="5"/>
  <c r="AK417" i="5"/>
  <c r="AL417" i="5"/>
  <c r="AM417" i="5"/>
  <c r="AN417" i="5"/>
  <c r="AO417" i="5"/>
  <c r="AP417" i="5"/>
  <c r="AQ417" i="5"/>
  <c r="AR417" i="5"/>
  <c r="AS417" i="5"/>
  <c r="AT417" i="5"/>
  <c r="AU417" i="5"/>
  <c r="AV417" i="5"/>
  <c r="AW417" i="5"/>
  <c r="AX417" i="5"/>
  <c r="AY417" i="5"/>
  <c r="O418" i="5"/>
  <c r="P418" i="5"/>
  <c r="Q418" i="5"/>
  <c r="R418" i="5"/>
  <c r="S418" i="5"/>
  <c r="T418" i="5"/>
  <c r="U418" i="5"/>
  <c r="V418" i="5"/>
  <c r="W418" i="5"/>
  <c r="X418" i="5"/>
  <c r="Y418" i="5"/>
  <c r="Z418" i="5"/>
  <c r="AA418" i="5"/>
  <c r="AB418" i="5"/>
  <c r="AC418" i="5"/>
  <c r="AD418" i="5"/>
  <c r="AE418" i="5"/>
  <c r="AF418" i="5"/>
  <c r="AG418" i="5"/>
  <c r="AH418" i="5"/>
  <c r="AI418" i="5"/>
  <c r="AJ418" i="5"/>
  <c r="AK418" i="5"/>
  <c r="AL418" i="5"/>
  <c r="AM418" i="5"/>
  <c r="AN418" i="5"/>
  <c r="AO418" i="5"/>
  <c r="AP418" i="5"/>
  <c r="AQ418" i="5"/>
  <c r="AR418" i="5"/>
  <c r="AS418" i="5"/>
  <c r="AT418" i="5"/>
  <c r="AU418" i="5"/>
  <c r="AV418" i="5"/>
  <c r="AW418" i="5"/>
  <c r="AX418" i="5"/>
  <c r="AY418" i="5"/>
  <c r="O419" i="5"/>
  <c r="K419" i="5" s="1"/>
  <c r="L419" i="5" s="1"/>
  <c r="P419" i="5"/>
  <c r="Q419" i="5"/>
  <c r="R419" i="5"/>
  <c r="S419" i="5"/>
  <c r="T419" i="5"/>
  <c r="U419" i="5"/>
  <c r="V419" i="5"/>
  <c r="W419" i="5"/>
  <c r="X419" i="5"/>
  <c r="Y419" i="5"/>
  <c r="Z419" i="5"/>
  <c r="AA419" i="5"/>
  <c r="AB419" i="5"/>
  <c r="AC419" i="5"/>
  <c r="AD419" i="5"/>
  <c r="AE419" i="5"/>
  <c r="AF419" i="5"/>
  <c r="AG419" i="5"/>
  <c r="AH419" i="5"/>
  <c r="AI419" i="5"/>
  <c r="AJ419" i="5"/>
  <c r="AK419" i="5"/>
  <c r="AL419" i="5"/>
  <c r="AM419" i="5"/>
  <c r="AN419" i="5"/>
  <c r="AO419" i="5"/>
  <c r="AP419" i="5"/>
  <c r="AQ419" i="5"/>
  <c r="AR419" i="5"/>
  <c r="AS419" i="5"/>
  <c r="AT419" i="5"/>
  <c r="AU419" i="5"/>
  <c r="AV419" i="5"/>
  <c r="AW419" i="5"/>
  <c r="AX419" i="5"/>
  <c r="AY419" i="5"/>
  <c r="O420" i="5"/>
  <c r="P420" i="5"/>
  <c r="Q420" i="5"/>
  <c r="R420" i="5"/>
  <c r="S420" i="5"/>
  <c r="T420" i="5"/>
  <c r="U420" i="5"/>
  <c r="V420" i="5"/>
  <c r="W420" i="5"/>
  <c r="X420" i="5"/>
  <c r="Y420" i="5"/>
  <c r="Z420" i="5"/>
  <c r="AA420" i="5"/>
  <c r="AB420" i="5"/>
  <c r="AC420" i="5"/>
  <c r="AD420" i="5"/>
  <c r="AE420" i="5"/>
  <c r="AF420" i="5"/>
  <c r="AG420" i="5"/>
  <c r="AH420" i="5"/>
  <c r="AI420" i="5"/>
  <c r="AJ420" i="5"/>
  <c r="AK420" i="5"/>
  <c r="AL420" i="5"/>
  <c r="AM420" i="5"/>
  <c r="AN420" i="5"/>
  <c r="AO420" i="5"/>
  <c r="AP420" i="5"/>
  <c r="AQ420" i="5"/>
  <c r="AR420" i="5"/>
  <c r="AS420" i="5"/>
  <c r="AT420" i="5"/>
  <c r="AU420" i="5"/>
  <c r="AV420" i="5"/>
  <c r="AW420" i="5"/>
  <c r="AX420" i="5"/>
  <c r="AY420" i="5"/>
  <c r="O421" i="5"/>
  <c r="P421" i="5"/>
  <c r="Q421" i="5"/>
  <c r="R421" i="5"/>
  <c r="S421" i="5"/>
  <c r="T421" i="5"/>
  <c r="U421" i="5"/>
  <c r="V421" i="5"/>
  <c r="W421" i="5"/>
  <c r="X421" i="5"/>
  <c r="Y421" i="5"/>
  <c r="Z421" i="5"/>
  <c r="AA421" i="5"/>
  <c r="AB421" i="5"/>
  <c r="AC421" i="5"/>
  <c r="AD421" i="5"/>
  <c r="AE421" i="5"/>
  <c r="AF421" i="5"/>
  <c r="AG421" i="5"/>
  <c r="AH421" i="5"/>
  <c r="AI421" i="5"/>
  <c r="AJ421" i="5"/>
  <c r="AK421" i="5"/>
  <c r="AL421" i="5"/>
  <c r="AM421" i="5"/>
  <c r="AN421" i="5"/>
  <c r="AO421" i="5"/>
  <c r="AP421" i="5"/>
  <c r="AQ421" i="5"/>
  <c r="AR421" i="5"/>
  <c r="AS421" i="5"/>
  <c r="AT421" i="5"/>
  <c r="AU421" i="5"/>
  <c r="AV421" i="5"/>
  <c r="AW421" i="5"/>
  <c r="AX421" i="5"/>
  <c r="AY421" i="5"/>
  <c r="O422" i="5"/>
  <c r="P422" i="5"/>
  <c r="Q422" i="5"/>
  <c r="R422" i="5"/>
  <c r="S422" i="5"/>
  <c r="T422" i="5"/>
  <c r="U422" i="5"/>
  <c r="V422" i="5"/>
  <c r="W422" i="5"/>
  <c r="X422" i="5"/>
  <c r="Y422" i="5"/>
  <c r="Z422" i="5"/>
  <c r="AA422" i="5"/>
  <c r="AB422" i="5"/>
  <c r="AC422" i="5"/>
  <c r="AD422" i="5"/>
  <c r="AE422" i="5"/>
  <c r="AF422" i="5"/>
  <c r="AG422" i="5"/>
  <c r="AH422" i="5"/>
  <c r="AI422" i="5"/>
  <c r="AJ422" i="5"/>
  <c r="AK422" i="5"/>
  <c r="AL422" i="5"/>
  <c r="AM422" i="5"/>
  <c r="AN422" i="5"/>
  <c r="AO422" i="5"/>
  <c r="AP422" i="5"/>
  <c r="AQ422" i="5"/>
  <c r="AR422" i="5"/>
  <c r="AS422" i="5"/>
  <c r="AT422" i="5"/>
  <c r="AU422" i="5"/>
  <c r="AV422" i="5"/>
  <c r="AW422" i="5"/>
  <c r="AX422" i="5"/>
  <c r="AY422" i="5"/>
  <c r="O423" i="5"/>
  <c r="P423" i="5"/>
  <c r="Q423" i="5"/>
  <c r="R423" i="5"/>
  <c r="S423" i="5"/>
  <c r="T423" i="5"/>
  <c r="U423" i="5"/>
  <c r="V423" i="5"/>
  <c r="W423" i="5"/>
  <c r="X423" i="5"/>
  <c r="Y423" i="5"/>
  <c r="Z423" i="5"/>
  <c r="AA423" i="5"/>
  <c r="AB423" i="5"/>
  <c r="AC423" i="5"/>
  <c r="AD423" i="5"/>
  <c r="AE423" i="5"/>
  <c r="AF423" i="5"/>
  <c r="AG423" i="5"/>
  <c r="AH423" i="5"/>
  <c r="AI423" i="5"/>
  <c r="AJ423" i="5"/>
  <c r="AK423" i="5"/>
  <c r="AL423" i="5"/>
  <c r="AM423" i="5"/>
  <c r="AN423" i="5"/>
  <c r="AO423" i="5"/>
  <c r="AP423" i="5"/>
  <c r="AQ423" i="5"/>
  <c r="AR423" i="5"/>
  <c r="AS423" i="5"/>
  <c r="AT423" i="5"/>
  <c r="AU423" i="5"/>
  <c r="AV423" i="5"/>
  <c r="AW423" i="5"/>
  <c r="AX423" i="5"/>
  <c r="AY423" i="5"/>
  <c r="O424" i="5"/>
  <c r="P424" i="5"/>
  <c r="Q424" i="5"/>
  <c r="R424" i="5"/>
  <c r="S424" i="5"/>
  <c r="T424" i="5"/>
  <c r="U424" i="5"/>
  <c r="V424" i="5"/>
  <c r="W424" i="5"/>
  <c r="X424" i="5"/>
  <c r="Y424" i="5"/>
  <c r="Z424" i="5"/>
  <c r="AA424" i="5"/>
  <c r="AB424" i="5"/>
  <c r="AC424" i="5"/>
  <c r="AD424" i="5"/>
  <c r="AE424" i="5"/>
  <c r="AF424" i="5"/>
  <c r="AG424" i="5"/>
  <c r="AH424" i="5"/>
  <c r="AI424" i="5"/>
  <c r="AJ424" i="5"/>
  <c r="AK424" i="5"/>
  <c r="AL424" i="5"/>
  <c r="AM424" i="5"/>
  <c r="AN424" i="5"/>
  <c r="AO424" i="5"/>
  <c r="AP424" i="5"/>
  <c r="AQ424" i="5"/>
  <c r="AR424" i="5"/>
  <c r="AS424" i="5"/>
  <c r="AT424" i="5"/>
  <c r="AU424" i="5"/>
  <c r="AV424" i="5"/>
  <c r="AW424" i="5"/>
  <c r="AX424" i="5"/>
  <c r="AY424" i="5"/>
  <c r="O425" i="5"/>
  <c r="P425" i="5"/>
  <c r="Q425" i="5"/>
  <c r="R425" i="5"/>
  <c r="S425" i="5"/>
  <c r="T425" i="5"/>
  <c r="U425" i="5"/>
  <c r="V425" i="5"/>
  <c r="W425" i="5"/>
  <c r="X425" i="5"/>
  <c r="Y425" i="5"/>
  <c r="Z425" i="5"/>
  <c r="AA425" i="5"/>
  <c r="AB425" i="5"/>
  <c r="AC425" i="5"/>
  <c r="AD425" i="5"/>
  <c r="AE425" i="5"/>
  <c r="AF425" i="5"/>
  <c r="AG425" i="5"/>
  <c r="AH425" i="5"/>
  <c r="AI425" i="5"/>
  <c r="AJ425" i="5"/>
  <c r="AK425" i="5"/>
  <c r="AL425" i="5"/>
  <c r="AM425" i="5"/>
  <c r="AN425" i="5"/>
  <c r="AO425" i="5"/>
  <c r="AP425" i="5"/>
  <c r="AQ425" i="5"/>
  <c r="AR425" i="5"/>
  <c r="AS425" i="5"/>
  <c r="AT425" i="5"/>
  <c r="AU425" i="5"/>
  <c r="AV425" i="5"/>
  <c r="AW425" i="5"/>
  <c r="AX425" i="5"/>
  <c r="AY425" i="5"/>
  <c r="O426" i="5"/>
  <c r="P426" i="5"/>
  <c r="Q426" i="5"/>
  <c r="R426" i="5"/>
  <c r="S426" i="5"/>
  <c r="T426" i="5"/>
  <c r="U426" i="5"/>
  <c r="V426" i="5"/>
  <c r="W426" i="5"/>
  <c r="X426" i="5"/>
  <c r="Y426" i="5"/>
  <c r="Z426" i="5"/>
  <c r="AA426" i="5"/>
  <c r="AB426" i="5"/>
  <c r="AC426" i="5"/>
  <c r="AD426" i="5"/>
  <c r="AE426" i="5"/>
  <c r="AF426" i="5"/>
  <c r="AG426" i="5"/>
  <c r="AH426" i="5"/>
  <c r="AI426" i="5"/>
  <c r="AJ426" i="5"/>
  <c r="AK426" i="5"/>
  <c r="AL426" i="5"/>
  <c r="AM426" i="5"/>
  <c r="AN426" i="5"/>
  <c r="AO426" i="5"/>
  <c r="AP426" i="5"/>
  <c r="AQ426" i="5"/>
  <c r="AR426" i="5"/>
  <c r="AS426" i="5"/>
  <c r="AT426" i="5"/>
  <c r="AU426" i="5"/>
  <c r="AV426" i="5"/>
  <c r="AW426" i="5"/>
  <c r="AX426" i="5"/>
  <c r="AY426" i="5"/>
  <c r="O427" i="5"/>
  <c r="P427" i="5"/>
  <c r="Q427" i="5"/>
  <c r="R427" i="5"/>
  <c r="S427" i="5"/>
  <c r="T427" i="5"/>
  <c r="U427" i="5"/>
  <c r="V427" i="5"/>
  <c r="W427" i="5"/>
  <c r="X427" i="5"/>
  <c r="Y427" i="5"/>
  <c r="Z427" i="5"/>
  <c r="AA427" i="5"/>
  <c r="AB427" i="5"/>
  <c r="AC427" i="5"/>
  <c r="AD427" i="5"/>
  <c r="AE427" i="5"/>
  <c r="AF427" i="5"/>
  <c r="AG427" i="5"/>
  <c r="AH427" i="5"/>
  <c r="AI427" i="5"/>
  <c r="AJ427" i="5"/>
  <c r="AK427" i="5"/>
  <c r="AL427" i="5"/>
  <c r="AM427" i="5"/>
  <c r="AN427" i="5"/>
  <c r="AO427" i="5"/>
  <c r="AP427" i="5"/>
  <c r="AQ427" i="5"/>
  <c r="AR427" i="5"/>
  <c r="AS427" i="5"/>
  <c r="AT427" i="5"/>
  <c r="AU427" i="5"/>
  <c r="AV427" i="5"/>
  <c r="AW427" i="5"/>
  <c r="AX427" i="5"/>
  <c r="AY427" i="5"/>
  <c r="O428" i="5"/>
  <c r="P428" i="5"/>
  <c r="Q428" i="5"/>
  <c r="R428" i="5"/>
  <c r="S428" i="5"/>
  <c r="T428" i="5"/>
  <c r="U428" i="5"/>
  <c r="V428" i="5"/>
  <c r="W428" i="5"/>
  <c r="X428" i="5"/>
  <c r="Y428" i="5"/>
  <c r="Z428" i="5"/>
  <c r="AA428" i="5"/>
  <c r="AB428" i="5"/>
  <c r="AC428" i="5"/>
  <c r="AD428" i="5"/>
  <c r="AE428" i="5"/>
  <c r="AF428" i="5"/>
  <c r="AG428" i="5"/>
  <c r="AH428" i="5"/>
  <c r="AI428" i="5"/>
  <c r="AJ428" i="5"/>
  <c r="AK428" i="5"/>
  <c r="AL428" i="5"/>
  <c r="AM428" i="5"/>
  <c r="AN428" i="5"/>
  <c r="AO428" i="5"/>
  <c r="AP428" i="5"/>
  <c r="AQ428" i="5"/>
  <c r="AR428" i="5"/>
  <c r="AS428" i="5"/>
  <c r="AT428" i="5"/>
  <c r="AU428" i="5"/>
  <c r="AV428" i="5"/>
  <c r="AW428" i="5"/>
  <c r="AX428" i="5"/>
  <c r="AY428" i="5"/>
  <c r="O429" i="5"/>
  <c r="B429" i="5" s="1"/>
  <c r="P429" i="5"/>
  <c r="Q429" i="5"/>
  <c r="R429" i="5"/>
  <c r="S429" i="5"/>
  <c r="T429" i="5"/>
  <c r="U429" i="5"/>
  <c r="V429" i="5"/>
  <c r="W429" i="5"/>
  <c r="X429" i="5"/>
  <c r="Y429" i="5"/>
  <c r="Z429" i="5"/>
  <c r="AA429" i="5"/>
  <c r="AB429" i="5"/>
  <c r="AC429" i="5"/>
  <c r="AD429" i="5"/>
  <c r="AE429" i="5"/>
  <c r="AF429" i="5"/>
  <c r="AG429" i="5"/>
  <c r="AH429" i="5"/>
  <c r="AI429" i="5"/>
  <c r="AJ429" i="5"/>
  <c r="AK429" i="5"/>
  <c r="AL429" i="5"/>
  <c r="AM429" i="5"/>
  <c r="AN429" i="5"/>
  <c r="AO429" i="5"/>
  <c r="AP429" i="5"/>
  <c r="AQ429" i="5"/>
  <c r="AR429" i="5"/>
  <c r="AS429" i="5"/>
  <c r="AT429" i="5"/>
  <c r="AU429" i="5"/>
  <c r="AV429" i="5"/>
  <c r="AW429" i="5"/>
  <c r="AX429" i="5"/>
  <c r="AY429" i="5"/>
  <c r="O430" i="5"/>
  <c r="P430" i="5"/>
  <c r="Q430" i="5"/>
  <c r="R430" i="5"/>
  <c r="S430" i="5"/>
  <c r="T430" i="5"/>
  <c r="U430" i="5"/>
  <c r="V430" i="5"/>
  <c r="W430" i="5"/>
  <c r="X430" i="5"/>
  <c r="Y430" i="5"/>
  <c r="Z430" i="5"/>
  <c r="AA430" i="5"/>
  <c r="AB430" i="5"/>
  <c r="AC430" i="5"/>
  <c r="AD430" i="5"/>
  <c r="AE430" i="5"/>
  <c r="AF430" i="5"/>
  <c r="AG430" i="5"/>
  <c r="AH430" i="5"/>
  <c r="AI430" i="5"/>
  <c r="AJ430" i="5"/>
  <c r="AK430" i="5"/>
  <c r="AL430" i="5"/>
  <c r="AM430" i="5"/>
  <c r="AN430" i="5"/>
  <c r="AO430" i="5"/>
  <c r="AP430" i="5"/>
  <c r="AQ430" i="5"/>
  <c r="AR430" i="5"/>
  <c r="AS430" i="5"/>
  <c r="AT430" i="5"/>
  <c r="AU430" i="5"/>
  <c r="AV430" i="5"/>
  <c r="AW430" i="5"/>
  <c r="AX430" i="5"/>
  <c r="AY430" i="5"/>
  <c r="O431" i="5"/>
  <c r="P431" i="5"/>
  <c r="Q431" i="5"/>
  <c r="R431" i="5"/>
  <c r="S431" i="5"/>
  <c r="T431" i="5"/>
  <c r="U431" i="5"/>
  <c r="V431" i="5"/>
  <c r="W431" i="5"/>
  <c r="X431" i="5"/>
  <c r="Y431" i="5"/>
  <c r="Z431" i="5"/>
  <c r="AA431" i="5"/>
  <c r="AB431" i="5"/>
  <c r="AC431" i="5"/>
  <c r="AD431" i="5"/>
  <c r="AE431" i="5"/>
  <c r="AF431" i="5"/>
  <c r="AG431" i="5"/>
  <c r="AH431" i="5"/>
  <c r="AI431" i="5"/>
  <c r="AJ431" i="5"/>
  <c r="AK431" i="5"/>
  <c r="AL431" i="5"/>
  <c r="AM431" i="5"/>
  <c r="AN431" i="5"/>
  <c r="AO431" i="5"/>
  <c r="AP431" i="5"/>
  <c r="AQ431" i="5"/>
  <c r="AR431" i="5"/>
  <c r="AS431" i="5"/>
  <c r="AT431" i="5"/>
  <c r="AU431" i="5"/>
  <c r="AV431" i="5"/>
  <c r="AW431" i="5"/>
  <c r="AX431" i="5"/>
  <c r="AY431" i="5"/>
  <c r="O432" i="5"/>
  <c r="P432" i="5"/>
  <c r="Q432" i="5"/>
  <c r="R432" i="5"/>
  <c r="S432" i="5"/>
  <c r="T432" i="5"/>
  <c r="U432" i="5"/>
  <c r="V432" i="5"/>
  <c r="W432" i="5"/>
  <c r="X432" i="5"/>
  <c r="Y432" i="5"/>
  <c r="Z432" i="5"/>
  <c r="AA432" i="5"/>
  <c r="AB432" i="5"/>
  <c r="AC432" i="5"/>
  <c r="AD432" i="5"/>
  <c r="AE432" i="5"/>
  <c r="AF432" i="5"/>
  <c r="AG432" i="5"/>
  <c r="AH432" i="5"/>
  <c r="AI432" i="5"/>
  <c r="AJ432" i="5"/>
  <c r="AK432" i="5"/>
  <c r="AL432" i="5"/>
  <c r="AM432" i="5"/>
  <c r="AN432" i="5"/>
  <c r="AO432" i="5"/>
  <c r="AP432" i="5"/>
  <c r="AQ432" i="5"/>
  <c r="AR432" i="5"/>
  <c r="AS432" i="5"/>
  <c r="AT432" i="5"/>
  <c r="AU432" i="5"/>
  <c r="AV432" i="5"/>
  <c r="AW432" i="5"/>
  <c r="AX432" i="5"/>
  <c r="AY432" i="5"/>
  <c r="O433" i="5"/>
  <c r="C433" i="5" s="1"/>
  <c r="P433" i="5"/>
  <c r="Q433" i="5"/>
  <c r="R433" i="5"/>
  <c r="S433" i="5"/>
  <c r="T433" i="5"/>
  <c r="U433" i="5"/>
  <c r="V433" i="5"/>
  <c r="W433" i="5"/>
  <c r="X433" i="5"/>
  <c r="Y433" i="5"/>
  <c r="Z433" i="5"/>
  <c r="AA433" i="5"/>
  <c r="AB433" i="5"/>
  <c r="AC433" i="5"/>
  <c r="AD433" i="5"/>
  <c r="AE433" i="5"/>
  <c r="AF433" i="5"/>
  <c r="AG433" i="5"/>
  <c r="AH433" i="5"/>
  <c r="AI433" i="5"/>
  <c r="AJ433" i="5"/>
  <c r="AK433" i="5"/>
  <c r="AL433" i="5"/>
  <c r="AM433" i="5"/>
  <c r="AN433" i="5"/>
  <c r="AO433" i="5"/>
  <c r="AP433" i="5"/>
  <c r="AQ433" i="5"/>
  <c r="AR433" i="5"/>
  <c r="AS433" i="5"/>
  <c r="AT433" i="5"/>
  <c r="AU433" i="5"/>
  <c r="AV433" i="5"/>
  <c r="AW433" i="5"/>
  <c r="AX433" i="5"/>
  <c r="AY433" i="5"/>
  <c r="O434" i="5"/>
  <c r="P434" i="5"/>
  <c r="Q434" i="5"/>
  <c r="R434" i="5"/>
  <c r="S434" i="5"/>
  <c r="T434" i="5"/>
  <c r="U434" i="5"/>
  <c r="V434" i="5"/>
  <c r="W434" i="5"/>
  <c r="X434" i="5"/>
  <c r="Y434" i="5"/>
  <c r="Z434" i="5"/>
  <c r="AA434" i="5"/>
  <c r="AB434" i="5"/>
  <c r="AC434" i="5"/>
  <c r="AD434" i="5"/>
  <c r="AE434" i="5"/>
  <c r="AF434" i="5"/>
  <c r="AG434" i="5"/>
  <c r="AH434" i="5"/>
  <c r="AI434" i="5"/>
  <c r="AJ434" i="5"/>
  <c r="AK434" i="5"/>
  <c r="AL434" i="5"/>
  <c r="AM434" i="5"/>
  <c r="AN434" i="5"/>
  <c r="AO434" i="5"/>
  <c r="AP434" i="5"/>
  <c r="AQ434" i="5"/>
  <c r="AR434" i="5"/>
  <c r="AS434" i="5"/>
  <c r="AT434" i="5"/>
  <c r="AU434" i="5"/>
  <c r="AV434" i="5"/>
  <c r="AW434" i="5"/>
  <c r="AX434" i="5"/>
  <c r="AY434" i="5"/>
  <c r="O435" i="5"/>
  <c r="P435" i="5"/>
  <c r="Q435" i="5"/>
  <c r="R435" i="5"/>
  <c r="S435" i="5"/>
  <c r="T435" i="5"/>
  <c r="U435" i="5"/>
  <c r="V435" i="5"/>
  <c r="W435" i="5"/>
  <c r="X435" i="5"/>
  <c r="Y435" i="5"/>
  <c r="Z435" i="5"/>
  <c r="AA435" i="5"/>
  <c r="AB435" i="5"/>
  <c r="AC435" i="5"/>
  <c r="AD435" i="5"/>
  <c r="AE435" i="5"/>
  <c r="AF435" i="5"/>
  <c r="AG435" i="5"/>
  <c r="AH435" i="5"/>
  <c r="AI435" i="5"/>
  <c r="AJ435" i="5"/>
  <c r="AK435" i="5"/>
  <c r="AL435" i="5"/>
  <c r="AM435" i="5"/>
  <c r="AN435" i="5"/>
  <c r="AO435" i="5"/>
  <c r="AP435" i="5"/>
  <c r="AQ435" i="5"/>
  <c r="AR435" i="5"/>
  <c r="AS435" i="5"/>
  <c r="AT435" i="5"/>
  <c r="AU435" i="5"/>
  <c r="AV435" i="5"/>
  <c r="AW435" i="5"/>
  <c r="AX435" i="5"/>
  <c r="AY435" i="5"/>
  <c r="O436" i="5"/>
  <c r="P436" i="5"/>
  <c r="Q436" i="5"/>
  <c r="R436" i="5"/>
  <c r="S436" i="5"/>
  <c r="T436" i="5"/>
  <c r="U436" i="5"/>
  <c r="V436" i="5"/>
  <c r="W436" i="5"/>
  <c r="X436" i="5"/>
  <c r="Y436" i="5"/>
  <c r="Z436" i="5"/>
  <c r="AA436" i="5"/>
  <c r="AB436" i="5"/>
  <c r="AC436" i="5"/>
  <c r="AD436" i="5"/>
  <c r="AE436" i="5"/>
  <c r="AF436" i="5"/>
  <c r="AG436" i="5"/>
  <c r="AH436" i="5"/>
  <c r="AI436" i="5"/>
  <c r="AJ436" i="5"/>
  <c r="AK436" i="5"/>
  <c r="AL436" i="5"/>
  <c r="AM436" i="5"/>
  <c r="AN436" i="5"/>
  <c r="AO436" i="5"/>
  <c r="AP436" i="5"/>
  <c r="AQ436" i="5"/>
  <c r="AR436" i="5"/>
  <c r="AS436" i="5"/>
  <c r="AT436" i="5"/>
  <c r="AU436" i="5"/>
  <c r="AV436" i="5"/>
  <c r="AW436" i="5"/>
  <c r="AX436" i="5"/>
  <c r="AY436" i="5"/>
  <c r="O437" i="5"/>
  <c r="P437" i="5"/>
  <c r="Q437" i="5"/>
  <c r="R437" i="5"/>
  <c r="S437" i="5"/>
  <c r="T437" i="5"/>
  <c r="U437" i="5"/>
  <c r="V437" i="5"/>
  <c r="W437" i="5"/>
  <c r="X437" i="5"/>
  <c r="Y437" i="5"/>
  <c r="Z437" i="5"/>
  <c r="AA437" i="5"/>
  <c r="AB437" i="5"/>
  <c r="AC437" i="5"/>
  <c r="AD437" i="5"/>
  <c r="AE437" i="5"/>
  <c r="AF437" i="5"/>
  <c r="AG437" i="5"/>
  <c r="AH437" i="5"/>
  <c r="AI437" i="5"/>
  <c r="AJ437" i="5"/>
  <c r="AK437" i="5"/>
  <c r="AL437" i="5"/>
  <c r="AM437" i="5"/>
  <c r="AN437" i="5"/>
  <c r="AO437" i="5"/>
  <c r="AP437" i="5"/>
  <c r="AQ437" i="5"/>
  <c r="AR437" i="5"/>
  <c r="AS437" i="5"/>
  <c r="AT437" i="5"/>
  <c r="AU437" i="5"/>
  <c r="AV437" i="5"/>
  <c r="AW437" i="5"/>
  <c r="AX437" i="5"/>
  <c r="AY437" i="5"/>
  <c r="O438" i="5"/>
  <c r="P438" i="5"/>
  <c r="Q438" i="5"/>
  <c r="R438" i="5"/>
  <c r="S438" i="5"/>
  <c r="T438" i="5"/>
  <c r="U438" i="5"/>
  <c r="V438" i="5"/>
  <c r="W438" i="5"/>
  <c r="X438" i="5"/>
  <c r="Y438" i="5"/>
  <c r="Z438" i="5"/>
  <c r="AA438" i="5"/>
  <c r="AB438" i="5"/>
  <c r="AC438" i="5"/>
  <c r="AD438" i="5"/>
  <c r="AE438" i="5"/>
  <c r="AF438" i="5"/>
  <c r="AG438" i="5"/>
  <c r="AH438" i="5"/>
  <c r="AI438" i="5"/>
  <c r="AJ438" i="5"/>
  <c r="AK438" i="5"/>
  <c r="AL438" i="5"/>
  <c r="AM438" i="5"/>
  <c r="AN438" i="5"/>
  <c r="AO438" i="5"/>
  <c r="AP438" i="5"/>
  <c r="AQ438" i="5"/>
  <c r="AR438" i="5"/>
  <c r="AS438" i="5"/>
  <c r="AT438" i="5"/>
  <c r="AU438" i="5"/>
  <c r="AV438" i="5"/>
  <c r="AW438" i="5"/>
  <c r="AX438" i="5"/>
  <c r="AY438" i="5"/>
  <c r="O439" i="5"/>
  <c r="B439" i="5" s="1"/>
  <c r="P439" i="5"/>
  <c r="Q439" i="5"/>
  <c r="R439" i="5"/>
  <c r="S439" i="5"/>
  <c r="T439" i="5"/>
  <c r="U439" i="5"/>
  <c r="V439" i="5"/>
  <c r="W439" i="5"/>
  <c r="X439" i="5"/>
  <c r="Y439" i="5"/>
  <c r="Z439" i="5"/>
  <c r="AA439" i="5"/>
  <c r="AB439" i="5"/>
  <c r="AC439" i="5"/>
  <c r="AD439" i="5"/>
  <c r="AE439" i="5"/>
  <c r="AF439" i="5"/>
  <c r="AG439" i="5"/>
  <c r="AH439" i="5"/>
  <c r="AI439" i="5"/>
  <c r="AJ439" i="5"/>
  <c r="AK439" i="5"/>
  <c r="AL439" i="5"/>
  <c r="AM439" i="5"/>
  <c r="AN439" i="5"/>
  <c r="AO439" i="5"/>
  <c r="AP439" i="5"/>
  <c r="AQ439" i="5"/>
  <c r="AR439" i="5"/>
  <c r="AS439" i="5"/>
  <c r="AT439" i="5"/>
  <c r="AU439" i="5"/>
  <c r="AV439" i="5"/>
  <c r="AW439" i="5"/>
  <c r="AX439" i="5"/>
  <c r="AY439" i="5"/>
  <c r="O440" i="5"/>
  <c r="K440" i="5" s="1"/>
  <c r="L440" i="5" s="1"/>
  <c r="P440" i="5"/>
  <c r="Q440" i="5"/>
  <c r="R440" i="5"/>
  <c r="S440" i="5"/>
  <c r="T440" i="5"/>
  <c r="U440" i="5"/>
  <c r="V440" i="5"/>
  <c r="W440" i="5"/>
  <c r="X440" i="5"/>
  <c r="Y440" i="5"/>
  <c r="Z440" i="5"/>
  <c r="AA440" i="5"/>
  <c r="AB440" i="5"/>
  <c r="AC440" i="5"/>
  <c r="AD440" i="5"/>
  <c r="AE440" i="5"/>
  <c r="AF440" i="5"/>
  <c r="AG440" i="5"/>
  <c r="AH440" i="5"/>
  <c r="AI440" i="5"/>
  <c r="AJ440" i="5"/>
  <c r="AK440" i="5"/>
  <c r="AL440" i="5"/>
  <c r="AM440" i="5"/>
  <c r="AN440" i="5"/>
  <c r="AO440" i="5"/>
  <c r="AP440" i="5"/>
  <c r="AQ440" i="5"/>
  <c r="AR440" i="5"/>
  <c r="AS440" i="5"/>
  <c r="AT440" i="5"/>
  <c r="AU440" i="5"/>
  <c r="AV440" i="5"/>
  <c r="AW440" i="5"/>
  <c r="AX440" i="5"/>
  <c r="AY440" i="5"/>
  <c r="O441" i="5"/>
  <c r="P441" i="5"/>
  <c r="Q441" i="5"/>
  <c r="R441" i="5"/>
  <c r="S441" i="5"/>
  <c r="T441" i="5"/>
  <c r="U441" i="5"/>
  <c r="V441" i="5"/>
  <c r="W441" i="5"/>
  <c r="X441" i="5"/>
  <c r="Y441" i="5"/>
  <c r="Z441" i="5"/>
  <c r="AA441" i="5"/>
  <c r="AB441" i="5"/>
  <c r="AC441" i="5"/>
  <c r="AD441" i="5"/>
  <c r="AE441" i="5"/>
  <c r="AF441" i="5"/>
  <c r="AG441" i="5"/>
  <c r="AH441" i="5"/>
  <c r="AI441" i="5"/>
  <c r="AJ441" i="5"/>
  <c r="AK441" i="5"/>
  <c r="AL441" i="5"/>
  <c r="AM441" i="5"/>
  <c r="AN441" i="5"/>
  <c r="AO441" i="5"/>
  <c r="AP441" i="5"/>
  <c r="AQ441" i="5"/>
  <c r="AR441" i="5"/>
  <c r="AS441" i="5"/>
  <c r="AT441" i="5"/>
  <c r="AU441" i="5"/>
  <c r="AV441" i="5"/>
  <c r="AW441" i="5"/>
  <c r="AX441" i="5"/>
  <c r="AY441" i="5"/>
  <c r="O442" i="5"/>
  <c r="P442" i="5"/>
  <c r="Q442" i="5"/>
  <c r="R442" i="5"/>
  <c r="S442" i="5"/>
  <c r="T442" i="5"/>
  <c r="U442" i="5"/>
  <c r="V442" i="5"/>
  <c r="W442" i="5"/>
  <c r="X442" i="5"/>
  <c r="Y442" i="5"/>
  <c r="Z442" i="5"/>
  <c r="AA442" i="5"/>
  <c r="AB442" i="5"/>
  <c r="AC442" i="5"/>
  <c r="AD442" i="5"/>
  <c r="AE442" i="5"/>
  <c r="AF442" i="5"/>
  <c r="AG442" i="5"/>
  <c r="AH442" i="5"/>
  <c r="AI442" i="5"/>
  <c r="AJ442" i="5"/>
  <c r="AK442" i="5"/>
  <c r="AL442" i="5"/>
  <c r="AM442" i="5"/>
  <c r="AN442" i="5"/>
  <c r="AO442" i="5"/>
  <c r="AP442" i="5"/>
  <c r="AQ442" i="5"/>
  <c r="AR442" i="5"/>
  <c r="AS442" i="5"/>
  <c r="AT442" i="5"/>
  <c r="AU442" i="5"/>
  <c r="AV442" i="5"/>
  <c r="AW442" i="5"/>
  <c r="AX442" i="5"/>
  <c r="AY442" i="5"/>
  <c r="O443" i="5"/>
  <c r="B443" i="5" s="1"/>
  <c r="P443" i="5"/>
  <c r="Q443" i="5"/>
  <c r="R443" i="5"/>
  <c r="S443" i="5"/>
  <c r="T443" i="5"/>
  <c r="U443" i="5"/>
  <c r="V443" i="5"/>
  <c r="W443" i="5"/>
  <c r="X443" i="5"/>
  <c r="Y443" i="5"/>
  <c r="Z443" i="5"/>
  <c r="AA443" i="5"/>
  <c r="AB443" i="5"/>
  <c r="AC443" i="5"/>
  <c r="AD443" i="5"/>
  <c r="AE443" i="5"/>
  <c r="AF443" i="5"/>
  <c r="AG443" i="5"/>
  <c r="AH443" i="5"/>
  <c r="AI443" i="5"/>
  <c r="AJ443" i="5"/>
  <c r="AK443" i="5"/>
  <c r="AL443" i="5"/>
  <c r="AM443" i="5"/>
  <c r="AN443" i="5"/>
  <c r="AO443" i="5"/>
  <c r="AP443" i="5"/>
  <c r="AQ443" i="5"/>
  <c r="AR443" i="5"/>
  <c r="AS443" i="5"/>
  <c r="AT443" i="5"/>
  <c r="AU443" i="5"/>
  <c r="AV443" i="5"/>
  <c r="AW443" i="5"/>
  <c r="AX443" i="5"/>
  <c r="AY443" i="5"/>
  <c r="O444" i="5"/>
  <c r="P444" i="5"/>
  <c r="Q444" i="5"/>
  <c r="C444" i="5" s="1"/>
  <c r="R444" i="5"/>
  <c r="S444" i="5"/>
  <c r="T444" i="5"/>
  <c r="U444" i="5"/>
  <c r="V444" i="5"/>
  <c r="W444" i="5"/>
  <c r="X444" i="5"/>
  <c r="Y444" i="5"/>
  <c r="Z444" i="5"/>
  <c r="AA444" i="5"/>
  <c r="AB444" i="5"/>
  <c r="AC444" i="5"/>
  <c r="AD444" i="5"/>
  <c r="AE444" i="5"/>
  <c r="AF444" i="5"/>
  <c r="AG444" i="5"/>
  <c r="AH444" i="5"/>
  <c r="AI444" i="5"/>
  <c r="AJ444" i="5"/>
  <c r="AK444" i="5"/>
  <c r="AL444" i="5"/>
  <c r="AM444" i="5"/>
  <c r="AN444" i="5"/>
  <c r="AO444" i="5"/>
  <c r="AP444" i="5"/>
  <c r="AQ444" i="5"/>
  <c r="AR444" i="5"/>
  <c r="AS444" i="5"/>
  <c r="AT444" i="5"/>
  <c r="AU444" i="5"/>
  <c r="AV444" i="5"/>
  <c r="AW444" i="5"/>
  <c r="AX444" i="5"/>
  <c r="AY444" i="5"/>
  <c r="O445" i="5"/>
  <c r="P445" i="5"/>
  <c r="Q445" i="5"/>
  <c r="R445" i="5"/>
  <c r="S445" i="5"/>
  <c r="T445" i="5"/>
  <c r="U445" i="5"/>
  <c r="V445" i="5"/>
  <c r="W445" i="5"/>
  <c r="X445" i="5"/>
  <c r="Y445" i="5"/>
  <c r="Z445" i="5"/>
  <c r="AA445" i="5"/>
  <c r="AB445" i="5"/>
  <c r="AC445" i="5"/>
  <c r="AD445" i="5"/>
  <c r="AE445" i="5"/>
  <c r="AF445" i="5"/>
  <c r="AG445" i="5"/>
  <c r="AH445" i="5"/>
  <c r="AI445" i="5"/>
  <c r="AJ445" i="5"/>
  <c r="AK445" i="5"/>
  <c r="AL445" i="5"/>
  <c r="AM445" i="5"/>
  <c r="AN445" i="5"/>
  <c r="AO445" i="5"/>
  <c r="AP445" i="5"/>
  <c r="AQ445" i="5"/>
  <c r="AR445" i="5"/>
  <c r="AS445" i="5"/>
  <c r="AT445" i="5"/>
  <c r="AU445" i="5"/>
  <c r="AV445" i="5"/>
  <c r="AW445" i="5"/>
  <c r="AX445" i="5"/>
  <c r="AY445" i="5"/>
  <c r="O446" i="5"/>
  <c r="P446" i="5"/>
  <c r="Q446" i="5"/>
  <c r="R446" i="5"/>
  <c r="S446" i="5"/>
  <c r="T446" i="5"/>
  <c r="U446" i="5"/>
  <c r="V446" i="5"/>
  <c r="W446" i="5"/>
  <c r="X446" i="5"/>
  <c r="Y446" i="5"/>
  <c r="Z446" i="5"/>
  <c r="AA446" i="5"/>
  <c r="AB446" i="5"/>
  <c r="AC446" i="5"/>
  <c r="AD446" i="5"/>
  <c r="AE446" i="5"/>
  <c r="AF446" i="5"/>
  <c r="AG446" i="5"/>
  <c r="AH446" i="5"/>
  <c r="AI446" i="5"/>
  <c r="AJ446" i="5"/>
  <c r="AK446" i="5"/>
  <c r="AL446" i="5"/>
  <c r="AM446" i="5"/>
  <c r="AN446" i="5"/>
  <c r="AO446" i="5"/>
  <c r="AP446" i="5"/>
  <c r="AQ446" i="5"/>
  <c r="AR446" i="5"/>
  <c r="AS446" i="5"/>
  <c r="AT446" i="5"/>
  <c r="AU446" i="5"/>
  <c r="AV446" i="5"/>
  <c r="AW446" i="5"/>
  <c r="AX446" i="5"/>
  <c r="AY446" i="5"/>
  <c r="O447" i="5"/>
  <c r="C447" i="5" s="1"/>
  <c r="P447" i="5"/>
  <c r="Q447" i="5"/>
  <c r="R447" i="5"/>
  <c r="S447" i="5"/>
  <c r="T447" i="5"/>
  <c r="U447" i="5"/>
  <c r="V447" i="5"/>
  <c r="W447" i="5"/>
  <c r="X447" i="5"/>
  <c r="Y447" i="5"/>
  <c r="Z447" i="5"/>
  <c r="AA447" i="5"/>
  <c r="AB447" i="5"/>
  <c r="AC447" i="5"/>
  <c r="AD447" i="5"/>
  <c r="AE447" i="5"/>
  <c r="AF447" i="5"/>
  <c r="AG447" i="5"/>
  <c r="AH447" i="5"/>
  <c r="AI447" i="5"/>
  <c r="AJ447" i="5"/>
  <c r="AK447" i="5"/>
  <c r="AL447" i="5"/>
  <c r="AM447" i="5"/>
  <c r="AN447" i="5"/>
  <c r="AO447" i="5"/>
  <c r="AP447" i="5"/>
  <c r="AQ447" i="5"/>
  <c r="AR447" i="5"/>
  <c r="AS447" i="5"/>
  <c r="AT447" i="5"/>
  <c r="AU447" i="5"/>
  <c r="AV447" i="5"/>
  <c r="AW447" i="5"/>
  <c r="AX447" i="5"/>
  <c r="AY447" i="5"/>
  <c r="O448" i="5"/>
  <c r="P448" i="5"/>
  <c r="Q448" i="5"/>
  <c r="R448" i="5"/>
  <c r="S448" i="5"/>
  <c r="T448" i="5"/>
  <c r="U448" i="5"/>
  <c r="V448" i="5"/>
  <c r="W448" i="5"/>
  <c r="X448" i="5"/>
  <c r="Y448" i="5"/>
  <c r="Z448" i="5"/>
  <c r="AA448" i="5"/>
  <c r="AB448" i="5"/>
  <c r="AC448" i="5"/>
  <c r="AD448" i="5"/>
  <c r="AE448" i="5"/>
  <c r="AF448" i="5"/>
  <c r="AG448" i="5"/>
  <c r="AH448" i="5"/>
  <c r="AI448" i="5"/>
  <c r="AJ448" i="5"/>
  <c r="AK448" i="5"/>
  <c r="AL448" i="5"/>
  <c r="AM448" i="5"/>
  <c r="AN448" i="5"/>
  <c r="AO448" i="5"/>
  <c r="AP448" i="5"/>
  <c r="AQ448" i="5"/>
  <c r="AR448" i="5"/>
  <c r="AS448" i="5"/>
  <c r="AT448" i="5"/>
  <c r="AU448" i="5"/>
  <c r="AV448" i="5"/>
  <c r="AW448" i="5"/>
  <c r="AX448" i="5"/>
  <c r="AY448" i="5"/>
  <c r="O449" i="5"/>
  <c r="P449" i="5"/>
  <c r="Q449" i="5"/>
  <c r="R449" i="5"/>
  <c r="S449" i="5"/>
  <c r="T449" i="5"/>
  <c r="U449" i="5"/>
  <c r="V449" i="5"/>
  <c r="W449" i="5"/>
  <c r="X449" i="5"/>
  <c r="Y449" i="5"/>
  <c r="Z449" i="5"/>
  <c r="AA449" i="5"/>
  <c r="AB449" i="5"/>
  <c r="AC449" i="5"/>
  <c r="AD449" i="5"/>
  <c r="AE449" i="5"/>
  <c r="AF449" i="5"/>
  <c r="AG449" i="5"/>
  <c r="AH449" i="5"/>
  <c r="AI449" i="5"/>
  <c r="AJ449" i="5"/>
  <c r="AK449" i="5"/>
  <c r="AL449" i="5"/>
  <c r="AM449" i="5"/>
  <c r="AN449" i="5"/>
  <c r="AO449" i="5"/>
  <c r="AP449" i="5"/>
  <c r="AQ449" i="5"/>
  <c r="AR449" i="5"/>
  <c r="AS449" i="5"/>
  <c r="AT449" i="5"/>
  <c r="AU449" i="5"/>
  <c r="AV449" i="5"/>
  <c r="AW449" i="5"/>
  <c r="AX449" i="5"/>
  <c r="AY449" i="5"/>
  <c r="O450" i="5"/>
  <c r="P450" i="5"/>
  <c r="Q450" i="5"/>
  <c r="R450" i="5"/>
  <c r="S450" i="5"/>
  <c r="T450" i="5"/>
  <c r="U450" i="5"/>
  <c r="V450" i="5"/>
  <c r="W450" i="5"/>
  <c r="X450" i="5"/>
  <c r="Y450" i="5"/>
  <c r="Z450" i="5"/>
  <c r="AA450" i="5"/>
  <c r="AB450" i="5"/>
  <c r="AC450" i="5"/>
  <c r="AD450" i="5"/>
  <c r="AE450" i="5"/>
  <c r="AF450" i="5"/>
  <c r="AG450" i="5"/>
  <c r="AH450" i="5"/>
  <c r="AI450" i="5"/>
  <c r="AJ450" i="5"/>
  <c r="AK450" i="5"/>
  <c r="AL450" i="5"/>
  <c r="AM450" i="5"/>
  <c r="AN450" i="5"/>
  <c r="AO450" i="5"/>
  <c r="AP450" i="5"/>
  <c r="AQ450" i="5"/>
  <c r="AR450" i="5"/>
  <c r="AS450" i="5"/>
  <c r="AT450" i="5"/>
  <c r="AU450" i="5"/>
  <c r="AV450" i="5"/>
  <c r="AW450" i="5"/>
  <c r="AX450" i="5"/>
  <c r="AY450" i="5"/>
  <c r="O451" i="5"/>
  <c r="P451" i="5"/>
  <c r="Q451" i="5"/>
  <c r="R451" i="5"/>
  <c r="S451" i="5"/>
  <c r="T451" i="5"/>
  <c r="U451" i="5"/>
  <c r="V451" i="5"/>
  <c r="W451" i="5"/>
  <c r="X451" i="5"/>
  <c r="Y451" i="5"/>
  <c r="Z451" i="5"/>
  <c r="AA451" i="5"/>
  <c r="AB451" i="5"/>
  <c r="AC451" i="5"/>
  <c r="AD451" i="5"/>
  <c r="AE451" i="5"/>
  <c r="AF451" i="5"/>
  <c r="AG451" i="5"/>
  <c r="AH451" i="5"/>
  <c r="AI451" i="5"/>
  <c r="AJ451" i="5"/>
  <c r="AK451" i="5"/>
  <c r="AL451" i="5"/>
  <c r="AM451" i="5"/>
  <c r="AN451" i="5"/>
  <c r="AO451" i="5"/>
  <c r="AP451" i="5"/>
  <c r="AQ451" i="5"/>
  <c r="AR451" i="5"/>
  <c r="AS451" i="5"/>
  <c r="AT451" i="5"/>
  <c r="AU451" i="5"/>
  <c r="AV451" i="5"/>
  <c r="AW451" i="5"/>
  <c r="AX451" i="5"/>
  <c r="AY451" i="5"/>
  <c r="O452" i="5"/>
  <c r="P452" i="5"/>
  <c r="Q452" i="5"/>
  <c r="R452" i="5"/>
  <c r="S452" i="5"/>
  <c r="T452" i="5"/>
  <c r="U452" i="5"/>
  <c r="V452" i="5"/>
  <c r="W452" i="5"/>
  <c r="X452" i="5"/>
  <c r="Y452" i="5"/>
  <c r="Z452" i="5"/>
  <c r="AA452" i="5"/>
  <c r="AB452" i="5"/>
  <c r="AC452" i="5"/>
  <c r="AD452" i="5"/>
  <c r="AE452" i="5"/>
  <c r="AF452" i="5"/>
  <c r="AG452" i="5"/>
  <c r="AH452" i="5"/>
  <c r="AI452" i="5"/>
  <c r="AJ452" i="5"/>
  <c r="AK452" i="5"/>
  <c r="AL452" i="5"/>
  <c r="AM452" i="5"/>
  <c r="AN452" i="5"/>
  <c r="AO452" i="5"/>
  <c r="AP452" i="5"/>
  <c r="AQ452" i="5"/>
  <c r="AR452" i="5"/>
  <c r="AS452" i="5"/>
  <c r="AT452" i="5"/>
  <c r="AU452" i="5"/>
  <c r="AV452" i="5"/>
  <c r="AW452" i="5"/>
  <c r="AX452" i="5"/>
  <c r="AY452" i="5"/>
  <c r="O453" i="5"/>
  <c r="P453" i="5"/>
  <c r="Q453" i="5"/>
  <c r="R453" i="5"/>
  <c r="S453" i="5"/>
  <c r="T453" i="5"/>
  <c r="U453" i="5"/>
  <c r="V453" i="5"/>
  <c r="W453" i="5"/>
  <c r="X453" i="5"/>
  <c r="Y453" i="5"/>
  <c r="Z453" i="5"/>
  <c r="AA453" i="5"/>
  <c r="AB453" i="5"/>
  <c r="AC453" i="5"/>
  <c r="AD453" i="5"/>
  <c r="AE453" i="5"/>
  <c r="AF453" i="5"/>
  <c r="AG453" i="5"/>
  <c r="AH453" i="5"/>
  <c r="AI453" i="5"/>
  <c r="AJ453" i="5"/>
  <c r="AK453" i="5"/>
  <c r="AL453" i="5"/>
  <c r="AM453" i="5"/>
  <c r="AN453" i="5"/>
  <c r="AO453" i="5"/>
  <c r="AP453" i="5"/>
  <c r="AQ453" i="5"/>
  <c r="AR453" i="5"/>
  <c r="AS453" i="5"/>
  <c r="AT453" i="5"/>
  <c r="AU453" i="5"/>
  <c r="AV453" i="5"/>
  <c r="AW453" i="5"/>
  <c r="AX453" i="5"/>
  <c r="AY453" i="5"/>
  <c r="O454" i="5"/>
  <c r="P454" i="5"/>
  <c r="Q454" i="5"/>
  <c r="R454" i="5"/>
  <c r="S454" i="5"/>
  <c r="T454" i="5"/>
  <c r="U454" i="5"/>
  <c r="V454" i="5"/>
  <c r="W454" i="5"/>
  <c r="X454" i="5"/>
  <c r="Y454" i="5"/>
  <c r="Z454" i="5"/>
  <c r="AA454" i="5"/>
  <c r="AB454" i="5"/>
  <c r="AC454" i="5"/>
  <c r="AD454" i="5"/>
  <c r="AE454" i="5"/>
  <c r="AF454" i="5"/>
  <c r="AG454" i="5"/>
  <c r="AH454" i="5"/>
  <c r="AI454" i="5"/>
  <c r="AJ454" i="5"/>
  <c r="AK454" i="5"/>
  <c r="AL454" i="5"/>
  <c r="AM454" i="5"/>
  <c r="AN454" i="5"/>
  <c r="AO454" i="5"/>
  <c r="AP454" i="5"/>
  <c r="AQ454" i="5"/>
  <c r="AR454" i="5"/>
  <c r="AS454" i="5"/>
  <c r="AT454" i="5"/>
  <c r="AU454" i="5"/>
  <c r="AV454" i="5"/>
  <c r="AW454" i="5"/>
  <c r="AX454" i="5"/>
  <c r="AY454" i="5"/>
  <c r="O455" i="5"/>
  <c r="P455" i="5"/>
  <c r="Q455" i="5"/>
  <c r="R455" i="5"/>
  <c r="S455" i="5"/>
  <c r="T455" i="5"/>
  <c r="U455" i="5"/>
  <c r="V455" i="5"/>
  <c r="W455" i="5"/>
  <c r="X455" i="5"/>
  <c r="Y455" i="5"/>
  <c r="Z455" i="5"/>
  <c r="AA455" i="5"/>
  <c r="AB455" i="5"/>
  <c r="AC455" i="5"/>
  <c r="AD455" i="5"/>
  <c r="AE455" i="5"/>
  <c r="AF455" i="5"/>
  <c r="AG455" i="5"/>
  <c r="AH455" i="5"/>
  <c r="AI455" i="5"/>
  <c r="AJ455" i="5"/>
  <c r="AK455" i="5"/>
  <c r="AL455" i="5"/>
  <c r="AM455" i="5"/>
  <c r="AN455" i="5"/>
  <c r="AO455" i="5"/>
  <c r="AP455" i="5"/>
  <c r="AQ455" i="5"/>
  <c r="AR455" i="5"/>
  <c r="AS455" i="5"/>
  <c r="AT455" i="5"/>
  <c r="AU455" i="5"/>
  <c r="AV455" i="5"/>
  <c r="AW455" i="5"/>
  <c r="AX455" i="5"/>
  <c r="AY455" i="5"/>
  <c r="O456" i="5"/>
  <c r="P456" i="5"/>
  <c r="Q456" i="5"/>
  <c r="R456" i="5"/>
  <c r="S456" i="5"/>
  <c r="T456" i="5"/>
  <c r="U456" i="5"/>
  <c r="V456" i="5"/>
  <c r="W456" i="5"/>
  <c r="X456" i="5"/>
  <c r="Y456" i="5"/>
  <c r="Z456" i="5"/>
  <c r="AA456" i="5"/>
  <c r="AB456" i="5"/>
  <c r="AC456" i="5"/>
  <c r="AD456" i="5"/>
  <c r="AE456" i="5"/>
  <c r="AF456" i="5"/>
  <c r="AG456" i="5"/>
  <c r="AH456" i="5"/>
  <c r="AI456" i="5"/>
  <c r="AJ456" i="5"/>
  <c r="AK456" i="5"/>
  <c r="AL456" i="5"/>
  <c r="AM456" i="5"/>
  <c r="AN456" i="5"/>
  <c r="AO456" i="5"/>
  <c r="AP456" i="5"/>
  <c r="AQ456" i="5"/>
  <c r="AR456" i="5"/>
  <c r="AS456" i="5"/>
  <c r="AT456" i="5"/>
  <c r="AU456" i="5"/>
  <c r="AV456" i="5"/>
  <c r="AW456" i="5"/>
  <c r="AX456" i="5"/>
  <c r="AY456" i="5"/>
  <c r="O457" i="5"/>
  <c r="P457" i="5"/>
  <c r="Q457" i="5"/>
  <c r="R457" i="5"/>
  <c r="S457" i="5"/>
  <c r="T457" i="5"/>
  <c r="U457" i="5"/>
  <c r="V457" i="5"/>
  <c r="W457" i="5"/>
  <c r="X457" i="5"/>
  <c r="Y457" i="5"/>
  <c r="Z457" i="5"/>
  <c r="AA457" i="5"/>
  <c r="AB457" i="5"/>
  <c r="AC457" i="5"/>
  <c r="AD457" i="5"/>
  <c r="AE457" i="5"/>
  <c r="AF457" i="5"/>
  <c r="AG457" i="5"/>
  <c r="AH457" i="5"/>
  <c r="AI457" i="5"/>
  <c r="AJ457" i="5"/>
  <c r="AK457" i="5"/>
  <c r="AL457" i="5"/>
  <c r="AM457" i="5"/>
  <c r="AN457" i="5"/>
  <c r="AO457" i="5"/>
  <c r="AP457" i="5"/>
  <c r="AQ457" i="5"/>
  <c r="AR457" i="5"/>
  <c r="AS457" i="5"/>
  <c r="AT457" i="5"/>
  <c r="AU457" i="5"/>
  <c r="AV457" i="5"/>
  <c r="AW457" i="5"/>
  <c r="AX457" i="5"/>
  <c r="AY457" i="5"/>
  <c r="O458" i="5"/>
  <c r="P458" i="5"/>
  <c r="Q458" i="5"/>
  <c r="R458" i="5"/>
  <c r="S458" i="5"/>
  <c r="T458" i="5"/>
  <c r="U458" i="5"/>
  <c r="V458" i="5"/>
  <c r="W458" i="5"/>
  <c r="X458" i="5"/>
  <c r="Y458" i="5"/>
  <c r="Z458" i="5"/>
  <c r="AA458" i="5"/>
  <c r="AB458" i="5"/>
  <c r="AC458" i="5"/>
  <c r="AD458" i="5"/>
  <c r="AE458" i="5"/>
  <c r="AF458" i="5"/>
  <c r="AG458" i="5"/>
  <c r="AH458" i="5"/>
  <c r="AI458" i="5"/>
  <c r="AJ458" i="5"/>
  <c r="AK458" i="5"/>
  <c r="AL458" i="5"/>
  <c r="AM458" i="5"/>
  <c r="AN458" i="5"/>
  <c r="AO458" i="5"/>
  <c r="AP458" i="5"/>
  <c r="AQ458" i="5"/>
  <c r="AR458" i="5"/>
  <c r="AS458" i="5"/>
  <c r="AT458" i="5"/>
  <c r="AU458" i="5"/>
  <c r="AV458" i="5"/>
  <c r="AW458" i="5"/>
  <c r="AX458" i="5"/>
  <c r="AY458" i="5"/>
  <c r="O459" i="5"/>
  <c r="P459" i="5"/>
  <c r="Q459" i="5"/>
  <c r="R459" i="5"/>
  <c r="S459" i="5"/>
  <c r="T459" i="5"/>
  <c r="U459" i="5"/>
  <c r="V459" i="5"/>
  <c r="W459" i="5"/>
  <c r="X459" i="5"/>
  <c r="Y459" i="5"/>
  <c r="Z459" i="5"/>
  <c r="AA459" i="5"/>
  <c r="AB459" i="5"/>
  <c r="AC459" i="5"/>
  <c r="AD459" i="5"/>
  <c r="AE459" i="5"/>
  <c r="AF459" i="5"/>
  <c r="AG459" i="5"/>
  <c r="AH459" i="5"/>
  <c r="AI459" i="5"/>
  <c r="AJ459" i="5"/>
  <c r="AK459" i="5"/>
  <c r="AL459" i="5"/>
  <c r="AM459" i="5"/>
  <c r="AN459" i="5"/>
  <c r="AO459" i="5"/>
  <c r="AP459" i="5"/>
  <c r="AQ459" i="5"/>
  <c r="AR459" i="5"/>
  <c r="AS459" i="5"/>
  <c r="AT459" i="5"/>
  <c r="AU459" i="5"/>
  <c r="AV459" i="5"/>
  <c r="AW459" i="5"/>
  <c r="AX459" i="5"/>
  <c r="AY459" i="5"/>
  <c r="O460" i="5"/>
  <c r="P460" i="5"/>
  <c r="Q460" i="5"/>
  <c r="R460" i="5"/>
  <c r="S460" i="5"/>
  <c r="T460" i="5"/>
  <c r="U460" i="5"/>
  <c r="V460" i="5"/>
  <c r="W460" i="5"/>
  <c r="X460" i="5"/>
  <c r="Y460" i="5"/>
  <c r="Z460" i="5"/>
  <c r="AA460" i="5"/>
  <c r="AB460" i="5"/>
  <c r="AC460" i="5"/>
  <c r="AD460" i="5"/>
  <c r="AE460" i="5"/>
  <c r="AF460" i="5"/>
  <c r="AG460" i="5"/>
  <c r="AH460" i="5"/>
  <c r="AI460" i="5"/>
  <c r="AJ460" i="5"/>
  <c r="AK460" i="5"/>
  <c r="AL460" i="5"/>
  <c r="AM460" i="5"/>
  <c r="AN460" i="5"/>
  <c r="AO460" i="5"/>
  <c r="AP460" i="5"/>
  <c r="AQ460" i="5"/>
  <c r="AR460" i="5"/>
  <c r="AS460" i="5"/>
  <c r="AT460" i="5"/>
  <c r="AU460" i="5"/>
  <c r="AV460" i="5"/>
  <c r="AW460" i="5"/>
  <c r="AX460" i="5"/>
  <c r="AY460" i="5"/>
  <c r="O461" i="5"/>
  <c r="P461" i="5"/>
  <c r="Q461" i="5"/>
  <c r="R461" i="5"/>
  <c r="S461" i="5"/>
  <c r="T461" i="5"/>
  <c r="U461" i="5"/>
  <c r="V461" i="5"/>
  <c r="W461" i="5"/>
  <c r="X461" i="5"/>
  <c r="Y461" i="5"/>
  <c r="Z461" i="5"/>
  <c r="AA461" i="5"/>
  <c r="AB461" i="5"/>
  <c r="AC461" i="5"/>
  <c r="AD461" i="5"/>
  <c r="AE461" i="5"/>
  <c r="AF461" i="5"/>
  <c r="AG461" i="5"/>
  <c r="AH461" i="5"/>
  <c r="AI461" i="5"/>
  <c r="AJ461" i="5"/>
  <c r="AK461" i="5"/>
  <c r="AL461" i="5"/>
  <c r="AM461" i="5"/>
  <c r="AN461" i="5"/>
  <c r="AO461" i="5"/>
  <c r="AP461" i="5"/>
  <c r="AQ461" i="5"/>
  <c r="AR461" i="5"/>
  <c r="AS461" i="5"/>
  <c r="AT461" i="5"/>
  <c r="AU461" i="5"/>
  <c r="AV461" i="5"/>
  <c r="AW461" i="5"/>
  <c r="AX461" i="5"/>
  <c r="AY461" i="5"/>
  <c r="O462" i="5"/>
  <c r="P462" i="5"/>
  <c r="Q462" i="5"/>
  <c r="R462" i="5"/>
  <c r="S462" i="5"/>
  <c r="T462" i="5"/>
  <c r="U462" i="5"/>
  <c r="V462" i="5"/>
  <c r="W462" i="5"/>
  <c r="X462" i="5"/>
  <c r="Y462" i="5"/>
  <c r="Z462" i="5"/>
  <c r="AA462" i="5"/>
  <c r="AB462" i="5"/>
  <c r="AC462" i="5"/>
  <c r="AD462" i="5"/>
  <c r="AE462" i="5"/>
  <c r="AF462" i="5"/>
  <c r="AG462" i="5"/>
  <c r="AH462" i="5"/>
  <c r="AI462" i="5"/>
  <c r="AJ462" i="5"/>
  <c r="AK462" i="5"/>
  <c r="AL462" i="5"/>
  <c r="AM462" i="5"/>
  <c r="AN462" i="5"/>
  <c r="AO462" i="5"/>
  <c r="AP462" i="5"/>
  <c r="AQ462" i="5"/>
  <c r="AR462" i="5"/>
  <c r="AS462" i="5"/>
  <c r="AT462" i="5"/>
  <c r="AU462" i="5"/>
  <c r="AV462" i="5"/>
  <c r="AW462" i="5"/>
  <c r="AX462" i="5"/>
  <c r="AY462" i="5"/>
  <c r="O463" i="5"/>
  <c r="P463" i="5"/>
  <c r="Q463" i="5"/>
  <c r="R463" i="5"/>
  <c r="S463" i="5"/>
  <c r="T463" i="5"/>
  <c r="U463" i="5"/>
  <c r="V463" i="5"/>
  <c r="W463" i="5"/>
  <c r="X463" i="5"/>
  <c r="Y463" i="5"/>
  <c r="Z463" i="5"/>
  <c r="AA463" i="5"/>
  <c r="AB463" i="5"/>
  <c r="AC463" i="5"/>
  <c r="AD463" i="5"/>
  <c r="AE463" i="5"/>
  <c r="AF463" i="5"/>
  <c r="AG463" i="5"/>
  <c r="AH463" i="5"/>
  <c r="AI463" i="5"/>
  <c r="AJ463" i="5"/>
  <c r="AK463" i="5"/>
  <c r="AL463" i="5"/>
  <c r="AM463" i="5"/>
  <c r="AN463" i="5"/>
  <c r="AO463" i="5"/>
  <c r="AP463" i="5"/>
  <c r="AQ463" i="5"/>
  <c r="AR463" i="5"/>
  <c r="AS463" i="5"/>
  <c r="AT463" i="5"/>
  <c r="AU463" i="5"/>
  <c r="AV463" i="5"/>
  <c r="AW463" i="5"/>
  <c r="AX463" i="5"/>
  <c r="AY463" i="5"/>
  <c r="O464" i="5"/>
  <c r="P464" i="5"/>
  <c r="Q464" i="5"/>
  <c r="R464" i="5"/>
  <c r="S464" i="5"/>
  <c r="T464" i="5"/>
  <c r="U464" i="5"/>
  <c r="V464" i="5"/>
  <c r="W464" i="5"/>
  <c r="X464" i="5"/>
  <c r="Y464" i="5"/>
  <c r="Z464" i="5"/>
  <c r="AA464" i="5"/>
  <c r="AB464" i="5"/>
  <c r="AC464" i="5"/>
  <c r="AD464" i="5"/>
  <c r="AE464" i="5"/>
  <c r="AF464" i="5"/>
  <c r="AG464" i="5"/>
  <c r="AH464" i="5"/>
  <c r="AI464" i="5"/>
  <c r="AJ464" i="5"/>
  <c r="AK464" i="5"/>
  <c r="AL464" i="5"/>
  <c r="AM464" i="5"/>
  <c r="AN464" i="5"/>
  <c r="AO464" i="5"/>
  <c r="AP464" i="5"/>
  <c r="AQ464" i="5"/>
  <c r="AR464" i="5"/>
  <c r="AS464" i="5"/>
  <c r="AT464" i="5"/>
  <c r="AU464" i="5"/>
  <c r="AV464" i="5"/>
  <c r="AW464" i="5"/>
  <c r="AX464" i="5"/>
  <c r="AY464" i="5"/>
  <c r="O465" i="5"/>
  <c r="P465" i="5"/>
  <c r="Q465" i="5"/>
  <c r="R465" i="5"/>
  <c r="S465" i="5"/>
  <c r="T465" i="5"/>
  <c r="U465" i="5"/>
  <c r="V465" i="5"/>
  <c r="W465" i="5"/>
  <c r="X465" i="5"/>
  <c r="Y465" i="5"/>
  <c r="Z465" i="5"/>
  <c r="AA465" i="5"/>
  <c r="AB465" i="5"/>
  <c r="AC465" i="5"/>
  <c r="AD465" i="5"/>
  <c r="AE465" i="5"/>
  <c r="AF465" i="5"/>
  <c r="AG465" i="5"/>
  <c r="AH465" i="5"/>
  <c r="AI465" i="5"/>
  <c r="AJ465" i="5"/>
  <c r="AK465" i="5"/>
  <c r="AL465" i="5"/>
  <c r="AM465" i="5"/>
  <c r="AN465" i="5"/>
  <c r="AO465" i="5"/>
  <c r="AP465" i="5"/>
  <c r="AQ465" i="5"/>
  <c r="AR465" i="5"/>
  <c r="AS465" i="5"/>
  <c r="AT465" i="5"/>
  <c r="AU465" i="5"/>
  <c r="AV465" i="5"/>
  <c r="AW465" i="5"/>
  <c r="AX465" i="5"/>
  <c r="AY465" i="5"/>
  <c r="O466" i="5"/>
  <c r="P466" i="5"/>
  <c r="Q466" i="5"/>
  <c r="R466" i="5"/>
  <c r="S466" i="5"/>
  <c r="T466" i="5"/>
  <c r="U466" i="5"/>
  <c r="V466" i="5"/>
  <c r="W466" i="5"/>
  <c r="X466" i="5"/>
  <c r="Y466" i="5"/>
  <c r="Z466" i="5"/>
  <c r="AA466" i="5"/>
  <c r="AB466" i="5"/>
  <c r="AC466" i="5"/>
  <c r="AD466" i="5"/>
  <c r="AE466" i="5"/>
  <c r="AF466" i="5"/>
  <c r="AG466" i="5"/>
  <c r="AH466" i="5"/>
  <c r="AI466" i="5"/>
  <c r="AJ466" i="5"/>
  <c r="AK466" i="5"/>
  <c r="AL466" i="5"/>
  <c r="AM466" i="5"/>
  <c r="AN466" i="5"/>
  <c r="AO466" i="5"/>
  <c r="AP466" i="5"/>
  <c r="AQ466" i="5"/>
  <c r="AR466" i="5"/>
  <c r="AS466" i="5"/>
  <c r="AT466" i="5"/>
  <c r="AU466" i="5"/>
  <c r="AV466" i="5"/>
  <c r="AW466" i="5"/>
  <c r="AX466" i="5"/>
  <c r="AY466" i="5"/>
  <c r="O467" i="5"/>
  <c r="B467" i="5"/>
  <c r="P467" i="5"/>
  <c r="Q467" i="5"/>
  <c r="R467" i="5"/>
  <c r="S467" i="5"/>
  <c r="T467" i="5"/>
  <c r="U467" i="5"/>
  <c r="V467" i="5"/>
  <c r="W467" i="5"/>
  <c r="X467" i="5"/>
  <c r="Y467" i="5"/>
  <c r="Z467" i="5"/>
  <c r="AA467" i="5"/>
  <c r="AB467" i="5"/>
  <c r="AC467" i="5"/>
  <c r="AD467" i="5"/>
  <c r="AE467" i="5"/>
  <c r="AF467" i="5"/>
  <c r="AG467" i="5"/>
  <c r="AH467" i="5"/>
  <c r="AI467" i="5"/>
  <c r="AJ467" i="5"/>
  <c r="AK467" i="5"/>
  <c r="AL467" i="5"/>
  <c r="AM467" i="5"/>
  <c r="AN467" i="5"/>
  <c r="AO467" i="5"/>
  <c r="AP467" i="5"/>
  <c r="AQ467" i="5"/>
  <c r="AR467" i="5"/>
  <c r="AS467" i="5"/>
  <c r="AT467" i="5"/>
  <c r="AU467" i="5"/>
  <c r="AV467" i="5"/>
  <c r="AW467" i="5"/>
  <c r="AX467" i="5"/>
  <c r="AY467" i="5"/>
  <c r="O468" i="5"/>
  <c r="K468" i="5"/>
  <c r="L468" i="5" s="1"/>
  <c r="P468" i="5"/>
  <c r="Q468" i="5"/>
  <c r="R468" i="5"/>
  <c r="S468" i="5"/>
  <c r="T468" i="5"/>
  <c r="U468" i="5"/>
  <c r="V468" i="5"/>
  <c r="W468" i="5"/>
  <c r="X468" i="5"/>
  <c r="Y468" i="5"/>
  <c r="Z468" i="5"/>
  <c r="AA468" i="5"/>
  <c r="AB468" i="5"/>
  <c r="AC468" i="5"/>
  <c r="AD468" i="5"/>
  <c r="AE468" i="5"/>
  <c r="AF468" i="5"/>
  <c r="AG468" i="5"/>
  <c r="AH468" i="5"/>
  <c r="AI468" i="5"/>
  <c r="AJ468" i="5"/>
  <c r="AK468" i="5"/>
  <c r="AL468" i="5"/>
  <c r="AM468" i="5"/>
  <c r="AN468" i="5"/>
  <c r="AO468" i="5"/>
  <c r="AP468" i="5"/>
  <c r="AQ468" i="5"/>
  <c r="AR468" i="5"/>
  <c r="AS468" i="5"/>
  <c r="AT468" i="5"/>
  <c r="AU468" i="5"/>
  <c r="AV468" i="5"/>
  <c r="AW468" i="5"/>
  <c r="AX468" i="5"/>
  <c r="AY468" i="5"/>
  <c r="O469" i="5"/>
  <c r="P469" i="5"/>
  <c r="Q469" i="5"/>
  <c r="R469" i="5"/>
  <c r="S469" i="5"/>
  <c r="T469" i="5"/>
  <c r="U469" i="5"/>
  <c r="V469" i="5"/>
  <c r="W469" i="5"/>
  <c r="X469" i="5"/>
  <c r="Y469" i="5"/>
  <c r="Z469" i="5"/>
  <c r="AA469" i="5"/>
  <c r="AB469" i="5"/>
  <c r="AC469" i="5"/>
  <c r="AD469" i="5"/>
  <c r="AE469" i="5"/>
  <c r="AF469" i="5"/>
  <c r="AG469" i="5"/>
  <c r="AH469" i="5"/>
  <c r="AI469" i="5"/>
  <c r="AJ469" i="5"/>
  <c r="AK469" i="5"/>
  <c r="AL469" i="5"/>
  <c r="AM469" i="5"/>
  <c r="AN469" i="5"/>
  <c r="AO469" i="5"/>
  <c r="AP469" i="5"/>
  <c r="AQ469" i="5"/>
  <c r="AR469" i="5"/>
  <c r="AS469" i="5"/>
  <c r="AT469" i="5"/>
  <c r="AU469" i="5"/>
  <c r="AV469" i="5"/>
  <c r="AW469" i="5"/>
  <c r="AX469" i="5"/>
  <c r="AY469" i="5"/>
  <c r="O470" i="5"/>
  <c r="P470" i="5"/>
  <c r="Q470" i="5"/>
  <c r="R470" i="5"/>
  <c r="S470" i="5"/>
  <c r="T470" i="5"/>
  <c r="U470" i="5"/>
  <c r="V470" i="5"/>
  <c r="W470" i="5"/>
  <c r="X470" i="5"/>
  <c r="Y470" i="5"/>
  <c r="Z470" i="5"/>
  <c r="AA470" i="5"/>
  <c r="AB470" i="5"/>
  <c r="AC470" i="5"/>
  <c r="AD470" i="5"/>
  <c r="AE470" i="5"/>
  <c r="AF470" i="5"/>
  <c r="AG470" i="5"/>
  <c r="AH470" i="5"/>
  <c r="AI470" i="5"/>
  <c r="AJ470" i="5"/>
  <c r="AK470" i="5"/>
  <c r="AL470" i="5"/>
  <c r="AM470" i="5"/>
  <c r="AN470" i="5"/>
  <c r="AO470" i="5"/>
  <c r="AP470" i="5"/>
  <c r="AQ470" i="5"/>
  <c r="AR470" i="5"/>
  <c r="AS470" i="5"/>
  <c r="AT470" i="5"/>
  <c r="AU470" i="5"/>
  <c r="AV470" i="5"/>
  <c r="AW470" i="5"/>
  <c r="AX470" i="5"/>
  <c r="AY470" i="5"/>
  <c r="O471" i="5"/>
  <c r="P471" i="5"/>
  <c r="Q471" i="5"/>
  <c r="R471" i="5"/>
  <c r="S471" i="5"/>
  <c r="T471" i="5"/>
  <c r="U471" i="5"/>
  <c r="V471" i="5"/>
  <c r="W471" i="5"/>
  <c r="X471" i="5"/>
  <c r="Y471" i="5"/>
  <c r="Z471" i="5"/>
  <c r="AA471" i="5"/>
  <c r="AB471" i="5"/>
  <c r="AC471" i="5"/>
  <c r="AD471" i="5"/>
  <c r="AE471" i="5"/>
  <c r="AF471" i="5"/>
  <c r="AG471" i="5"/>
  <c r="AH471" i="5"/>
  <c r="AI471" i="5"/>
  <c r="AJ471" i="5"/>
  <c r="AK471" i="5"/>
  <c r="AL471" i="5"/>
  <c r="AM471" i="5"/>
  <c r="AN471" i="5"/>
  <c r="AO471" i="5"/>
  <c r="AP471" i="5"/>
  <c r="AQ471" i="5"/>
  <c r="AR471" i="5"/>
  <c r="AS471" i="5"/>
  <c r="AT471" i="5"/>
  <c r="AU471" i="5"/>
  <c r="AV471" i="5"/>
  <c r="AW471" i="5"/>
  <c r="AX471" i="5"/>
  <c r="AY471" i="5"/>
  <c r="O472" i="5"/>
  <c r="K472" i="5"/>
  <c r="L472" i="5" s="1"/>
  <c r="P472" i="5"/>
  <c r="Q472" i="5"/>
  <c r="R472" i="5"/>
  <c r="S472" i="5"/>
  <c r="T472" i="5"/>
  <c r="U472" i="5"/>
  <c r="V472" i="5"/>
  <c r="W472" i="5"/>
  <c r="X472" i="5"/>
  <c r="Y472" i="5"/>
  <c r="Z472" i="5"/>
  <c r="AA472" i="5"/>
  <c r="AB472" i="5"/>
  <c r="AC472" i="5"/>
  <c r="AD472" i="5"/>
  <c r="AE472" i="5"/>
  <c r="AF472" i="5"/>
  <c r="AG472" i="5"/>
  <c r="AH472" i="5"/>
  <c r="AI472" i="5"/>
  <c r="AJ472" i="5"/>
  <c r="AK472" i="5"/>
  <c r="AL472" i="5"/>
  <c r="AM472" i="5"/>
  <c r="AN472" i="5"/>
  <c r="AO472" i="5"/>
  <c r="AP472" i="5"/>
  <c r="AQ472" i="5"/>
  <c r="AR472" i="5"/>
  <c r="AS472" i="5"/>
  <c r="AT472" i="5"/>
  <c r="AU472" i="5"/>
  <c r="AV472" i="5"/>
  <c r="AW472" i="5"/>
  <c r="AX472" i="5"/>
  <c r="AY472" i="5"/>
  <c r="O473" i="5"/>
  <c r="P473" i="5"/>
  <c r="Q473" i="5"/>
  <c r="R473" i="5"/>
  <c r="S473" i="5"/>
  <c r="T473" i="5"/>
  <c r="U473" i="5"/>
  <c r="V473" i="5"/>
  <c r="W473" i="5"/>
  <c r="X473" i="5"/>
  <c r="Y473" i="5"/>
  <c r="Z473" i="5"/>
  <c r="AA473" i="5"/>
  <c r="AB473" i="5"/>
  <c r="AC473" i="5"/>
  <c r="AD473" i="5"/>
  <c r="AE473" i="5"/>
  <c r="AF473" i="5"/>
  <c r="AG473" i="5"/>
  <c r="AH473" i="5"/>
  <c r="AI473" i="5"/>
  <c r="AJ473" i="5"/>
  <c r="AK473" i="5"/>
  <c r="AL473" i="5"/>
  <c r="AM473" i="5"/>
  <c r="AN473" i="5"/>
  <c r="AO473" i="5"/>
  <c r="AP473" i="5"/>
  <c r="AQ473" i="5"/>
  <c r="AR473" i="5"/>
  <c r="AS473" i="5"/>
  <c r="AT473" i="5"/>
  <c r="AU473" i="5"/>
  <c r="AV473" i="5"/>
  <c r="AW473" i="5"/>
  <c r="AX473" i="5"/>
  <c r="AY473" i="5"/>
  <c r="O474" i="5"/>
  <c r="P474" i="5"/>
  <c r="Q474" i="5"/>
  <c r="R474" i="5"/>
  <c r="S474" i="5"/>
  <c r="T474" i="5"/>
  <c r="U474" i="5"/>
  <c r="V474" i="5"/>
  <c r="W474" i="5"/>
  <c r="X474" i="5"/>
  <c r="Y474" i="5"/>
  <c r="Z474" i="5"/>
  <c r="AA474" i="5"/>
  <c r="AB474" i="5"/>
  <c r="AC474" i="5"/>
  <c r="AD474" i="5"/>
  <c r="AE474" i="5"/>
  <c r="AF474" i="5"/>
  <c r="AG474" i="5"/>
  <c r="AH474" i="5"/>
  <c r="AI474" i="5"/>
  <c r="AJ474" i="5"/>
  <c r="AK474" i="5"/>
  <c r="AL474" i="5"/>
  <c r="AM474" i="5"/>
  <c r="AN474" i="5"/>
  <c r="AO474" i="5"/>
  <c r="AP474" i="5"/>
  <c r="AQ474" i="5"/>
  <c r="AR474" i="5"/>
  <c r="AS474" i="5"/>
  <c r="AT474" i="5"/>
  <c r="AU474" i="5"/>
  <c r="AV474" i="5"/>
  <c r="AW474" i="5"/>
  <c r="AX474" i="5"/>
  <c r="AY474" i="5"/>
  <c r="O475" i="5"/>
  <c r="P475" i="5"/>
  <c r="Q475" i="5"/>
  <c r="R475" i="5"/>
  <c r="S475" i="5"/>
  <c r="T475" i="5"/>
  <c r="U475" i="5"/>
  <c r="V475" i="5"/>
  <c r="W475" i="5"/>
  <c r="X475" i="5"/>
  <c r="Y475" i="5"/>
  <c r="Z475" i="5"/>
  <c r="AA475" i="5"/>
  <c r="AB475" i="5"/>
  <c r="AC475" i="5"/>
  <c r="AD475" i="5"/>
  <c r="AE475" i="5"/>
  <c r="AF475" i="5"/>
  <c r="AG475" i="5"/>
  <c r="AH475" i="5"/>
  <c r="AI475" i="5"/>
  <c r="AJ475" i="5"/>
  <c r="AK475" i="5"/>
  <c r="AL475" i="5"/>
  <c r="AM475" i="5"/>
  <c r="AN475" i="5"/>
  <c r="AO475" i="5"/>
  <c r="AP475" i="5"/>
  <c r="AQ475" i="5"/>
  <c r="AR475" i="5"/>
  <c r="AS475" i="5"/>
  <c r="AT475" i="5"/>
  <c r="AU475" i="5"/>
  <c r="AV475" i="5"/>
  <c r="AW475" i="5"/>
  <c r="AX475" i="5"/>
  <c r="AY475" i="5"/>
  <c r="O476" i="5"/>
  <c r="P476" i="5"/>
  <c r="Q476" i="5"/>
  <c r="R476" i="5"/>
  <c r="S476" i="5"/>
  <c r="T476" i="5"/>
  <c r="U476" i="5"/>
  <c r="V476" i="5"/>
  <c r="W476" i="5"/>
  <c r="X476" i="5"/>
  <c r="Y476" i="5"/>
  <c r="Z476" i="5"/>
  <c r="AA476" i="5"/>
  <c r="AB476" i="5"/>
  <c r="AC476" i="5"/>
  <c r="AD476" i="5"/>
  <c r="AE476" i="5"/>
  <c r="AF476" i="5"/>
  <c r="AG476" i="5"/>
  <c r="AH476" i="5"/>
  <c r="AI476" i="5"/>
  <c r="AJ476" i="5"/>
  <c r="AK476" i="5"/>
  <c r="AL476" i="5"/>
  <c r="AM476" i="5"/>
  <c r="AN476" i="5"/>
  <c r="AO476" i="5"/>
  <c r="AP476" i="5"/>
  <c r="AQ476" i="5"/>
  <c r="AR476" i="5"/>
  <c r="AS476" i="5"/>
  <c r="AT476" i="5"/>
  <c r="AU476" i="5"/>
  <c r="AV476" i="5"/>
  <c r="AW476" i="5"/>
  <c r="AX476" i="5"/>
  <c r="AY476" i="5"/>
  <c r="O477" i="5"/>
  <c r="P477" i="5"/>
  <c r="Q477" i="5"/>
  <c r="R477" i="5"/>
  <c r="S477" i="5"/>
  <c r="T477" i="5"/>
  <c r="U477" i="5"/>
  <c r="V477" i="5"/>
  <c r="W477" i="5"/>
  <c r="X477" i="5"/>
  <c r="Y477" i="5"/>
  <c r="Z477" i="5"/>
  <c r="AA477" i="5"/>
  <c r="AB477" i="5"/>
  <c r="AC477" i="5"/>
  <c r="AD477" i="5"/>
  <c r="AE477" i="5"/>
  <c r="AF477" i="5"/>
  <c r="AG477" i="5"/>
  <c r="AH477" i="5"/>
  <c r="AI477" i="5"/>
  <c r="AJ477" i="5"/>
  <c r="AK477" i="5"/>
  <c r="AL477" i="5"/>
  <c r="AM477" i="5"/>
  <c r="AN477" i="5"/>
  <c r="AO477" i="5"/>
  <c r="AP477" i="5"/>
  <c r="AQ477" i="5"/>
  <c r="AR477" i="5"/>
  <c r="AS477" i="5"/>
  <c r="AT477" i="5"/>
  <c r="AU477" i="5"/>
  <c r="AV477" i="5"/>
  <c r="AW477" i="5"/>
  <c r="AX477" i="5"/>
  <c r="AY477" i="5"/>
  <c r="O478" i="5"/>
  <c r="B478" i="5" s="1"/>
  <c r="P478" i="5"/>
  <c r="Q478" i="5"/>
  <c r="R478" i="5"/>
  <c r="S478" i="5"/>
  <c r="T478" i="5"/>
  <c r="U478" i="5"/>
  <c r="V478" i="5"/>
  <c r="W478" i="5"/>
  <c r="X478" i="5"/>
  <c r="Y478" i="5"/>
  <c r="Z478" i="5"/>
  <c r="AA478" i="5"/>
  <c r="AB478" i="5"/>
  <c r="AC478" i="5"/>
  <c r="AD478" i="5"/>
  <c r="AE478" i="5"/>
  <c r="AF478" i="5"/>
  <c r="AG478" i="5"/>
  <c r="AH478" i="5"/>
  <c r="AI478" i="5"/>
  <c r="AJ478" i="5"/>
  <c r="AK478" i="5"/>
  <c r="AL478" i="5"/>
  <c r="AM478" i="5"/>
  <c r="AN478" i="5"/>
  <c r="AO478" i="5"/>
  <c r="AP478" i="5"/>
  <c r="AQ478" i="5"/>
  <c r="AR478" i="5"/>
  <c r="AS478" i="5"/>
  <c r="AT478" i="5"/>
  <c r="AU478" i="5"/>
  <c r="AV478" i="5"/>
  <c r="AW478" i="5"/>
  <c r="AX478" i="5"/>
  <c r="AY478" i="5"/>
  <c r="O479" i="5"/>
  <c r="B479" i="5" s="1"/>
  <c r="P479" i="5"/>
  <c r="Q479" i="5"/>
  <c r="R479" i="5"/>
  <c r="S479" i="5"/>
  <c r="T479" i="5"/>
  <c r="U479" i="5"/>
  <c r="V479" i="5"/>
  <c r="W479" i="5"/>
  <c r="X479" i="5"/>
  <c r="Y479" i="5"/>
  <c r="Z479" i="5"/>
  <c r="AA479" i="5"/>
  <c r="AB479" i="5"/>
  <c r="AC479" i="5"/>
  <c r="AD479" i="5"/>
  <c r="AE479" i="5"/>
  <c r="AF479" i="5"/>
  <c r="AG479" i="5"/>
  <c r="AH479" i="5"/>
  <c r="AI479" i="5"/>
  <c r="AJ479" i="5"/>
  <c r="AK479" i="5"/>
  <c r="AL479" i="5"/>
  <c r="AM479" i="5"/>
  <c r="AN479" i="5"/>
  <c r="AO479" i="5"/>
  <c r="AP479" i="5"/>
  <c r="AQ479" i="5"/>
  <c r="AR479" i="5"/>
  <c r="AS479" i="5"/>
  <c r="AT479" i="5"/>
  <c r="AU479" i="5"/>
  <c r="AV479" i="5"/>
  <c r="AW479" i="5"/>
  <c r="AX479" i="5"/>
  <c r="AY479" i="5"/>
  <c r="O480" i="5"/>
  <c r="P480" i="5"/>
  <c r="Q480" i="5"/>
  <c r="R480" i="5"/>
  <c r="S480" i="5"/>
  <c r="T480" i="5"/>
  <c r="U480" i="5"/>
  <c r="V480" i="5"/>
  <c r="W480" i="5"/>
  <c r="X480" i="5"/>
  <c r="Y480" i="5"/>
  <c r="Z480" i="5"/>
  <c r="AA480" i="5"/>
  <c r="AB480" i="5"/>
  <c r="AC480" i="5"/>
  <c r="AD480" i="5"/>
  <c r="AE480" i="5"/>
  <c r="AF480" i="5"/>
  <c r="AG480" i="5"/>
  <c r="AH480" i="5"/>
  <c r="AI480" i="5"/>
  <c r="AJ480" i="5"/>
  <c r="AK480" i="5"/>
  <c r="AL480" i="5"/>
  <c r="AM480" i="5"/>
  <c r="AN480" i="5"/>
  <c r="AO480" i="5"/>
  <c r="AP480" i="5"/>
  <c r="AQ480" i="5"/>
  <c r="AR480" i="5"/>
  <c r="AS480" i="5"/>
  <c r="AT480" i="5"/>
  <c r="AU480" i="5"/>
  <c r="AV480" i="5"/>
  <c r="AW480" i="5"/>
  <c r="AX480" i="5"/>
  <c r="AY480" i="5"/>
  <c r="O481" i="5"/>
  <c r="P481" i="5"/>
  <c r="Q481" i="5"/>
  <c r="R481" i="5"/>
  <c r="S481" i="5"/>
  <c r="T481" i="5"/>
  <c r="U481" i="5"/>
  <c r="V481" i="5"/>
  <c r="W481" i="5"/>
  <c r="X481" i="5"/>
  <c r="Y481" i="5"/>
  <c r="Z481" i="5"/>
  <c r="AA481" i="5"/>
  <c r="AB481" i="5"/>
  <c r="AC481" i="5"/>
  <c r="AD481" i="5"/>
  <c r="AE481" i="5"/>
  <c r="AF481" i="5"/>
  <c r="AG481" i="5"/>
  <c r="AH481" i="5"/>
  <c r="AI481" i="5"/>
  <c r="AJ481" i="5"/>
  <c r="AK481" i="5"/>
  <c r="AL481" i="5"/>
  <c r="AM481" i="5"/>
  <c r="AN481" i="5"/>
  <c r="AO481" i="5"/>
  <c r="AP481" i="5"/>
  <c r="AQ481" i="5"/>
  <c r="AR481" i="5"/>
  <c r="AS481" i="5"/>
  <c r="AT481" i="5"/>
  <c r="AU481" i="5"/>
  <c r="AV481" i="5"/>
  <c r="AW481" i="5"/>
  <c r="AX481" i="5"/>
  <c r="AY481" i="5"/>
  <c r="O482" i="5"/>
  <c r="P482" i="5"/>
  <c r="Q482" i="5"/>
  <c r="R482" i="5"/>
  <c r="S482" i="5"/>
  <c r="T482" i="5"/>
  <c r="U482" i="5"/>
  <c r="V482" i="5"/>
  <c r="W482" i="5"/>
  <c r="X482" i="5"/>
  <c r="Y482" i="5"/>
  <c r="Z482" i="5"/>
  <c r="AA482" i="5"/>
  <c r="AB482" i="5"/>
  <c r="AC482" i="5"/>
  <c r="AD482" i="5"/>
  <c r="AE482" i="5"/>
  <c r="AF482" i="5"/>
  <c r="AG482" i="5"/>
  <c r="AH482" i="5"/>
  <c r="AI482" i="5"/>
  <c r="AJ482" i="5"/>
  <c r="AK482" i="5"/>
  <c r="AL482" i="5"/>
  <c r="AM482" i="5"/>
  <c r="AN482" i="5"/>
  <c r="AO482" i="5"/>
  <c r="AP482" i="5"/>
  <c r="AQ482" i="5"/>
  <c r="AR482" i="5"/>
  <c r="AS482" i="5"/>
  <c r="AT482" i="5"/>
  <c r="AU482" i="5"/>
  <c r="AV482" i="5"/>
  <c r="AW482" i="5"/>
  <c r="AX482" i="5"/>
  <c r="AY482" i="5"/>
  <c r="O483" i="5"/>
  <c r="P483" i="5"/>
  <c r="Q483" i="5"/>
  <c r="R483" i="5"/>
  <c r="S483" i="5"/>
  <c r="T483" i="5"/>
  <c r="U483" i="5"/>
  <c r="V483" i="5"/>
  <c r="W483" i="5"/>
  <c r="X483" i="5"/>
  <c r="Y483" i="5"/>
  <c r="Z483" i="5"/>
  <c r="AA483" i="5"/>
  <c r="AB483" i="5"/>
  <c r="AC483" i="5"/>
  <c r="AD483" i="5"/>
  <c r="AE483" i="5"/>
  <c r="AF483" i="5"/>
  <c r="AG483" i="5"/>
  <c r="AH483" i="5"/>
  <c r="AI483" i="5"/>
  <c r="AJ483" i="5"/>
  <c r="AK483" i="5"/>
  <c r="AL483" i="5"/>
  <c r="AM483" i="5"/>
  <c r="AN483" i="5"/>
  <c r="AO483" i="5"/>
  <c r="AP483" i="5"/>
  <c r="AQ483" i="5"/>
  <c r="AR483" i="5"/>
  <c r="AS483" i="5"/>
  <c r="AT483" i="5"/>
  <c r="AU483" i="5"/>
  <c r="AV483" i="5"/>
  <c r="AW483" i="5"/>
  <c r="AX483" i="5"/>
  <c r="AY483" i="5"/>
  <c r="O484" i="5"/>
  <c r="K484" i="5" s="1"/>
  <c r="L484" i="5" s="1"/>
  <c r="P484" i="5"/>
  <c r="Q484" i="5"/>
  <c r="R484" i="5"/>
  <c r="S484" i="5"/>
  <c r="T484" i="5"/>
  <c r="U484" i="5"/>
  <c r="V484" i="5"/>
  <c r="W484" i="5"/>
  <c r="X484" i="5"/>
  <c r="Y484" i="5"/>
  <c r="Z484" i="5"/>
  <c r="AA484" i="5"/>
  <c r="AB484" i="5"/>
  <c r="AC484" i="5"/>
  <c r="AD484" i="5"/>
  <c r="AE484" i="5"/>
  <c r="AF484" i="5"/>
  <c r="AG484" i="5"/>
  <c r="AH484" i="5"/>
  <c r="AI484" i="5"/>
  <c r="AJ484" i="5"/>
  <c r="AK484" i="5"/>
  <c r="AL484" i="5"/>
  <c r="AM484" i="5"/>
  <c r="AN484" i="5"/>
  <c r="AO484" i="5"/>
  <c r="AP484" i="5"/>
  <c r="AQ484" i="5"/>
  <c r="AR484" i="5"/>
  <c r="AS484" i="5"/>
  <c r="AT484" i="5"/>
  <c r="AU484" i="5"/>
  <c r="AV484" i="5"/>
  <c r="AW484" i="5"/>
  <c r="AX484" i="5"/>
  <c r="AY484" i="5"/>
  <c r="O485" i="5"/>
  <c r="P485" i="5"/>
  <c r="Q485" i="5"/>
  <c r="R485" i="5"/>
  <c r="S485" i="5"/>
  <c r="T485" i="5"/>
  <c r="U485" i="5"/>
  <c r="V485" i="5"/>
  <c r="W485" i="5"/>
  <c r="X485" i="5"/>
  <c r="Y485" i="5"/>
  <c r="Z485" i="5"/>
  <c r="AA485" i="5"/>
  <c r="AB485" i="5"/>
  <c r="AC485" i="5"/>
  <c r="AD485" i="5"/>
  <c r="AE485" i="5"/>
  <c r="AF485" i="5"/>
  <c r="AG485" i="5"/>
  <c r="AH485" i="5"/>
  <c r="AI485" i="5"/>
  <c r="AJ485" i="5"/>
  <c r="AK485" i="5"/>
  <c r="AL485" i="5"/>
  <c r="AM485" i="5"/>
  <c r="AN485" i="5"/>
  <c r="AO485" i="5"/>
  <c r="AP485" i="5"/>
  <c r="AQ485" i="5"/>
  <c r="AR485" i="5"/>
  <c r="AS485" i="5"/>
  <c r="AT485" i="5"/>
  <c r="AU485" i="5"/>
  <c r="AV485" i="5"/>
  <c r="AW485" i="5"/>
  <c r="AX485" i="5"/>
  <c r="AY485" i="5"/>
  <c r="O486" i="5"/>
  <c r="P486" i="5"/>
  <c r="Q486" i="5"/>
  <c r="R486" i="5"/>
  <c r="S486" i="5"/>
  <c r="T486" i="5"/>
  <c r="U486" i="5"/>
  <c r="V486" i="5"/>
  <c r="W486" i="5"/>
  <c r="X486" i="5"/>
  <c r="Y486" i="5"/>
  <c r="Z486" i="5"/>
  <c r="AA486" i="5"/>
  <c r="AB486" i="5"/>
  <c r="AC486" i="5"/>
  <c r="AD486" i="5"/>
  <c r="AE486" i="5"/>
  <c r="AF486" i="5"/>
  <c r="AG486" i="5"/>
  <c r="AH486" i="5"/>
  <c r="AI486" i="5"/>
  <c r="AJ486" i="5"/>
  <c r="AK486" i="5"/>
  <c r="AL486" i="5"/>
  <c r="AM486" i="5"/>
  <c r="AN486" i="5"/>
  <c r="AO486" i="5"/>
  <c r="AP486" i="5"/>
  <c r="AQ486" i="5"/>
  <c r="AR486" i="5"/>
  <c r="AS486" i="5"/>
  <c r="AT486" i="5"/>
  <c r="AU486" i="5"/>
  <c r="AV486" i="5"/>
  <c r="AW486" i="5"/>
  <c r="AX486" i="5"/>
  <c r="AY486" i="5"/>
  <c r="O487" i="5"/>
  <c r="B487" i="5"/>
  <c r="J487" i="5"/>
  <c r="P487" i="5"/>
  <c r="Q487" i="5"/>
  <c r="R487" i="5"/>
  <c r="S487" i="5"/>
  <c r="T487" i="5"/>
  <c r="U487" i="5"/>
  <c r="V487" i="5"/>
  <c r="W487" i="5"/>
  <c r="X487" i="5"/>
  <c r="Y487" i="5"/>
  <c r="Z487" i="5"/>
  <c r="AA487" i="5"/>
  <c r="AB487" i="5"/>
  <c r="AC487" i="5"/>
  <c r="AD487" i="5"/>
  <c r="AE487" i="5"/>
  <c r="AF487" i="5"/>
  <c r="AG487" i="5"/>
  <c r="AH487" i="5"/>
  <c r="AI487" i="5"/>
  <c r="AJ487" i="5"/>
  <c r="AK487" i="5"/>
  <c r="AL487" i="5"/>
  <c r="AM487" i="5"/>
  <c r="AN487" i="5"/>
  <c r="AO487" i="5"/>
  <c r="AP487" i="5"/>
  <c r="AQ487" i="5"/>
  <c r="AR487" i="5"/>
  <c r="AS487" i="5"/>
  <c r="AT487" i="5"/>
  <c r="AU487" i="5"/>
  <c r="AV487" i="5"/>
  <c r="AW487" i="5"/>
  <c r="AX487" i="5"/>
  <c r="AY487" i="5"/>
  <c r="O488" i="5"/>
  <c r="P488" i="5"/>
  <c r="Q488" i="5"/>
  <c r="C488" i="5" s="1"/>
  <c r="R488" i="5"/>
  <c r="S488" i="5"/>
  <c r="T488" i="5"/>
  <c r="U488" i="5"/>
  <c r="V488" i="5"/>
  <c r="W488" i="5"/>
  <c r="X488" i="5"/>
  <c r="Y488" i="5"/>
  <c r="Z488" i="5"/>
  <c r="AA488" i="5"/>
  <c r="AB488" i="5"/>
  <c r="AC488" i="5"/>
  <c r="AD488" i="5"/>
  <c r="AE488" i="5"/>
  <c r="AF488" i="5"/>
  <c r="AG488" i="5"/>
  <c r="AH488" i="5"/>
  <c r="AI488" i="5"/>
  <c r="AJ488" i="5"/>
  <c r="AK488" i="5"/>
  <c r="AL488" i="5"/>
  <c r="AM488" i="5"/>
  <c r="AN488" i="5"/>
  <c r="AO488" i="5"/>
  <c r="AP488" i="5"/>
  <c r="AQ488" i="5"/>
  <c r="AR488" i="5"/>
  <c r="AS488" i="5"/>
  <c r="AT488" i="5"/>
  <c r="AU488" i="5"/>
  <c r="AV488" i="5"/>
  <c r="AW488" i="5"/>
  <c r="AX488" i="5"/>
  <c r="AY488" i="5"/>
  <c r="O489" i="5"/>
  <c r="C489" i="5" s="1"/>
  <c r="P489" i="5"/>
  <c r="Q489" i="5"/>
  <c r="R489" i="5"/>
  <c r="S489" i="5"/>
  <c r="T489" i="5"/>
  <c r="U489" i="5"/>
  <c r="V489" i="5"/>
  <c r="W489" i="5"/>
  <c r="X489" i="5"/>
  <c r="Y489" i="5"/>
  <c r="Z489" i="5"/>
  <c r="AA489" i="5"/>
  <c r="AB489" i="5"/>
  <c r="AC489" i="5"/>
  <c r="AD489" i="5"/>
  <c r="AE489" i="5"/>
  <c r="AF489" i="5"/>
  <c r="AG489" i="5"/>
  <c r="AH489" i="5"/>
  <c r="AI489" i="5"/>
  <c r="AJ489" i="5"/>
  <c r="AK489" i="5"/>
  <c r="AL489" i="5"/>
  <c r="AM489" i="5"/>
  <c r="AN489" i="5"/>
  <c r="AO489" i="5"/>
  <c r="AP489" i="5"/>
  <c r="AQ489" i="5"/>
  <c r="AR489" i="5"/>
  <c r="AS489" i="5"/>
  <c r="AT489" i="5"/>
  <c r="AU489" i="5"/>
  <c r="AV489" i="5"/>
  <c r="AW489" i="5"/>
  <c r="AX489" i="5"/>
  <c r="AY489" i="5"/>
  <c r="O490" i="5"/>
  <c r="P490" i="5"/>
  <c r="Q490" i="5"/>
  <c r="R490" i="5"/>
  <c r="S490" i="5"/>
  <c r="T490" i="5"/>
  <c r="U490" i="5"/>
  <c r="V490" i="5"/>
  <c r="W490" i="5"/>
  <c r="X490" i="5"/>
  <c r="Y490" i="5"/>
  <c r="Z490" i="5"/>
  <c r="AA490" i="5"/>
  <c r="AB490" i="5"/>
  <c r="AC490" i="5"/>
  <c r="AD490" i="5"/>
  <c r="AE490" i="5"/>
  <c r="AF490" i="5"/>
  <c r="AG490" i="5"/>
  <c r="AH490" i="5"/>
  <c r="AI490" i="5"/>
  <c r="AJ490" i="5"/>
  <c r="AK490" i="5"/>
  <c r="AL490" i="5"/>
  <c r="AM490" i="5"/>
  <c r="AN490" i="5"/>
  <c r="AO490" i="5"/>
  <c r="AP490" i="5"/>
  <c r="AQ490" i="5"/>
  <c r="AR490" i="5"/>
  <c r="AS490" i="5"/>
  <c r="AT490" i="5"/>
  <c r="AU490" i="5"/>
  <c r="AV490" i="5"/>
  <c r="AW490" i="5"/>
  <c r="AX490" i="5"/>
  <c r="AY490" i="5"/>
  <c r="O491" i="5"/>
  <c r="P491" i="5"/>
  <c r="Q491" i="5"/>
  <c r="R491" i="5"/>
  <c r="S491" i="5"/>
  <c r="T491" i="5"/>
  <c r="U491" i="5"/>
  <c r="V491" i="5"/>
  <c r="W491" i="5"/>
  <c r="X491" i="5"/>
  <c r="Y491" i="5"/>
  <c r="Z491" i="5"/>
  <c r="AA491" i="5"/>
  <c r="AB491" i="5"/>
  <c r="AC491" i="5"/>
  <c r="AD491" i="5"/>
  <c r="AE491" i="5"/>
  <c r="AF491" i="5"/>
  <c r="AG491" i="5"/>
  <c r="AH491" i="5"/>
  <c r="AI491" i="5"/>
  <c r="AJ491" i="5"/>
  <c r="AK491" i="5"/>
  <c r="AL491" i="5"/>
  <c r="AM491" i="5"/>
  <c r="AN491" i="5"/>
  <c r="AO491" i="5"/>
  <c r="AP491" i="5"/>
  <c r="AQ491" i="5"/>
  <c r="AR491" i="5"/>
  <c r="AS491" i="5"/>
  <c r="AT491" i="5"/>
  <c r="AU491" i="5"/>
  <c r="AV491" i="5"/>
  <c r="AW491" i="5"/>
  <c r="AX491" i="5"/>
  <c r="AY491" i="5"/>
  <c r="O492" i="5"/>
  <c r="B492" i="5" s="1"/>
  <c r="P492" i="5"/>
  <c r="Q492" i="5"/>
  <c r="R492" i="5"/>
  <c r="S492" i="5"/>
  <c r="T492" i="5"/>
  <c r="U492" i="5"/>
  <c r="V492" i="5"/>
  <c r="W492" i="5"/>
  <c r="X492" i="5"/>
  <c r="Y492" i="5"/>
  <c r="Z492" i="5"/>
  <c r="AA492" i="5"/>
  <c r="AB492" i="5"/>
  <c r="AC492" i="5"/>
  <c r="AD492" i="5"/>
  <c r="AE492" i="5"/>
  <c r="AF492" i="5"/>
  <c r="AG492" i="5"/>
  <c r="AH492" i="5"/>
  <c r="AI492" i="5"/>
  <c r="AJ492" i="5"/>
  <c r="AK492" i="5"/>
  <c r="AL492" i="5"/>
  <c r="AM492" i="5"/>
  <c r="AN492" i="5"/>
  <c r="AO492" i="5"/>
  <c r="AP492" i="5"/>
  <c r="AQ492" i="5"/>
  <c r="AR492" i="5"/>
  <c r="AS492" i="5"/>
  <c r="AT492" i="5"/>
  <c r="AU492" i="5"/>
  <c r="AV492" i="5"/>
  <c r="AW492" i="5"/>
  <c r="AX492" i="5"/>
  <c r="AY492" i="5"/>
  <c r="O493" i="5"/>
  <c r="P493" i="5"/>
  <c r="Q493" i="5"/>
  <c r="R493" i="5"/>
  <c r="S493" i="5"/>
  <c r="T493" i="5"/>
  <c r="U493" i="5"/>
  <c r="V493" i="5"/>
  <c r="W493" i="5"/>
  <c r="X493" i="5"/>
  <c r="Y493" i="5"/>
  <c r="Z493" i="5"/>
  <c r="AA493" i="5"/>
  <c r="AB493" i="5"/>
  <c r="AC493" i="5"/>
  <c r="AD493" i="5"/>
  <c r="AE493" i="5"/>
  <c r="AF493" i="5"/>
  <c r="AG493" i="5"/>
  <c r="AH493" i="5"/>
  <c r="AI493" i="5"/>
  <c r="AJ493" i="5"/>
  <c r="AK493" i="5"/>
  <c r="AL493" i="5"/>
  <c r="AM493" i="5"/>
  <c r="AN493" i="5"/>
  <c r="AO493" i="5"/>
  <c r="AP493" i="5"/>
  <c r="AQ493" i="5"/>
  <c r="AR493" i="5"/>
  <c r="AS493" i="5"/>
  <c r="AT493" i="5"/>
  <c r="AU493" i="5"/>
  <c r="AV493" i="5"/>
  <c r="AW493" i="5"/>
  <c r="AX493" i="5"/>
  <c r="AY493" i="5"/>
  <c r="O494" i="5"/>
  <c r="P494" i="5"/>
  <c r="Q494" i="5"/>
  <c r="R494" i="5"/>
  <c r="S494" i="5"/>
  <c r="T494" i="5"/>
  <c r="U494" i="5"/>
  <c r="V494" i="5"/>
  <c r="W494" i="5"/>
  <c r="X494" i="5"/>
  <c r="Y494" i="5"/>
  <c r="Z494" i="5"/>
  <c r="AA494" i="5"/>
  <c r="AB494" i="5"/>
  <c r="AC494" i="5"/>
  <c r="AD494" i="5"/>
  <c r="AE494" i="5"/>
  <c r="AF494" i="5"/>
  <c r="AG494" i="5"/>
  <c r="AH494" i="5"/>
  <c r="AI494" i="5"/>
  <c r="AJ494" i="5"/>
  <c r="AK494" i="5"/>
  <c r="AL494" i="5"/>
  <c r="AM494" i="5"/>
  <c r="AN494" i="5"/>
  <c r="AO494" i="5"/>
  <c r="AP494" i="5"/>
  <c r="AQ494" i="5"/>
  <c r="AR494" i="5"/>
  <c r="AS494" i="5"/>
  <c r="AT494" i="5"/>
  <c r="AU494" i="5"/>
  <c r="AV494" i="5"/>
  <c r="AW494" i="5"/>
  <c r="AX494" i="5"/>
  <c r="AY494" i="5"/>
  <c r="O495" i="5"/>
  <c r="P495" i="5"/>
  <c r="Q495" i="5"/>
  <c r="R495" i="5"/>
  <c r="S495" i="5"/>
  <c r="T495" i="5"/>
  <c r="U495" i="5"/>
  <c r="V495" i="5"/>
  <c r="W495" i="5"/>
  <c r="X495" i="5"/>
  <c r="Y495" i="5"/>
  <c r="Z495" i="5"/>
  <c r="AA495" i="5"/>
  <c r="AB495" i="5"/>
  <c r="AC495" i="5"/>
  <c r="AD495" i="5"/>
  <c r="AE495" i="5"/>
  <c r="AF495" i="5"/>
  <c r="AG495" i="5"/>
  <c r="AH495" i="5"/>
  <c r="AI495" i="5"/>
  <c r="AJ495" i="5"/>
  <c r="AK495" i="5"/>
  <c r="AL495" i="5"/>
  <c r="AM495" i="5"/>
  <c r="AN495" i="5"/>
  <c r="AO495" i="5"/>
  <c r="AP495" i="5"/>
  <c r="AQ495" i="5"/>
  <c r="AR495" i="5"/>
  <c r="AS495" i="5"/>
  <c r="AT495" i="5"/>
  <c r="AU495" i="5"/>
  <c r="AV495" i="5"/>
  <c r="AW495" i="5"/>
  <c r="AX495" i="5"/>
  <c r="AY495" i="5"/>
  <c r="O496" i="5"/>
  <c r="B496" i="5" s="1"/>
  <c r="P496" i="5"/>
  <c r="Q496" i="5"/>
  <c r="R496" i="5"/>
  <c r="S496" i="5"/>
  <c r="T496" i="5"/>
  <c r="U496" i="5"/>
  <c r="V496" i="5"/>
  <c r="W496" i="5"/>
  <c r="X496" i="5"/>
  <c r="Y496" i="5"/>
  <c r="Z496" i="5"/>
  <c r="AA496" i="5"/>
  <c r="AB496" i="5"/>
  <c r="AC496" i="5"/>
  <c r="AD496" i="5"/>
  <c r="AE496" i="5"/>
  <c r="AF496" i="5"/>
  <c r="AG496" i="5"/>
  <c r="AH496" i="5"/>
  <c r="AI496" i="5"/>
  <c r="AJ496" i="5"/>
  <c r="AK496" i="5"/>
  <c r="AL496" i="5"/>
  <c r="AM496" i="5"/>
  <c r="AN496" i="5"/>
  <c r="AO496" i="5"/>
  <c r="AP496" i="5"/>
  <c r="AQ496" i="5"/>
  <c r="AR496" i="5"/>
  <c r="AS496" i="5"/>
  <c r="AT496" i="5"/>
  <c r="AU496" i="5"/>
  <c r="AV496" i="5"/>
  <c r="AW496" i="5"/>
  <c r="AX496" i="5"/>
  <c r="AY496" i="5"/>
  <c r="O497" i="5"/>
  <c r="P497" i="5"/>
  <c r="Q497" i="5"/>
  <c r="R497" i="5"/>
  <c r="S497" i="5"/>
  <c r="T497" i="5"/>
  <c r="U497" i="5"/>
  <c r="V497" i="5"/>
  <c r="W497" i="5"/>
  <c r="X497" i="5"/>
  <c r="Y497" i="5"/>
  <c r="Z497" i="5"/>
  <c r="AA497" i="5"/>
  <c r="AB497" i="5"/>
  <c r="AC497" i="5"/>
  <c r="AD497" i="5"/>
  <c r="AE497" i="5"/>
  <c r="AF497" i="5"/>
  <c r="AG497" i="5"/>
  <c r="AH497" i="5"/>
  <c r="AI497" i="5"/>
  <c r="AJ497" i="5"/>
  <c r="AK497" i="5"/>
  <c r="AL497" i="5"/>
  <c r="AM497" i="5"/>
  <c r="AN497" i="5"/>
  <c r="AO497" i="5"/>
  <c r="AP497" i="5"/>
  <c r="AQ497" i="5"/>
  <c r="AR497" i="5"/>
  <c r="AS497" i="5"/>
  <c r="AT497" i="5"/>
  <c r="AU497" i="5"/>
  <c r="AV497" i="5"/>
  <c r="AW497" i="5"/>
  <c r="AX497" i="5"/>
  <c r="AY497" i="5"/>
  <c r="O498" i="5"/>
  <c r="P498" i="5"/>
  <c r="Q498" i="5"/>
  <c r="R498" i="5"/>
  <c r="S498" i="5"/>
  <c r="T498" i="5"/>
  <c r="U498" i="5"/>
  <c r="V498" i="5"/>
  <c r="W498" i="5"/>
  <c r="X498" i="5"/>
  <c r="Y498" i="5"/>
  <c r="Z498" i="5"/>
  <c r="AA498" i="5"/>
  <c r="AB498" i="5"/>
  <c r="AC498" i="5"/>
  <c r="AD498" i="5"/>
  <c r="AE498" i="5"/>
  <c r="AF498" i="5"/>
  <c r="AG498" i="5"/>
  <c r="AH498" i="5"/>
  <c r="AI498" i="5"/>
  <c r="AJ498" i="5"/>
  <c r="AK498" i="5"/>
  <c r="AL498" i="5"/>
  <c r="AM498" i="5"/>
  <c r="AN498" i="5"/>
  <c r="AO498" i="5"/>
  <c r="AP498" i="5"/>
  <c r="AQ498" i="5"/>
  <c r="AR498" i="5"/>
  <c r="AS498" i="5"/>
  <c r="AT498" i="5"/>
  <c r="AU498" i="5"/>
  <c r="AV498" i="5"/>
  <c r="AW498" i="5"/>
  <c r="AX498" i="5"/>
  <c r="AY498" i="5"/>
  <c r="O499" i="5"/>
  <c r="P499" i="5"/>
  <c r="Q499" i="5"/>
  <c r="R499" i="5"/>
  <c r="S499" i="5"/>
  <c r="T499" i="5"/>
  <c r="U499" i="5"/>
  <c r="V499" i="5"/>
  <c r="W499" i="5"/>
  <c r="X499" i="5"/>
  <c r="Y499" i="5"/>
  <c r="Z499" i="5"/>
  <c r="AA499" i="5"/>
  <c r="AB499" i="5"/>
  <c r="AC499" i="5"/>
  <c r="AD499" i="5"/>
  <c r="AE499" i="5"/>
  <c r="AF499" i="5"/>
  <c r="AG499" i="5"/>
  <c r="AH499" i="5"/>
  <c r="AI499" i="5"/>
  <c r="AJ499" i="5"/>
  <c r="AK499" i="5"/>
  <c r="AL499" i="5"/>
  <c r="AM499" i="5"/>
  <c r="AN499" i="5"/>
  <c r="AO499" i="5"/>
  <c r="AP499" i="5"/>
  <c r="AQ499" i="5"/>
  <c r="AR499" i="5"/>
  <c r="AS499" i="5"/>
  <c r="AT499" i="5"/>
  <c r="AU499" i="5"/>
  <c r="AV499" i="5"/>
  <c r="AW499" i="5"/>
  <c r="AX499" i="5"/>
  <c r="AY499" i="5"/>
  <c r="O500" i="5"/>
  <c r="K500" i="5" s="1"/>
  <c r="L500" i="5" s="1"/>
  <c r="P500" i="5"/>
  <c r="Q500" i="5"/>
  <c r="R500" i="5"/>
  <c r="S500" i="5"/>
  <c r="T500" i="5"/>
  <c r="U500" i="5"/>
  <c r="V500" i="5"/>
  <c r="W500" i="5"/>
  <c r="X500" i="5"/>
  <c r="Y500" i="5"/>
  <c r="Z500" i="5"/>
  <c r="AA500" i="5"/>
  <c r="AB500" i="5"/>
  <c r="AC500" i="5"/>
  <c r="AD500" i="5"/>
  <c r="AE500" i="5"/>
  <c r="AF500" i="5"/>
  <c r="AG500" i="5"/>
  <c r="AH500" i="5"/>
  <c r="AI500" i="5"/>
  <c r="AJ500" i="5"/>
  <c r="AK500" i="5"/>
  <c r="AL500" i="5"/>
  <c r="AM500" i="5"/>
  <c r="AN500" i="5"/>
  <c r="AO500" i="5"/>
  <c r="AP500" i="5"/>
  <c r="AQ500" i="5"/>
  <c r="AR500" i="5"/>
  <c r="AS500" i="5"/>
  <c r="AT500" i="5"/>
  <c r="AU500" i="5"/>
  <c r="AV500" i="5"/>
  <c r="AW500" i="5"/>
  <c r="AX500" i="5"/>
  <c r="AY500" i="5"/>
  <c r="O501" i="5"/>
  <c r="P501" i="5"/>
  <c r="Q501" i="5"/>
  <c r="R501" i="5"/>
  <c r="S501" i="5"/>
  <c r="T501" i="5"/>
  <c r="U501" i="5"/>
  <c r="V501" i="5"/>
  <c r="W501" i="5"/>
  <c r="X501" i="5"/>
  <c r="Y501" i="5"/>
  <c r="Z501" i="5"/>
  <c r="AA501" i="5"/>
  <c r="AB501" i="5"/>
  <c r="AC501" i="5"/>
  <c r="AD501" i="5"/>
  <c r="AE501" i="5"/>
  <c r="AF501" i="5"/>
  <c r="AG501" i="5"/>
  <c r="AH501" i="5"/>
  <c r="AI501" i="5"/>
  <c r="AJ501" i="5"/>
  <c r="AK501" i="5"/>
  <c r="AL501" i="5"/>
  <c r="AM501" i="5"/>
  <c r="AN501" i="5"/>
  <c r="AO501" i="5"/>
  <c r="AP501" i="5"/>
  <c r="AQ501" i="5"/>
  <c r="AR501" i="5"/>
  <c r="AS501" i="5"/>
  <c r="AT501" i="5"/>
  <c r="AU501" i="5"/>
  <c r="AV501" i="5"/>
  <c r="AW501" i="5"/>
  <c r="AX501" i="5"/>
  <c r="AY501" i="5"/>
  <c r="O502" i="5"/>
  <c r="K502" i="5"/>
  <c r="L502" i="5" s="1"/>
  <c r="P502" i="5"/>
  <c r="Q502" i="5"/>
  <c r="R502" i="5"/>
  <c r="S502" i="5"/>
  <c r="T502" i="5"/>
  <c r="U502" i="5"/>
  <c r="V502" i="5"/>
  <c r="W502" i="5"/>
  <c r="X502" i="5"/>
  <c r="Y502" i="5"/>
  <c r="Z502" i="5"/>
  <c r="AA502" i="5"/>
  <c r="AB502" i="5"/>
  <c r="AC502" i="5"/>
  <c r="AD502" i="5"/>
  <c r="AE502" i="5"/>
  <c r="AF502" i="5"/>
  <c r="AG502" i="5"/>
  <c r="AH502" i="5"/>
  <c r="AI502" i="5"/>
  <c r="AJ502" i="5"/>
  <c r="AK502" i="5"/>
  <c r="AL502" i="5"/>
  <c r="AM502" i="5"/>
  <c r="AN502" i="5"/>
  <c r="AO502" i="5"/>
  <c r="AP502" i="5"/>
  <c r="AQ502" i="5"/>
  <c r="AR502" i="5"/>
  <c r="AS502" i="5"/>
  <c r="AT502" i="5"/>
  <c r="AU502" i="5"/>
  <c r="AV502" i="5"/>
  <c r="AW502" i="5"/>
  <c r="AX502" i="5"/>
  <c r="AY502" i="5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10" i="1"/>
  <c r="G10" i="1" s="1"/>
  <c r="B1" i="1"/>
  <c r="K37" i="5"/>
  <c r="L37" i="5" s="1"/>
  <c r="K40" i="5"/>
  <c r="L40" i="5" s="1"/>
  <c r="K45" i="5"/>
  <c r="L45" i="5" s="1"/>
  <c r="K48" i="5"/>
  <c r="L48" i="5" s="1"/>
  <c r="K57" i="5"/>
  <c r="L57" i="5" s="1"/>
  <c r="K59" i="5"/>
  <c r="L59" i="5" s="1"/>
  <c r="K68" i="5"/>
  <c r="L68" i="5" s="1"/>
  <c r="K69" i="5"/>
  <c r="L69" i="5" s="1"/>
  <c r="K84" i="5"/>
  <c r="L84" i="5" s="1"/>
  <c r="K88" i="5"/>
  <c r="L88" i="5" s="1"/>
  <c r="K97" i="5"/>
  <c r="L97" i="5" s="1"/>
  <c r="K101" i="5"/>
  <c r="L101" i="5" s="1"/>
  <c r="K105" i="5"/>
  <c r="L105" i="5" s="1"/>
  <c r="K111" i="5"/>
  <c r="L111" i="5" s="1"/>
  <c r="K113" i="5"/>
  <c r="L113" i="5" s="1"/>
  <c r="K117" i="5"/>
  <c r="L117" i="5" s="1"/>
  <c r="K120" i="5"/>
  <c r="L120" i="5" s="1"/>
  <c r="K123" i="5"/>
  <c r="L123" i="5" s="1"/>
  <c r="K128" i="5"/>
  <c r="L128" i="5" s="1"/>
  <c r="K129" i="5"/>
  <c r="L129" i="5" s="1"/>
  <c r="K135" i="5"/>
  <c r="L135" i="5" s="1"/>
  <c r="B167" i="5"/>
  <c r="K139" i="5"/>
  <c r="L139" i="5" s="1"/>
  <c r="K143" i="5"/>
  <c r="L143" i="5" s="1"/>
  <c r="K144" i="5"/>
  <c r="L144" i="5" s="1"/>
  <c r="K145" i="5"/>
  <c r="L145" i="5" s="1"/>
  <c r="K161" i="5"/>
  <c r="L161" i="5" s="1"/>
  <c r="K164" i="5"/>
  <c r="L164" i="5" s="1"/>
  <c r="K169" i="5"/>
  <c r="L169" i="5" s="1"/>
  <c r="K172" i="5"/>
  <c r="L172" i="5" s="1"/>
  <c r="K175" i="5"/>
  <c r="L175" i="5" s="1"/>
  <c r="K176" i="5"/>
  <c r="L176" i="5" s="1"/>
  <c r="K177" i="5"/>
  <c r="L177" i="5" s="1"/>
  <c r="K180" i="5"/>
  <c r="L180" i="5" s="1"/>
  <c r="K199" i="5"/>
  <c r="L199" i="5" s="1"/>
  <c r="K200" i="5"/>
  <c r="L200" i="5" s="1"/>
  <c r="K201" i="5"/>
  <c r="L201" i="5" s="1"/>
  <c r="K205" i="5"/>
  <c r="L205" i="5" s="1"/>
  <c r="K208" i="5"/>
  <c r="L208" i="5" s="1"/>
  <c r="K216" i="5"/>
  <c r="L216" i="5" s="1"/>
  <c r="K223" i="5"/>
  <c r="L223" i="5" s="1"/>
  <c r="K225" i="5"/>
  <c r="L225" i="5" s="1"/>
  <c r="K231" i="5"/>
  <c r="L231" i="5" s="1"/>
  <c r="K239" i="5"/>
  <c r="L239" i="5" s="1"/>
  <c r="K240" i="5"/>
  <c r="L240" i="5" s="1"/>
  <c r="K241" i="5"/>
  <c r="L241" i="5" s="1"/>
  <c r="K249" i="5"/>
  <c r="L249" i="5" s="1"/>
  <c r="K263" i="5"/>
  <c r="L263" i="5" s="1"/>
  <c r="K279" i="5"/>
  <c r="L279" i="5" s="1"/>
  <c r="K280" i="5"/>
  <c r="L280" i="5" s="1"/>
  <c r="K281" i="5"/>
  <c r="L281" i="5" s="1"/>
  <c r="K292" i="5"/>
  <c r="L292" i="5" s="1"/>
  <c r="K301" i="5"/>
  <c r="L301" i="5" s="1"/>
  <c r="K308" i="5"/>
  <c r="L308" i="5" s="1"/>
  <c r="K309" i="5"/>
  <c r="L309" i="5" s="1"/>
  <c r="K311" i="5"/>
  <c r="L311" i="5" s="1"/>
  <c r="K312" i="5"/>
  <c r="L312" i="5" s="1"/>
  <c r="K317" i="5"/>
  <c r="L317" i="5" s="1"/>
  <c r="B351" i="5"/>
  <c r="K321" i="5"/>
  <c r="L321" i="5" s="1"/>
  <c r="K361" i="5"/>
  <c r="L361" i="5" s="1"/>
  <c r="K364" i="5"/>
  <c r="L364" i="5" s="1"/>
  <c r="K377" i="5"/>
  <c r="L377" i="5" s="1"/>
  <c r="K379" i="5"/>
  <c r="L379" i="5" s="1"/>
  <c r="K385" i="5"/>
  <c r="L385" i="5" s="1"/>
  <c r="K389" i="5"/>
  <c r="L389" i="5" s="1"/>
  <c r="K397" i="5"/>
  <c r="L397" i="5" s="1"/>
  <c r="K411" i="5"/>
  <c r="L411" i="5" s="1"/>
  <c r="K428" i="5"/>
  <c r="L428" i="5" s="1"/>
  <c r="K431" i="5"/>
  <c r="L431" i="5" s="1"/>
  <c r="K433" i="5"/>
  <c r="L433" i="5" s="1"/>
  <c r="K437" i="5"/>
  <c r="L437" i="5" s="1"/>
  <c r="K452" i="5"/>
  <c r="L452" i="5" s="1"/>
  <c r="B45" i="5"/>
  <c r="B48" i="5"/>
  <c r="B51" i="5"/>
  <c r="B57" i="5"/>
  <c r="B68" i="5"/>
  <c r="B69" i="5"/>
  <c r="B85" i="5"/>
  <c r="B89" i="5"/>
  <c r="B93" i="5"/>
  <c r="B97" i="5"/>
  <c r="B101" i="5"/>
  <c r="B104" i="5"/>
  <c r="B113" i="5"/>
  <c r="B117" i="5"/>
  <c r="B121" i="5"/>
  <c r="B129" i="5"/>
  <c r="B137" i="5"/>
  <c r="B145" i="5"/>
  <c r="B147" i="5"/>
  <c r="B149" i="5"/>
  <c r="B153" i="5"/>
  <c r="B161" i="5"/>
  <c r="B169" i="5"/>
  <c r="B175" i="5"/>
  <c r="B177" i="5"/>
  <c r="B185" i="5"/>
  <c r="B213" i="5"/>
  <c r="B225" i="5"/>
  <c r="B233" i="5"/>
  <c r="B241" i="5"/>
  <c r="B245" i="5"/>
  <c r="B248" i="5"/>
  <c r="B249" i="5"/>
  <c r="B257" i="5"/>
  <c r="B259" i="5"/>
  <c r="B273" i="5"/>
  <c r="B277" i="5"/>
  <c r="B281" i="5"/>
  <c r="B285" i="5"/>
  <c r="B289" i="5"/>
  <c r="B293" i="5"/>
  <c r="B305" i="5"/>
  <c r="B309" i="5"/>
  <c r="B311" i="5"/>
  <c r="B317" i="5"/>
  <c r="B377" i="5"/>
  <c r="B425" i="5"/>
  <c r="B37" i="5"/>
  <c r="C37" i="5"/>
  <c r="K480" i="5"/>
  <c r="L480" i="5" s="1"/>
  <c r="K485" i="5"/>
  <c r="L485" i="5" s="1"/>
  <c r="B475" i="5"/>
  <c r="BA1" i="1"/>
  <c r="AN1" i="1"/>
  <c r="AO1" i="1"/>
  <c r="AP1" i="1"/>
  <c r="AS1" i="1"/>
  <c r="AT1" i="1"/>
  <c r="AV1" i="1"/>
  <c r="AW1" i="1"/>
  <c r="AX1" i="1"/>
  <c r="AY1" i="1"/>
  <c r="R1" i="1"/>
  <c r="X1" i="1"/>
  <c r="AG1" i="1"/>
  <c r="AH1" i="1"/>
  <c r="Q1" i="1"/>
  <c r="BS1" i="1"/>
  <c r="BT1" i="1"/>
  <c r="BU1" i="1"/>
  <c r="BV1" i="1"/>
  <c r="J3" i="1"/>
  <c r="C5" i="1"/>
  <c r="C3" i="1"/>
  <c r="C4" i="1"/>
  <c r="C6" i="1"/>
  <c r="C463" i="5"/>
  <c r="C317" i="5"/>
  <c r="C247" i="5"/>
  <c r="C203" i="5"/>
  <c r="C175" i="5"/>
  <c r="C107" i="5"/>
  <c r="B291" i="5"/>
  <c r="B227" i="5"/>
  <c r="B211" i="5"/>
  <c r="B195" i="5"/>
  <c r="B139" i="5"/>
  <c r="B135" i="5"/>
  <c r="B131" i="5"/>
  <c r="B216" i="5"/>
  <c r="B208" i="5"/>
  <c r="B304" i="5"/>
  <c r="B268" i="5"/>
  <c r="B236" i="5"/>
  <c r="B200" i="5"/>
  <c r="B184" i="5"/>
  <c r="B176" i="5"/>
  <c r="B172" i="5"/>
  <c r="B164" i="5"/>
  <c r="B144" i="5"/>
  <c r="B140" i="5"/>
  <c r="B132" i="5"/>
  <c r="B128" i="5"/>
  <c r="B112" i="5"/>
  <c r="B228" i="5"/>
  <c r="B263" i="5"/>
  <c r="H263" i="5" s="1"/>
  <c r="B239" i="5"/>
  <c r="B231" i="5"/>
  <c r="C231" i="5"/>
  <c r="B463" i="5"/>
  <c r="C279" i="5"/>
  <c r="B267" i="5"/>
  <c r="B431" i="5"/>
  <c r="B312" i="5"/>
  <c r="B272" i="5"/>
  <c r="B243" i="5"/>
  <c r="B224" i="5"/>
  <c r="C167" i="5"/>
  <c r="B111" i="5"/>
  <c r="C111" i="5"/>
  <c r="B99" i="5"/>
  <c r="B95" i="5"/>
  <c r="C95" i="5"/>
  <c r="B71" i="5"/>
  <c r="B63" i="5"/>
  <c r="B59" i="5"/>
  <c r="C123" i="5"/>
  <c r="B107" i="5"/>
  <c r="B96" i="5"/>
  <c r="B72" i="5"/>
  <c r="B40" i="5"/>
  <c r="B433" i="5"/>
  <c r="B440" i="5"/>
  <c r="K409" i="5"/>
  <c r="L409" i="5" s="1"/>
  <c r="B437" i="5"/>
  <c r="B436" i="5"/>
  <c r="B435" i="5"/>
  <c r="K404" i="5"/>
  <c r="L404" i="5" s="1"/>
  <c r="K469" i="5"/>
  <c r="L469" i="5" s="1"/>
  <c r="K497" i="5"/>
  <c r="L497" i="5" s="1"/>
  <c r="K456" i="5"/>
  <c r="L456" i="5" s="1"/>
  <c r="K453" i="5"/>
  <c r="L453" i="5" s="1"/>
  <c r="K429" i="5"/>
  <c r="L429" i="5" s="1"/>
  <c r="B456" i="5"/>
  <c r="K425" i="5"/>
  <c r="L425" i="5" s="1"/>
  <c r="B404" i="5"/>
  <c r="K373" i="5"/>
  <c r="L373" i="5" s="1"/>
  <c r="B403" i="5"/>
  <c r="K371" i="5"/>
  <c r="L371" i="5" s="1"/>
  <c r="B397" i="5"/>
  <c r="B357" i="5"/>
  <c r="B355" i="5"/>
  <c r="K324" i="5"/>
  <c r="L324" i="5" s="1"/>
  <c r="B353" i="5"/>
  <c r="B453" i="5"/>
  <c r="B481" i="5"/>
  <c r="B349" i="5"/>
  <c r="B324" i="5"/>
  <c r="K293" i="5"/>
  <c r="L293" i="5" s="1"/>
  <c r="B321" i="5"/>
  <c r="K289" i="5"/>
  <c r="L289" i="5" s="1"/>
  <c r="K287" i="5"/>
  <c r="L287" i="5" s="1"/>
  <c r="K233" i="5"/>
  <c r="L233" i="5" s="1"/>
  <c r="B260" i="5"/>
  <c r="K227" i="5"/>
  <c r="L227" i="5" s="1"/>
  <c r="B255" i="5"/>
  <c r="K224" i="5"/>
  <c r="L224" i="5" s="1"/>
  <c r="K187" i="5"/>
  <c r="L187" i="5" s="1"/>
  <c r="B152" i="5"/>
  <c r="C141" i="5"/>
  <c r="B56" i="5"/>
  <c r="K357" i="5"/>
  <c r="L357" i="5" s="1"/>
  <c r="B387" i="5"/>
  <c r="K211" i="5"/>
  <c r="L211" i="5" s="1"/>
  <c r="K183" i="5"/>
  <c r="L183" i="5" s="1"/>
  <c r="C201" i="5"/>
  <c r="B199" i="5"/>
  <c r="K168" i="5"/>
  <c r="L168" i="5" s="1"/>
  <c r="C129" i="5"/>
  <c r="K95" i="5"/>
  <c r="L95" i="5" s="1"/>
  <c r="B120" i="5"/>
  <c r="K89" i="5"/>
  <c r="L89" i="5" s="1"/>
  <c r="B480" i="5"/>
  <c r="K384" i="5"/>
  <c r="L384" i="5" s="1"/>
  <c r="B407" i="5"/>
  <c r="K376" i="5"/>
  <c r="L376" i="5" s="1"/>
  <c r="K351" i="5"/>
  <c r="L351" i="5" s="1"/>
  <c r="K349" i="5"/>
  <c r="L349" i="5" s="1"/>
  <c r="K347" i="5"/>
  <c r="L347" i="5" s="1"/>
  <c r="B376" i="5"/>
  <c r="B371" i="5"/>
  <c r="K340" i="5"/>
  <c r="L340" i="5" s="1"/>
  <c r="K333" i="5"/>
  <c r="L333" i="5" s="1"/>
  <c r="B361" i="5"/>
  <c r="B359" i="5"/>
  <c r="B335" i="5"/>
  <c r="K304" i="5"/>
  <c r="L304" i="5" s="1"/>
  <c r="B332" i="5"/>
  <c r="B308" i="5"/>
  <c r="K272" i="5"/>
  <c r="L272" i="5" s="1"/>
  <c r="B235" i="5"/>
  <c r="K167" i="5"/>
  <c r="L167" i="5" s="1"/>
  <c r="K153" i="5"/>
  <c r="L153" i="5" s="1"/>
  <c r="K152" i="5"/>
  <c r="L152" i="5" s="1"/>
  <c r="B181" i="5"/>
  <c r="B180" i="5"/>
  <c r="K149" i="5"/>
  <c r="L149" i="5" s="1"/>
  <c r="C147" i="5"/>
  <c r="B116" i="5"/>
  <c r="K85" i="5"/>
  <c r="L85" i="5" s="1"/>
  <c r="B84" i="5"/>
  <c r="K300" i="5"/>
  <c r="L300" i="5" s="1"/>
  <c r="B292" i="5"/>
  <c r="B287" i="5"/>
  <c r="K256" i="5"/>
  <c r="L256" i="5" s="1"/>
  <c r="K252" i="5"/>
  <c r="L252" i="5" s="1"/>
  <c r="K248" i="5"/>
  <c r="L248" i="5" s="1"/>
  <c r="B276" i="5"/>
  <c r="K245" i="5"/>
  <c r="L245" i="5" s="1"/>
  <c r="K243" i="5"/>
  <c r="L243" i="5" s="1"/>
  <c r="K195" i="5"/>
  <c r="L195" i="5" s="1"/>
  <c r="K147" i="5"/>
  <c r="L147" i="5" s="1"/>
  <c r="B168" i="5"/>
  <c r="K137" i="5"/>
  <c r="L137" i="5" s="1"/>
  <c r="B497" i="5"/>
  <c r="B301" i="5"/>
  <c r="C499" i="5"/>
  <c r="C465" i="5"/>
  <c r="C281" i="5"/>
  <c r="C223" i="5"/>
  <c r="C427" i="5"/>
  <c r="C349" i="5"/>
  <c r="C305" i="5"/>
  <c r="C185" i="5"/>
  <c r="C125" i="5"/>
  <c r="C77" i="5"/>
  <c r="C385" i="5"/>
  <c r="B385" i="5"/>
  <c r="B420" i="5"/>
  <c r="B411" i="5"/>
  <c r="B495" i="5"/>
  <c r="B400" i="5"/>
  <c r="B469" i="5"/>
  <c r="B461" i="5"/>
  <c r="B333" i="5"/>
  <c r="B501" i="5"/>
  <c r="B379" i="5"/>
  <c r="C321" i="5"/>
  <c r="C327" i="5"/>
  <c r="C277" i="5"/>
  <c r="C249" i="5"/>
  <c r="C245" i="5"/>
  <c r="C237" i="5"/>
  <c r="C425" i="5"/>
  <c r="C361" i="5"/>
  <c r="C355" i="5"/>
  <c r="C257" i="5"/>
  <c r="C241" i="5"/>
  <c r="C225" i="5"/>
  <c r="C193" i="5"/>
  <c r="C169" i="5"/>
  <c r="C97" i="5"/>
  <c r="C273" i="5"/>
  <c r="C253" i="5"/>
  <c r="C161" i="5"/>
  <c r="C69" i="5"/>
  <c r="B88" i="5"/>
  <c r="B419" i="5"/>
  <c r="C419" i="5"/>
  <c r="B329" i="5"/>
  <c r="B314" i="5"/>
  <c r="B196" i="5"/>
  <c r="B256" i="5"/>
  <c r="C145" i="5"/>
  <c r="C117" i="5"/>
  <c r="B240" i="5"/>
  <c r="C53" i="5"/>
  <c r="B502" i="5"/>
  <c r="B490" i="5"/>
  <c r="K490" i="5"/>
  <c r="L490" i="5" s="1"/>
  <c r="C438" i="5"/>
  <c r="B374" i="5"/>
  <c r="K374" i="5"/>
  <c r="L374" i="5" s="1"/>
  <c r="K366" i="5"/>
  <c r="L366" i="5" s="1"/>
  <c r="B366" i="5"/>
  <c r="K362" i="5"/>
  <c r="L362" i="5" s="1"/>
  <c r="B362" i="5"/>
  <c r="B358" i="5"/>
  <c r="C358" i="5"/>
  <c r="K358" i="5"/>
  <c r="L358" i="5" s="1"/>
  <c r="C346" i="5"/>
  <c r="K338" i="5"/>
  <c r="L338" i="5" s="1"/>
  <c r="B338" i="5"/>
  <c r="C338" i="5"/>
  <c r="B326" i="5"/>
  <c r="K326" i="5"/>
  <c r="L326" i="5" s="1"/>
  <c r="C326" i="5"/>
  <c r="K318" i="5"/>
  <c r="L318" i="5" s="1"/>
  <c r="K302" i="5"/>
  <c r="L302" i="5" s="1"/>
  <c r="B302" i="5"/>
  <c r="C302" i="5"/>
  <c r="K298" i="5"/>
  <c r="L298" i="5" s="1"/>
  <c r="B298" i="5"/>
  <c r="B254" i="5"/>
  <c r="K254" i="5"/>
  <c r="L254" i="5" s="1"/>
  <c r="C254" i="5"/>
  <c r="B234" i="5"/>
  <c r="K234" i="5"/>
  <c r="L234" i="5" s="1"/>
  <c r="C234" i="5"/>
  <c r="B214" i="5"/>
  <c r="K214" i="5"/>
  <c r="L214" i="5" s="1"/>
  <c r="K206" i="5"/>
  <c r="L206" i="5" s="1"/>
  <c r="B206" i="5"/>
  <c r="B202" i="5"/>
  <c r="K202" i="5"/>
  <c r="L202" i="5" s="1"/>
  <c r="C202" i="5"/>
  <c r="C194" i="5"/>
  <c r="K182" i="5"/>
  <c r="L182" i="5" s="1"/>
  <c r="C182" i="5"/>
  <c r="K178" i="5"/>
  <c r="L178" i="5" s="1"/>
  <c r="B178" i="5"/>
  <c r="C178" i="5"/>
  <c r="B170" i="5"/>
  <c r="K170" i="5"/>
  <c r="L170" i="5" s="1"/>
  <c r="C170" i="5"/>
  <c r="K158" i="5"/>
  <c r="L158" i="5" s="1"/>
  <c r="C158" i="5"/>
  <c r="K138" i="5"/>
  <c r="L138" i="5" s="1"/>
  <c r="B138" i="5"/>
  <c r="C138" i="5"/>
  <c r="B134" i="5"/>
  <c r="K134" i="5"/>
  <c r="L134" i="5" s="1"/>
  <c r="K130" i="5"/>
  <c r="L130" i="5" s="1"/>
  <c r="B130" i="5"/>
  <c r="K122" i="5"/>
  <c r="L122" i="5" s="1"/>
  <c r="B122" i="5"/>
  <c r="C122" i="5"/>
  <c r="B118" i="5"/>
  <c r="K118" i="5"/>
  <c r="L118" i="5" s="1"/>
  <c r="C118" i="5"/>
  <c r="K102" i="5"/>
  <c r="L102" i="5" s="1"/>
  <c r="B90" i="5"/>
  <c r="K62" i="5"/>
  <c r="L62" i="5" s="1"/>
  <c r="B62" i="5"/>
  <c r="B30" i="5"/>
  <c r="C458" i="5"/>
  <c r="K450" i="5"/>
  <c r="L450" i="5" s="1"/>
  <c r="C450" i="5"/>
  <c r="K442" i="5"/>
  <c r="L442" i="5" s="1"/>
  <c r="C442" i="5"/>
  <c r="K410" i="5"/>
  <c r="L410" i="5" s="1"/>
  <c r="B410" i="5"/>
  <c r="B350" i="5"/>
  <c r="C350" i="5"/>
  <c r="K330" i="5"/>
  <c r="L330" i="5" s="1"/>
  <c r="K314" i="5"/>
  <c r="L314" i="5" s="1"/>
  <c r="C314" i="5"/>
  <c r="K310" i="5"/>
  <c r="L310" i="5" s="1"/>
  <c r="C294" i="5"/>
  <c r="B278" i="5"/>
  <c r="K278" i="5"/>
  <c r="L278" i="5" s="1"/>
  <c r="C278" i="5"/>
  <c r="K274" i="5"/>
  <c r="L274" i="5" s="1"/>
  <c r="B274" i="5"/>
  <c r="K262" i="5"/>
  <c r="L262" i="5" s="1"/>
  <c r="B262" i="5"/>
  <c r="C262" i="5"/>
  <c r="C246" i="5"/>
  <c r="K238" i="5"/>
  <c r="L238" i="5" s="1"/>
  <c r="B238" i="5"/>
  <c r="C238" i="5"/>
  <c r="B230" i="5"/>
  <c r="K230" i="5"/>
  <c r="L230" i="5" s="1"/>
  <c r="B226" i="5"/>
  <c r="C226" i="5"/>
  <c r="B218" i="5"/>
  <c r="K218" i="5"/>
  <c r="L218" i="5" s="1"/>
  <c r="K198" i="5"/>
  <c r="L198" i="5" s="1"/>
  <c r="B186" i="5"/>
  <c r="K186" i="5"/>
  <c r="L186" i="5" s="1"/>
  <c r="B166" i="5"/>
  <c r="K166" i="5"/>
  <c r="L166" i="5" s="1"/>
  <c r="B162" i="5"/>
  <c r="B150" i="5"/>
  <c r="C150" i="5"/>
  <c r="K150" i="5"/>
  <c r="L150" i="5" s="1"/>
  <c r="K142" i="5"/>
  <c r="L142" i="5" s="1"/>
  <c r="B142" i="5"/>
  <c r="C142" i="5"/>
  <c r="B114" i="5"/>
  <c r="K114" i="5"/>
  <c r="L114" i="5" s="1"/>
  <c r="C114" i="5"/>
  <c r="K86" i="5"/>
  <c r="L86" i="5" s="1"/>
  <c r="B86" i="5"/>
  <c r="C86" i="5"/>
  <c r="K82" i="5"/>
  <c r="L82" i="5" s="1"/>
  <c r="B82" i="5"/>
  <c r="C82" i="5"/>
  <c r="C74" i="5"/>
  <c r="C70" i="5"/>
  <c r="B46" i="5"/>
  <c r="K38" i="5"/>
  <c r="L38" i="5" s="1"/>
  <c r="K34" i="5"/>
  <c r="L34" i="5" s="1"/>
  <c r="B34" i="5"/>
  <c r="C34" i="5"/>
  <c r="C230" i="5"/>
  <c r="C206" i="5"/>
  <c r="K494" i="5"/>
  <c r="L494" i="5" s="1"/>
  <c r="C494" i="5"/>
  <c r="B494" i="5"/>
  <c r="K470" i="5"/>
  <c r="L470" i="5" s="1"/>
  <c r="K446" i="5"/>
  <c r="L446" i="5" s="1"/>
  <c r="C446" i="5"/>
  <c r="K434" i="5"/>
  <c r="L434" i="5" s="1"/>
  <c r="B422" i="5"/>
  <c r="K422" i="5"/>
  <c r="L422" i="5" s="1"/>
  <c r="K406" i="5"/>
  <c r="L406" i="5" s="1"/>
  <c r="C406" i="5"/>
  <c r="B406" i="5"/>
  <c r="B394" i="5"/>
  <c r="K394" i="5"/>
  <c r="L394" i="5" s="1"/>
  <c r="C394" i="5"/>
  <c r="K390" i="5"/>
  <c r="L390" i="5" s="1"/>
  <c r="B390" i="5"/>
  <c r="B382" i="5"/>
  <c r="K382" i="5"/>
  <c r="L382" i="5" s="1"/>
  <c r="B378" i="5"/>
  <c r="K378" i="5"/>
  <c r="L378" i="5" s="1"/>
  <c r="C378" i="5"/>
  <c r="K342" i="5"/>
  <c r="L342" i="5" s="1"/>
  <c r="B342" i="5"/>
  <c r="B322" i="5"/>
  <c r="K322" i="5"/>
  <c r="L322" i="5" s="1"/>
  <c r="C322" i="5"/>
  <c r="B306" i="5"/>
  <c r="K306" i="5"/>
  <c r="L306" i="5" s="1"/>
  <c r="C306" i="5"/>
  <c r="B290" i="5"/>
  <c r="K290" i="5"/>
  <c r="L290" i="5" s="1"/>
  <c r="K286" i="5"/>
  <c r="L286" i="5" s="1"/>
  <c r="B286" i="5"/>
  <c r="B282" i="5"/>
  <c r="K282" i="5"/>
  <c r="L282" i="5" s="1"/>
  <c r="C282" i="5"/>
  <c r="K270" i="5"/>
  <c r="L270" i="5" s="1"/>
  <c r="B250" i="5"/>
  <c r="K250" i="5"/>
  <c r="L250" i="5" s="1"/>
  <c r="K242" i="5"/>
  <c r="L242" i="5" s="1"/>
  <c r="B242" i="5"/>
  <c r="C242" i="5"/>
  <c r="B190" i="5"/>
  <c r="K190" i="5"/>
  <c r="L190" i="5" s="1"/>
  <c r="B174" i="5"/>
  <c r="K174" i="5"/>
  <c r="L174" i="5" s="1"/>
  <c r="C174" i="5"/>
  <c r="K146" i="5"/>
  <c r="L146" i="5" s="1"/>
  <c r="K126" i="5"/>
  <c r="L126" i="5" s="1"/>
  <c r="B126" i="5"/>
  <c r="C126" i="5"/>
  <c r="B110" i="5"/>
  <c r="K110" i="5"/>
  <c r="L110" i="5" s="1"/>
  <c r="B106" i="5"/>
  <c r="B78" i="5"/>
  <c r="B66" i="5"/>
  <c r="B42" i="5"/>
  <c r="K42" i="5"/>
  <c r="L42" i="5" s="1"/>
  <c r="C492" i="5"/>
  <c r="B485" i="5"/>
  <c r="B472" i="5"/>
  <c r="K476" i="5"/>
  <c r="L476" i="5" s="1"/>
  <c r="B476" i="5"/>
  <c r="A34" i="1"/>
  <c r="A35" i="1"/>
  <c r="A36" i="1"/>
  <c r="H36" i="1" s="1"/>
  <c r="A37" i="1"/>
  <c r="A38" i="1"/>
  <c r="A39" i="1"/>
  <c r="A40" i="1"/>
  <c r="C336" i="5"/>
  <c r="B297" i="5"/>
  <c r="C295" i="5"/>
  <c r="K295" i="5"/>
  <c r="L295" i="5" s="1"/>
  <c r="B295" i="5"/>
  <c r="K346" i="5"/>
  <c r="L346" i="5" s="1"/>
  <c r="C472" i="5"/>
  <c r="B471" i="5"/>
  <c r="K471" i="5"/>
  <c r="L471" i="5" s="1"/>
  <c r="B384" i="5"/>
  <c r="C92" i="5"/>
  <c r="K92" i="5"/>
  <c r="L92" i="5" s="1"/>
  <c r="B92" i="5"/>
  <c r="K31" i="5"/>
  <c r="L31" i="5" s="1"/>
  <c r="B31" i="5"/>
  <c r="K94" i="5"/>
  <c r="L94" i="5" s="1"/>
  <c r="K222" i="5"/>
  <c r="L222" i="5" s="1"/>
  <c r="K474" i="5"/>
  <c r="L474" i="5" s="1"/>
  <c r="B424" i="5"/>
  <c r="C424" i="5"/>
  <c r="K424" i="5"/>
  <c r="L424" i="5" s="1"/>
  <c r="B296" i="5"/>
  <c r="K296" i="5"/>
  <c r="L296" i="5" s="1"/>
  <c r="K464" i="5"/>
  <c r="L464" i="5" s="1"/>
  <c r="B464" i="5"/>
  <c r="K344" i="5"/>
  <c r="L344" i="5" s="1"/>
  <c r="B344" i="5"/>
  <c r="K285" i="5"/>
  <c r="L285" i="5" s="1"/>
  <c r="K283" i="5"/>
  <c r="L283" i="5" s="1"/>
  <c r="B283" i="5"/>
  <c r="K157" i="5"/>
  <c r="L157" i="5" s="1"/>
  <c r="K155" i="5"/>
  <c r="L155" i="5" s="1"/>
  <c r="B155" i="5"/>
  <c r="C391" i="5"/>
  <c r="K391" i="5"/>
  <c r="L391" i="5" s="1"/>
  <c r="K345" i="5"/>
  <c r="L345" i="5" s="1"/>
  <c r="C345" i="5"/>
  <c r="B94" i="5"/>
  <c r="C222" i="5"/>
  <c r="B474" i="5"/>
  <c r="B477" i="5"/>
  <c r="B219" i="5"/>
  <c r="K219" i="5"/>
  <c r="L219" i="5" s="1"/>
  <c r="K455" i="5"/>
  <c r="L455" i="5" s="1"/>
  <c r="C448" i="5"/>
  <c r="B448" i="5"/>
  <c r="K408" i="5"/>
  <c r="L408" i="5" s="1"/>
  <c r="B408" i="5"/>
  <c r="C400" i="5"/>
  <c r="K400" i="5"/>
  <c r="L400" i="5" s="1"/>
  <c r="B360" i="5"/>
  <c r="C360" i="5"/>
  <c r="K360" i="5"/>
  <c r="L360" i="5" s="1"/>
  <c r="B327" i="5"/>
  <c r="K327" i="5"/>
  <c r="L327" i="5" s="1"/>
  <c r="C320" i="5"/>
  <c r="B320" i="5"/>
  <c r="K320" i="5"/>
  <c r="L320" i="5" s="1"/>
  <c r="K124" i="5"/>
  <c r="L124" i="5" s="1"/>
  <c r="B124" i="5"/>
  <c r="C408" i="5"/>
  <c r="K329" i="5"/>
  <c r="L329" i="5" s="1"/>
  <c r="K253" i="5"/>
  <c r="L253" i="5" s="1"/>
  <c r="B253" i="5"/>
  <c r="K251" i="5"/>
  <c r="L251" i="5" s="1"/>
  <c r="B251" i="5"/>
  <c r="C188" i="5"/>
  <c r="B187" i="5"/>
  <c r="C187" i="5"/>
  <c r="K125" i="5"/>
  <c r="L125" i="5" s="1"/>
  <c r="B125" i="5"/>
  <c r="C124" i="5"/>
  <c r="K313" i="5"/>
  <c r="L313" i="5" s="1"/>
  <c r="K203" i="5"/>
  <c r="L203" i="5" s="1"/>
  <c r="B203" i="5"/>
  <c r="K141" i="5"/>
  <c r="L141" i="5" s="1"/>
  <c r="B141" i="5"/>
  <c r="C140" i="5"/>
  <c r="K65" i="5"/>
  <c r="L65" i="5" s="1"/>
  <c r="B65" i="5"/>
  <c r="B484" i="5"/>
  <c r="C348" i="5"/>
  <c r="B49" i="5"/>
  <c r="C276" i="5"/>
  <c r="C260" i="5"/>
  <c r="C228" i="5"/>
  <c r="C144" i="5"/>
  <c r="C96" i="5"/>
  <c r="E24" i="1"/>
  <c r="C16" i="5"/>
  <c r="E16" i="5" s="1"/>
  <c r="B8" i="5"/>
  <c r="D8" i="5" s="1"/>
  <c r="A13" i="1"/>
  <c r="A14" i="1"/>
  <c r="G14" i="1" s="1"/>
  <c r="A15" i="1"/>
  <c r="A16" i="1"/>
  <c r="A17" i="1"/>
  <c r="A18" i="1"/>
  <c r="A19" i="1"/>
  <c r="A20" i="1"/>
  <c r="A21" i="1"/>
  <c r="A22" i="1"/>
  <c r="C26" i="1"/>
  <c r="C248" i="5"/>
  <c r="C236" i="5"/>
  <c r="B24" i="5"/>
  <c r="D24" i="5" s="1"/>
  <c r="F24" i="5" s="1"/>
  <c r="G24" i="5" s="1"/>
  <c r="C47" i="5"/>
  <c r="K81" i="5"/>
  <c r="L81" i="5" s="1"/>
  <c r="K54" i="5"/>
  <c r="L54" i="5" s="1"/>
  <c r="B70" i="5"/>
  <c r="B64" i="5"/>
  <c r="B55" i="5"/>
  <c r="C31" i="5"/>
  <c r="K58" i="5"/>
  <c r="L58" i="5" s="1"/>
  <c r="C75" i="5"/>
  <c r="B67" i="5"/>
  <c r="B32" i="5"/>
  <c r="C79" i="5"/>
  <c r="K79" i="5"/>
  <c r="L79" i="5" s="1"/>
  <c r="C76" i="5"/>
  <c r="K76" i="5"/>
  <c r="L76" i="5" s="1"/>
  <c r="C73" i="5"/>
  <c r="C72" i="5"/>
  <c r="K67" i="5"/>
  <c r="L67" i="5" s="1"/>
  <c r="C60" i="5"/>
  <c r="K60" i="5"/>
  <c r="L60" i="5" s="1"/>
  <c r="B60" i="5"/>
  <c r="C58" i="5"/>
  <c r="C55" i="5"/>
  <c r="K50" i="5"/>
  <c r="L50" i="5" s="1"/>
  <c r="C36" i="5"/>
  <c r="B36" i="5"/>
  <c r="C35" i="5"/>
  <c r="C33" i="5"/>
  <c r="B33" i="5"/>
  <c r="K24" i="5"/>
  <c r="L24" i="5" s="1"/>
  <c r="B17" i="5"/>
  <c r="D17" i="5" s="1"/>
  <c r="F17" i="5" s="1"/>
  <c r="G17" i="5" s="1"/>
  <c r="C17" i="5"/>
  <c r="E17" i="5" s="1"/>
  <c r="F27" i="1"/>
  <c r="B20" i="5"/>
  <c r="D20" i="5" s="1"/>
  <c r="E55" i="1"/>
  <c r="I55" i="1"/>
  <c r="B16" i="5"/>
  <c r="D16" i="5" s="1"/>
  <c r="H55" i="1"/>
  <c r="J55" i="1"/>
  <c r="I25" i="1"/>
  <c r="D55" i="1"/>
  <c r="K12" i="5"/>
  <c r="L12" i="5" s="1"/>
  <c r="B27" i="1"/>
  <c r="B192" i="5"/>
  <c r="K192" i="5"/>
  <c r="L192" i="5" s="1"/>
  <c r="K115" i="5"/>
  <c r="L115" i="5" s="1"/>
  <c r="B115" i="5"/>
  <c r="C115" i="5"/>
  <c r="B271" i="5"/>
  <c r="K271" i="5"/>
  <c r="L271" i="5" s="1"/>
  <c r="B500" i="5"/>
  <c r="C500" i="5"/>
  <c r="B198" i="5"/>
  <c r="C198" i="5"/>
  <c r="K80" i="5"/>
  <c r="L80" i="5" s="1"/>
  <c r="B80" i="5"/>
  <c r="B19" i="5"/>
  <c r="D19" i="5" s="1"/>
  <c r="F19" i="5" s="1"/>
  <c r="G19" i="5" s="1"/>
  <c r="K19" i="5"/>
  <c r="L19" i="5" s="1"/>
  <c r="B83" i="5"/>
  <c r="K83" i="5"/>
  <c r="L83" i="5" s="1"/>
  <c r="B438" i="5"/>
  <c r="K438" i="5"/>
  <c r="L438" i="5" s="1"/>
  <c r="C315" i="5"/>
  <c r="K315" i="5"/>
  <c r="L315" i="5" s="1"/>
  <c r="B315" i="5"/>
  <c r="C291" i="5"/>
  <c r="K291" i="5"/>
  <c r="L291" i="5" s="1"/>
  <c r="C212" i="5"/>
  <c r="K212" i="5"/>
  <c r="L212" i="5" s="1"/>
  <c r="B212" i="5"/>
  <c r="C91" i="5"/>
  <c r="K91" i="5"/>
  <c r="L91" i="5" s="1"/>
  <c r="B91" i="5"/>
  <c r="C441" i="5"/>
  <c r="B441" i="5"/>
  <c r="K441" i="5"/>
  <c r="L441" i="5" s="1"/>
  <c r="K367" i="5"/>
  <c r="L367" i="5" s="1"/>
  <c r="K294" i="5"/>
  <c r="L294" i="5" s="1"/>
  <c r="B294" i="5"/>
  <c r="B229" i="5"/>
  <c r="K229" i="5"/>
  <c r="L229" i="5" s="1"/>
  <c r="K221" i="5"/>
  <c r="L221" i="5" s="1"/>
  <c r="B221" i="5"/>
  <c r="K215" i="5"/>
  <c r="L215" i="5" s="1"/>
  <c r="C215" i="5"/>
  <c r="B215" i="5"/>
  <c r="K100" i="5"/>
  <c r="L100" i="5" s="1"/>
  <c r="B100" i="5"/>
  <c r="C100" i="5"/>
  <c r="B466" i="5"/>
  <c r="K466" i="5"/>
  <c r="L466" i="5" s="1"/>
  <c r="B458" i="5"/>
  <c r="K458" i="5"/>
  <c r="L458" i="5" s="1"/>
  <c r="K392" i="5"/>
  <c r="L392" i="5" s="1"/>
  <c r="B392" i="5"/>
  <c r="K297" i="5"/>
  <c r="L297" i="5" s="1"/>
  <c r="C297" i="5"/>
  <c r="C156" i="5"/>
  <c r="B156" i="5"/>
  <c r="K156" i="5"/>
  <c r="L156" i="5" s="1"/>
  <c r="K148" i="5"/>
  <c r="L148" i="5" s="1"/>
  <c r="B148" i="5"/>
  <c r="C148" i="5"/>
  <c r="K109" i="5"/>
  <c r="L109" i="5" s="1"/>
  <c r="C109" i="5"/>
  <c r="B109" i="5"/>
  <c r="C106" i="5"/>
  <c r="K106" i="5"/>
  <c r="L106" i="5" s="1"/>
  <c r="K103" i="5"/>
  <c r="L103" i="5" s="1"/>
  <c r="B103" i="5"/>
  <c r="K52" i="5"/>
  <c r="L52" i="5" s="1"/>
  <c r="B52" i="5"/>
  <c r="C288" i="5"/>
  <c r="K288" i="5"/>
  <c r="L288" i="5" s="1"/>
  <c r="B288" i="5"/>
  <c r="B300" i="5"/>
  <c r="B265" i="5"/>
  <c r="K265" i="5"/>
  <c r="L265" i="5" s="1"/>
  <c r="C265" i="5"/>
  <c r="B246" i="5"/>
  <c r="K246" i="5"/>
  <c r="L246" i="5" s="1"/>
  <c r="K181" i="5"/>
  <c r="L181" i="5" s="1"/>
  <c r="C181" i="5"/>
  <c r="B173" i="5"/>
  <c r="K173" i="5"/>
  <c r="L173" i="5" s="1"/>
  <c r="C173" i="5"/>
  <c r="B165" i="5"/>
  <c r="C165" i="5"/>
  <c r="K165" i="5"/>
  <c r="L165" i="5" s="1"/>
  <c r="C162" i="5"/>
  <c r="K162" i="5"/>
  <c r="L162" i="5" s="1"/>
  <c r="K159" i="5"/>
  <c r="L159" i="5" s="1"/>
  <c r="B159" i="5"/>
  <c r="K487" i="5"/>
  <c r="L487" i="5" s="1"/>
  <c r="C484" i="5"/>
  <c r="C382" i="5"/>
  <c r="C301" i="5"/>
  <c r="C298" i="5"/>
  <c r="C292" i="5"/>
  <c r="C199" i="5"/>
  <c r="C149" i="5"/>
  <c r="C44" i="5"/>
  <c r="C42" i="5"/>
  <c r="C487" i="5"/>
  <c r="C431" i="5"/>
  <c r="C376" i="5"/>
  <c r="C374" i="5"/>
  <c r="C371" i="5"/>
  <c r="I371" i="5"/>
  <c r="C362" i="5"/>
  <c r="C308" i="5"/>
  <c r="C250" i="5"/>
  <c r="C207" i="5"/>
  <c r="C205" i="5"/>
  <c r="C179" i="5"/>
  <c r="C502" i="5"/>
  <c r="C490" i="5"/>
  <c r="C437" i="5"/>
  <c r="C377" i="5"/>
  <c r="C99" i="5"/>
  <c r="C98" i="5"/>
  <c r="C93" i="5"/>
  <c r="C85" i="5"/>
  <c r="C268" i="5"/>
  <c r="C135" i="5"/>
  <c r="C66" i="5"/>
  <c r="C40" i="5"/>
  <c r="C483" i="5"/>
  <c r="C474" i="5"/>
  <c r="C466" i="5"/>
  <c r="C455" i="5"/>
  <c r="C392" i="5"/>
  <c r="C384" i="5"/>
  <c r="C367" i="5"/>
  <c r="C344" i="5"/>
  <c r="C229" i="5"/>
  <c r="C221" i="5"/>
  <c r="C200" i="5"/>
  <c r="C103" i="5"/>
  <c r="C495" i="5"/>
  <c r="C480" i="5"/>
  <c r="C461" i="5"/>
  <c r="C312" i="5"/>
  <c r="C243" i="5"/>
  <c r="C153" i="5"/>
  <c r="C133" i="5"/>
  <c r="C130" i="5"/>
  <c r="C370" i="5"/>
  <c r="K370" i="5"/>
  <c r="L370" i="5" s="1"/>
  <c r="C359" i="5"/>
  <c r="K359" i="5"/>
  <c r="L359" i="5" s="1"/>
  <c r="C220" i="5"/>
  <c r="C157" i="5"/>
  <c r="C496" i="5"/>
  <c r="C154" i="5"/>
  <c r="B74" i="5"/>
  <c r="K30" i="5"/>
  <c r="L30" i="5" s="1"/>
  <c r="K98" i="5"/>
  <c r="L98" i="5" s="1"/>
  <c r="B468" i="5"/>
  <c r="K207" i="5"/>
  <c r="L207" i="5" s="1"/>
  <c r="B331" i="5"/>
  <c r="K331" i="5"/>
  <c r="L331" i="5" s="1"/>
  <c r="K323" i="5"/>
  <c r="L323" i="5" s="1"/>
  <c r="C323" i="5"/>
  <c r="C460" i="5"/>
  <c r="K460" i="5"/>
  <c r="L460" i="5" s="1"/>
  <c r="B460" i="5"/>
  <c r="C160" i="5"/>
  <c r="K160" i="5"/>
  <c r="L160" i="5" s="1"/>
  <c r="K71" i="5"/>
  <c r="L71" i="5" s="1"/>
  <c r="C71" i="5"/>
  <c r="K44" i="5"/>
  <c r="L44" i="5" s="1"/>
  <c r="C313" i="5"/>
  <c r="K154" i="5"/>
  <c r="L154" i="5" s="1"/>
  <c r="B370" i="5"/>
  <c r="B98" i="5"/>
  <c r="K501" i="5"/>
  <c r="L501" i="5" s="1"/>
  <c r="C501" i="5"/>
  <c r="C475" i="5"/>
  <c r="K475" i="5"/>
  <c r="L475" i="5" s="1"/>
  <c r="K435" i="5"/>
  <c r="L435" i="5" s="1"/>
  <c r="C435" i="5"/>
  <c r="B22" i="5"/>
  <c r="D22" i="5" s="1"/>
  <c r="C171" i="5"/>
  <c r="C414" i="5"/>
  <c r="K493" i="5"/>
  <c r="L493" i="5" s="1"/>
  <c r="K447" i="5"/>
  <c r="L447" i="5" s="1"/>
  <c r="B447" i="5"/>
  <c r="K427" i="5"/>
  <c r="L427" i="5" s="1"/>
  <c r="B427" i="5"/>
  <c r="K316" i="5"/>
  <c r="L316" i="5" s="1"/>
  <c r="B316" i="5"/>
  <c r="K197" i="5"/>
  <c r="L197" i="5" s="1"/>
  <c r="B197" i="5"/>
  <c r="C197" i="5"/>
  <c r="K194" i="5"/>
  <c r="L194" i="5" s="1"/>
  <c r="B194" i="5"/>
  <c r="C90" i="5"/>
  <c r="K90" i="5"/>
  <c r="L90" i="5" s="1"/>
  <c r="B217" i="5"/>
  <c r="K217" i="5"/>
  <c r="L217" i="5" s="1"/>
  <c r="K171" i="5"/>
  <c r="L171" i="5" s="1"/>
  <c r="C493" i="5"/>
  <c r="K414" i="5"/>
  <c r="L414" i="5" s="1"/>
  <c r="J411" i="5"/>
  <c r="K179" i="5"/>
  <c r="L179" i="5" s="1"/>
  <c r="C436" i="5"/>
  <c r="K436" i="5"/>
  <c r="L436" i="5" s="1"/>
  <c r="B341" i="5"/>
  <c r="K341" i="5"/>
  <c r="L341" i="5" s="1"/>
  <c r="K232" i="5"/>
  <c r="L232" i="5" s="1"/>
  <c r="C232" i="5"/>
  <c r="B232" i="5"/>
  <c r="B127" i="5"/>
  <c r="C127" i="5"/>
  <c r="K127" i="5"/>
  <c r="L127" i="5" s="1"/>
  <c r="C57" i="5"/>
  <c r="K415" i="5"/>
  <c r="L415" i="5" s="1"/>
  <c r="C415" i="5"/>
  <c r="K191" i="5"/>
  <c r="L191" i="5" s="1"/>
  <c r="C191" i="5"/>
  <c r="B44" i="5"/>
  <c r="K220" i="5"/>
  <c r="L220" i="5" s="1"/>
  <c r="H472" i="5"/>
  <c r="C146" i="5"/>
  <c r="C270" i="5"/>
  <c r="B373" i="5"/>
  <c r="B160" i="5"/>
  <c r="B179" i="5"/>
  <c r="K445" i="5"/>
  <c r="L445" i="5" s="1"/>
  <c r="C445" i="5"/>
  <c r="B445" i="5"/>
  <c r="K439" i="5"/>
  <c r="L439" i="5" s="1"/>
  <c r="C439" i="5"/>
  <c r="K353" i="5"/>
  <c r="L353" i="5" s="1"/>
  <c r="C353" i="5"/>
  <c r="C136" i="5"/>
  <c r="K136" i="5"/>
  <c r="L136" i="5" s="1"/>
  <c r="B136" i="5"/>
  <c r="C61" i="5"/>
  <c r="K61" i="5"/>
  <c r="L61" i="5" s="1"/>
  <c r="B61" i="5"/>
  <c r="K481" i="5"/>
  <c r="L481" i="5" s="1"/>
  <c r="C481" i="5"/>
  <c r="K383" i="5"/>
  <c r="L383" i="5" s="1"/>
  <c r="C383" i="5"/>
  <c r="B383" i="5"/>
  <c r="K27" i="5"/>
  <c r="L27" i="5" s="1"/>
  <c r="B207" i="5"/>
  <c r="K264" i="5"/>
  <c r="L264" i="5" s="1"/>
  <c r="B451" i="5"/>
  <c r="B405" i="5"/>
  <c r="K405" i="5"/>
  <c r="L405" i="5" s="1"/>
  <c r="C405" i="5"/>
  <c r="C356" i="5"/>
  <c r="K356" i="5"/>
  <c r="L356" i="5" s="1"/>
  <c r="B356" i="5"/>
  <c r="B261" i="5"/>
  <c r="C261" i="5"/>
  <c r="K261" i="5"/>
  <c r="L261" i="5" s="1"/>
  <c r="K247" i="5"/>
  <c r="L247" i="5" s="1"/>
  <c r="B247" i="5"/>
  <c r="B151" i="5"/>
  <c r="K151" i="5"/>
  <c r="L151" i="5" s="1"/>
  <c r="C151" i="5"/>
  <c r="C443" i="5"/>
  <c r="C239" i="5"/>
  <c r="C54" i="5"/>
  <c r="C485" i="5"/>
  <c r="C477" i="5"/>
  <c r="C469" i="5"/>
  <c r="C440" i="5"/>
  <c r="C416" i="5"/>
  <c r="C387" i="5"/>
  <c r="C286" i="5"/>
  <c r="C274" i="5"/>
  <c r="C251" i="5"/>
  <c r="C219" i="5"/>
  <c r="C208" i="5"/>
  <c r="C192" i="5"/>
  <c r="C180" i="5"/>
  <c r="C128" i="5"/>
  <c r="C94" i="5"/>
  <c r="C63" i="5"/>
  <c r="C366" i="5"/>
  <c r="C357" i="5"/>
  <c r="C311" i="5"/>
  <c r="C290" i="5"/>
  <c r="C78" i="5"/>
  <c r="C418" i="5"/>
  <c r="C409" i="5"/>
  <c r="C388" i="5"/>
  <c r="C341" i="5"/>
  <c r="C217" i="5"/>
  <c r="C316" i="5"/>
  <c r="C296" i="5"/>
  <c r="C272" i="5"/>
  <c r="K163" i="5"/>
  <c r="L163" i="5" s="1"/>
  <c r="C163" i="5"/>
  <c r="K478" i="5"/>
  <c r="L478" i="5" s="1"/>
  <c r="C310" i="5"/>
  <c r="B310" i="5"/>
  <c r="K307" i="5"/>
  <c r="L307" i="5" s="1"/>
  <c r="B307" i="5"/>
  <c r="K401" i="5"/>
  <c r="L401" i="5" s="1"/>
  <c r="C401" i="5"/>
  <c r="B401" i="5"/>
  <c r="K398" i="5"/>
  <c r="L398" i="5" s="1"/>
  <c r="B398" i="5"/>
  <c r="C398" i="5"/>
  <c r="C368" i="5"/>
  <c r="K368" i="5"/>
  <c r="L368" i="5" s="1"/>
  <c r="B368" i="5"/>
  <c r="K339" i="5"/>
  <c r="L339" i="5" s="1"/>
  <c r="B339" i="5"/>
  <c r="B336" i="5"/>
  <c r="K336" i="5"/>
  <c r="L336" i="5" s="1"/>
  <c r="C330" i="5"/>
  <c r="B330" i="5"/>
  <c r="C478" i="5"/>
  <c r="C434" i="5"/>
  <c r="B434" i="5"/>
  <c r="C428" i="5"/>
  <c r="B428" i="5"/>
  <c r="K467" i="5"/>
  <c r="L467" i="5" s="1"/>
  <c r="K188" i="5"/>
  <c r="L188" i="5" s="1"/>
  <c r="K488" i="5"/>
  <c r="L488" i="5" s="1"/>
  <c r="B488" i="5"/>
  <c r="B470" i="5"/>
  <c r="C470" i="5"/>
  <c r="K399" i="5"/>
  <c r="L399" i="5" s="1"/>
  <c r="B399" i="5"/>
  <c r="B393" i="5"/>
  <c r="K393" i="5"/>
  <c r="L393" i="5" s="1"/>
  <c r="C393" i="5"/>
  <c r="C381" i="5"/>
  <c r="K381" i="5"/>
  <c r="L381" i="5" s="1"/>
  <c r="C375" i="5"/>
  <c r="B375" i="5"/>
  <c r="C343" i="5"/>
  <c r="B343" i="5"/>
  <c r="K343" i="5"/>
  <c r="L343" i="5" s="1"/>
  <c r="C337" i="5"/>
  <c r="K337" i="5"/>
  <c r="L337" i="5" s="1"/>
  <c r="B337" i="5"/>
  <c r="C334" i="5"/>
  <c r="B334" i="5"/>
  <c r="K334" i="5"/>
  <c r="L334" i="5" s="1"/>
  <c r="K244" i="5"/>
  <c r="L244" i="5" s="1"/>
  <c r="B244" i="5"/>
  <c r="C244" i="5"/>
  <c r="K210" i="5"/>
  <c r="L210" i="5" s="1"/>
  <c r="B210" i="5"/>
  <c r="C210" i="5"/>
  <c r="K204" i="5"/>
  <c r="L204" i="5" s="1"/>
  <c r="B204" i="5"/>
  <c r="C204" i="5"/>
  <c r="C105" i="5"/>
  <c r="B105" i="5"/>
  <c r="C339" i="5"/>
  <c r="K426" i="5"/>
  <c r="L426" i="5" s="1"/>
  <c r="B426" i="5"/>
  <c r="B423" i="5"/>
  <c r="C423" i="5"/>
  <c r="K423" i="5"/>
  <c r="L423" i="5" s="1"/>
  <c r="C108" i="5"/>
  <c r="K108" i="5"/>
  <c r="L108" i="5" s="1"/>
  <c r="B108" i="5"/>
  <c r="K284" i="5"/>
  <c r="L284" i="5" s="1"/>
  <c r="I142" i="5"/>
  <c r="K457" i="5"/>
  <c r="L457" i="5" s="1"/>
  <c r="C457" i="5"/>
  <c r="B457" i="5"/>
  <c r="K454" i="5"/>
  <c r="L454" i="5" s="1"/>
  <c r="B454" i="5"/>
  <c r="C454" i="5"/>
  <c r="J289" i="5"/>
  <c r="B444" i="5"/>
  <c r="C432" i="5"/>
  <c r="B432" i="5"/>
  <c r="K432" i="5"/>
  <c r="L432" i="5" s="1"/>
  <c r="K131" i="5"/>
  <c r="L131" i="5" s="1"/>
  <c r="C131" i="5"/>
  <c r="C112" i="5"/>
  <c r="K112" i="5"/>
  <c r="L112" i="5" s="1"/>
  <c r="C68" i="5"/>
  <c r="C183" i="5"/>
  <c r="C479" i="5"/>
  <c r="C280" i="5"/>
  <c r="B280" i="5"/>
  <c r="B499" i="5"/>
  <c r="K499" i="5"/>
  <c r="L499" i="5" s="1"/>
  <c r="J216" i="5"/>
  <c r="K184" i="5"/>
  <c r="L184" i="5" s="1"/>
  <c r="C184" i="5"/>
  <c r="K77" i="5"/>
  <c r="L77" i="5" s="1"/>
  <c r="B77" i="5"/>
  <c r="K319" i="5"/>
  <c r="L319" i="5" s="1"/>
  <c r="B319" i="5"/>
  <c r="K303" i="5"/>
  <c r="L303" i="5" s="1"/>
  <c r="C303" i="5"/>
  <c r="C56" i="5"/>
  <c r="K56" i="5"/>
  <c r="L56" i="5" s="1"/>
  <c r="K53" i="5"/>
  <c r="L53" i="5" s="1"/>
  <c r="B53" i="5"/>
  <c r="K35" i="5"/>
  <c r="L35" i="5" s="1"/>
  <c r="B35" i="5"/>
  <c r="C456" i="5"/>
  <c r="C430" i="5"/>
  <c r="C426" i="5"/>
  <c r="C342" i="5"/>
  <c r="C256" i="5"/>
  <c r="C159" i="5"/>
  <c r="C155" i="5"/>
  <c r="C116" i="5"/>
  <c r="C38" i="5"/>
  <c r="C467" i="5"/>
  <c r="C240" i="5"/>
  <c r="C224" i="5"/>
  <c r="C166" i="5"/>
  <c r="C152" i="5"/>
  <c r="C139" i="5"/>
  <c r="C121" i="5"/>
  <c r="C102" i="5"/>
  <c r="C49" i="5"/>
  <c r="C43" i="5"/>
  <c r="C451" i="5"/>
  <c r="C235" i="5"/>
  <c r="C88" i="5"/>
  <c r="C52" i="5"/>
  <c r="C46" i="5"/>
  <c r="C497" i="5"/>
  <c r="C468" i="5"/>
  <c r="C429" i="5"/>
  <c r="J429" i="5" s="1"/>
  <c r="C420" i="5"/>
  <c r="C403" i="5"/>
  <c r="C364" i="5"/>
  <c r="C293" i="5"/>
  <c r="C284" i="5"/>
  <c r="C267" i="5"/>
  <c r="C164" i="5"/>
  <c r="C32" i="5"/>
  <c r="C453" i="5"/>
  <c r="C452" i="5"/>
  <c r="C324" i="5"/>
  <c r="C287" i="5"/>
  <c r="C264" i="5"/>
  <c r="C176" i="5"/>
  <c r="J18" i="1"/>
  <c r="I261" i="5"/>
  <c r="I126" i="5"/>
  <c r="H126" i="5"/>
  <c r="B18" i="1"/>
  <c r="B39" i="5"/>
  <c r="K39" i="5"/>
  <c r="L39" i="5" s="1"/>
  <c r="C39" i="5"/>
  <c r="J492" i="5"/>
  <c r="C119" i="5"/>
  <c r="B119" i="5"/>
  <c r="K119" i="5"/>
  <c r="L119" i="5" s="1"/>
  <c r="B87" i="5"/>
  <c r="K87" i="5"/>
  <c r="L87" i="5" s="1"/>
  <c r="C87" i="5"/>
  <c r="K491" i="5"/>
  <c r="L491" i="5" s="1"/>
  <c r="B491" i="5"/>
  <c r="C491" i="5"/>
  <c r="C380" i="5"/>
  <c r="K380" i="5"/>
  <c r="L380" i="5" s="1"/>
  <c r="B380" i="5"/>
  <c r="K354" i="5"/>
  <c r="L354" i="5" s="1"/>
  <c r="B354" i="5"/>
  <c r="C318" i="5"/>
  <c r="B318" i="5"/>
  <c r="B275" i="5"/>
  <c r="C275" i="5"/>
  <c r="C266" i="5"/>
  <c r="K266" i="5"/>
  <c r="L266" i="5" s="1"/>
  <c r="B266" i="5"/>
  <c r="K75" i="5"/>
  <c r="L75" i="5" s="1"/>
  <c r="B75" i="5"/>
  <c r="C64" i="5"/>
  <c r="K64" i="5"/>
  <c r="L64" i="5" s="1"/>
  <c r="K421" i="5"/>
  <c r="L421" i="5" s="1"/>
  <c r="C421" i="5"/>
  <c r="C417" i="5"/>
  <c r="K417" i="5"/>
  <c r="L417" i="5" s="1"/>
  <c r="B417" i="5"/>
  <c r="K413" i="5"/>
  <c r="L413" i="5" s="1"/>
  <c r="B413" i="5"/>
  <c r="H196" i="5"/>
  <c r="J178" i="5"/>
  <c r="I466" i="5"/>
  <c r="C51" i="5"/>
  <c r="K51" i="5"/>
  <c r="L51" i="5" s="1"/>
  <c r="K47" i="5"/>
  <c r="L47" i="5" s="1"/>
  <c r="B47" i="5"/>
  <c r="K41" i="5"/>
  <c r="L41" i="5" s="1"/>
  <c r="B41" i="5"/>
  <c r="C41" i="5"/>
  <c r="K386" i="5"/>
  <c r="L386" i="5" s="1"/>
  <c r="C386" i="5"/>
  <c r="B386" i="5"/>
  <c r="K483" i="5"/>
  <c r="L483" i="5" s="1"/>
  <c r="B483" i="5"/>
  <c r="C395" i="5"/>
  <c r="B395" i="5"/>
  <c r="K395" i="5"/>
  <c r="L395" i="5" s="1"/>
  <c r="J185" i="5"/>
  <c r="B498" i="5"/>
  <c r="C498" i="5"/>
  <c r="K465" i="5"/>
  <c r="L465" i="5" s="1"/>
  <c r="B465" i="5"/>
  <c r="C365" i="5"/>
  <c r="K365" i="5"/>
  <c r="L365" i="5" s="1"/>
  <c r="B365" i="5"/>
  <c r="K498" i="5"/>
  <c r="L498" i="5" s="1"/>
  <c r="C396" i="5"/>
  <c r="B396" i="5"/>
  <c r="K449" i="5"/>
  <c r="L449" i="5" s="1"/>
  <c r="B449" i="5"/>
  <c r="C449" i="5"/>
  <c r="C412" i="5"/>
  <c r="K412" i="5"/>
  <c r="L412" i="5" s="1"/>
  <c r="B369" i="5"/>
  <c r="K369" i="5"/>
  <c r="L369" i="5" s="1"/>
  <c r="K325" i="5"/>
  <c r="L325" i="5" s="1"/>
  <c r="B325" i="5"/>
  <c r="K416" i="5"/>
  <c r="L416" i="5" s="1"/>
  <c r="B416" i="5"/>
  <c r="C347" i="5"/>
  <c r="C340" i="5"/>
  <c r="B269" i="5"/>
  <c r="K269" i="5"/>
  <c r="L269" i="5" s="1"/>
  <c r="C476" i="5"/>
  <c r="C335" i="5"/>
  <c r="K335" i="5"/>
  <c r="L335" i="5" s="1"/>
  <c r="C328" i="5"/>
  <c r="K328" i="5"/>
  <c r="L328" i="5" s="1"/>
  <c r="K209" i="5"/>
  <c r="L209" i="5" s="1"/>
  <c r="C209" i="5"/>
  <c r="K193" i="5"/>
  <c r="L193" i="5" s="1"/>
  <c r="B193" i="5"/>
  <c r="K133" i="5"/>
  <c r="L133" i="5" s="1"/>
  <c r="B133" i="5"/>
  <c r="C422" i="5"/>
  <c r="I475" i="5"/>
  <c r="K489" i="5"/>
  <c r="L489" i="5" s="1"/>
  <c r="B489" i="5"/>
  <c r="H201" i="5"/>
  <c r="C404" i="5"/>
  <c r="C172" i="5"/>
  <c r="I377" i="5"/>
  <c r="K132" i="5"/>
  <c r="L132" i="5" s="1"/>
  <c r="C331" i="5"/>
  <c r="C332" i="5"/>
  <c r="C83" i="5"/>
  <c r="C80" i="5"/>
  <c r="C271" i="5"/>
  <c r="C84" i="5"/>
  <c r="K66" i="5"/>
  <c r="L66" i="5" s="1"/>
  <c r="B54" i="5"/>
  <c r="B38" i="5"/>
  <c r="J263" i="5"/>
  <c r="I263" i="5"/>
  <c r="H371" i="5"/>
  <c r="J371" i="5"/>
  <c r="J362" i="5"/>
  <c r="J500" i="5"/>
  <c r="J460" i="5"/>
  <c r="J502" i="5"/>
  <c r="H98" i="5"/>
  <c r="H272" i="5"/>
  <c r="J232" i="5"/>
  <c r="J488" i="5"/>
  <c r="I186" i="5"/>
  <c r="H242" i="5"/>
  <c r="J170" i="5"/>
  <c r="J257" i="5"/>
  <c r="H429" i="5"/>
  <c r="I429" i="5"/>
  <c r="H461" i="5"/>
  <c r="I349" i="5"/>
  <c r="I424" i="5"/>
  <c r="J424" i="5"/>
  <c r="H424" i="5"/>
  <c r="I301" i="5"/>
  <c r="J301" i="5"/>
  <c r="H377" i="5"/>
  <c r="J300" i="5"/>
  <c r="J194" i="5"/>
  <c r="J405" i="5"/>
  <c r="I405" i="5"/>
  <c r="H326" i="5"/>
  <c r="J326" i="5"/>
  <c r="I326" i="5"/>
  <c r="J37" i="5"/>
  <c r="J472" i="5"/>
  <c r="I472" i="5"/>
  <c r="H405" i="5"/>
  <c r="I500" i="5"/>
  <c r="J272" i="5"/>
  <c r="I272" i="5"/>
  <c r="H232" i="5"/>
  <c r="I210" i="5"/>
  <c r="F47" i="1"/>
  <c r="B12" i="5"/>
  <c r="D12" i="5" s="1"/>
  <c r="F12" i="5" s="1"/>
  <c r="G12" i="5" s="1"/>
  <c r="K6" i="5"/>
  <c r="L6" i="5" s="1"/>
  <c r="B42" i="1"/>
  <c r="B27" i="5"/>
  <c r="D27" i="5" s="1"/>
  <c r="K16" i="5"/>
  <c r="L16" i="5" s="1"/>
  <c r="B10" i="1"/>
  <c r="K22" i="5"/>
  <c r="L22" i="5" s="1"/>
  <c r="I16" i="1"/>
  <c r="H42" i="1"/>
  <c r="D50" i="1"/>
  <c r="B48" i="1"/>
  <c r="H48" i="1"/>
  <c r="C48" i="1"/>
  <c r="I48" i="1"/>
  <c r="H28" i="1"/>
  <c r="A11" i="1"/>
  <c r="H34" i="1"/>
  <c r="C36" i="1"/>
  <c r="E48" i="1"/>
  <c r="F55" i="1"/>
  <c r="C24" i="5"/>
  <c r="E24" i="5" s="1"/>
  <c r="B21" i="1"/>
  <c r="B55" i="1"/>
  <c r="H38" i="1"/>
  <c r="F48" i="1"/>
  <c r="A12" i="1"/>
  <c r="D1" i="1"/>
  <c r="I21" i="1"/>
  <c r="D21" i="1"/>
  <c r="F1" i="1"/>
  <c r="J47" i="1"/>
  <c r="C24" i="1"/>
  <c r="B37" i="1"/>
  <c r="I24" i="1"/>
  <c r="B13" i="5"/>
  <c r="D13" i="5" s="1"/>
  <c r="H18" i="1"/>
  <c r="F24" i="1"/>
  <c r="C22" i="5"/>
  <c r="E22" i="5" s="1"/>
  <c r="B47" i="1"/>
  <c r="J24" i="1"/>
  <c r="C47" i="1"/>
  <c r="E18" i="1"/>
  <c r="D47" i="1"/>
  <c r="E47" i="1"/>
  <c r="D24" i="1"/>
  <c r="I47" i="1"/>
  <c r="B24" i="1"/>
  <c r="H355" i="5"/>
  <c r="J62" i="5"/>
  <c r="I62" i="5"/>
  <c r="H62" i="5"/>
  <c r="I411" i="5"/>
  <c r="I317" i="5"/>
  <c r="I433" i="5"/>
  <c r="H259" i="5"/>
  <c r="J98" i="5"/>
  <c r="I98" i="5"/>
  <c r="H278" i="5"/>
  <c r="I278" i="5"/>
  <c r="J278" i="5"/>
  <c r="H174" i="5"/>
  <c r="I174" i="5"/>
  <c r="J174" i="5"/>
  <c r="H500" i="5"/>
  <c r="H257" i="5"/>
  <c r="I257" i="5"/>
  <c r="J230" i="5"/>
  <c r="I230" i="5"/>
  <c r="C33" i="1"/>
  <c r="J42" i="1"/>
  <c r="J29" i="1"/>
  <c r="F29" i="1"/>
  <c r="C29" i="1"/>
  <c r="H29" i="1"/>
  <c r="E29" i="1"/>
  <c r="B29" i="1"/>
  <c r="I29" i="1"/>
  <c r="C1" i="1"/>
  <c r="E1" i="1"/>
  <c r="J52" i="1"/>
  <c r="H32" i="1"/>
  <c r="D44" i="1"/>
  <c r="H44" i="1"/>
  <c r="D52" i="1"/>
  <c r="F44" i="1"/>
  <c r="J44" i="1"/>
  <c r="F32" i="1"/>
  <c r="E32" i="1"/>
  <c r="I32" i="1"/>
  <c r="I52" i="1"/>
  <c r="J32" i="1"/>
  <c r="F52" i="1"/>
  <c r="C32" i="1"/>
  <c r="D19" i="1"/>
  <c r="K15" i="5"/>
  <c r="L15" i="5" s="1"/>
  <c r="E44" i="1"/>
  <c r="D32" i="1"/>
  <c r="H1" i="1"/>
  <c r="J465" i="5"/>
  <c r="I465" i="5"/>
  <c r="H465" i="5"/>
  <c r="H269" i="5"/>
  <c r="J269" i="5"/>
  <c r="H94" i="5"/>
  <c r="I269" i="5"/>
  <c r="I162" i="5"/>
  <c r="J162" i="5"/>
  <c r="J355" i="5"/>
  <c r="I355" i="5"/>
  <c r="H494" i="5"/>
  <c r="I494" i="5"/>
  <c r="J494" i="5"/>
  <c r="H492" i="5"/>
  <c r="I496" i="5"/>
  <c r="H496" i="5"/>
  <c r="H150" i="5"/>
  <c r="I324" i="5"/>
  <c r="H324" i="5"/>
  <c r="J324" i="5"/>
  <c r="E10" i="1"/>
  <c r="I492" i="5"/>
  <c r="I354" i="5"/>
  <c r="J496" i="5"/>
  <c r="H162" i="5"/>
  <c r="H142" i="5"/>
  <c r="J142" i="5"/>
  <c r="H311" i="5"/>
  <c r="J297" i="5"/>
  <c r="B402" i="5"/>
  <c r="K402" i="5"/>
  <c r="L402" i="5" s="1"/>
  <c r="C402" i="5"/>
  <c r="J201" i="5"/>
  <c r="J261" i="5"/>
  <c r="H261" i="5"/>
  <c r="I343" i="5"/>
  <c r="H170" i="5"/>
  <c r="I170" i="5"/>
  <c r="I216" i="5"/>
  <c r="H216" i="5"/>
  <c r="I118" i="5"/>
  <c r="J118" i="5"/>
  <c r="H118" i="5"/>
  <c r="I427" i="5"/>
  <c r="H114" i="5"/>
  <c r="I114" i="5"/>
  <c r="J114" i="5"/>
  <c r="I323" i="5"/>
  <c r="I440" i="5"/>
  <c r="H274" i="5"/>
  <c r="I478" i="5"/>
  <c r="H445" i="5"/>
  <c r="J358" i="5"/>
  <c r="B372" i="5"/>
  <c r="K372" i="5"/>
  <c r="L372" i="5" s="1"/>
  <c r="C372" i="5"/>
  <c r="C255" i="5"/>
  <c r="K255" i="5"/>
  <c r="L255" i="5" s="1"/>
  <c r="K473" i="5"/>
  <c r="L473" i="5" s="1"/>
  <c r="C473" i="5"/>
  <c r="B473" i="5"/>
  <c r="H70" i="5"/>
  <c r="H484" i="5"/>
  <c r="J282" i="5"/>
  <c r="I130" i="5"/>
  <c r="I254" i="5"/>
  <c r="K418" i="5"/>
  <c r="L418" i="5" s="1"/>
  <c r="B418" i="5"/>
  <c r="J46" i="5"/>
  <c r="H158" i="5"/>
  <c r="H366" i="5"/>
  <c r="I180" i="5"/>
  <c r="B446" i="5"/>
  <c r="B388" i="5"/>
  <c r="I388" i="5"/>
  <c r="K388" i="5"/>
  <c r="L388" i="5" s="1"/>
  <c r="B391" i="5"/>
  <c r="C352" i="5"/>
  <c r="B352" i="5"/>
  <c r="K352" i="5"/>
  <c r="L352" i="5" s="1"/>
  <c r="K348" i="5"/>
  <c r="L348" i="5" s="1"/>
  <c r="B348" i="5"/>
  <c r="C104" i="5"/>
  <c r="K104" i="5"/>
  <c r="L104" i="5" s="1"/>
  <c r="B76" i="5"/>
  <c r="B73" i="5"/>
  <c r="H73" i="5" s="1"/>
  <c r="K73" i="5"/>
  <c r="L73" i="5" s="1"/>
  <c r="K477" i="5"/>
  <c r="L477" i="5" s="1"/>
  <c r="C389" i="5"/>
  <c r="B389" i="5"/>
  <c r="B328" i="5"/>
  <c r="H230" i="5"/>
  <c r="C459" i="5"/>
  <c r="K459" i="5"/>
  <c r="L459" i="5" s="1"/>
  <c r="B459" i="5"/>
  <c r="C390" i="5"/>
  <c r="K461" i="5"/>
  <c r="L461" i="5" s="1"/>
  <c r="B455" i="5"/>
  <c r="K448" i="5"/>
  <c r="L448" i="5" s="1"/>
  <c r="K420" i="5"/>
  <c r="L420" i="5" s="1"/>
  <c r="C413" i="5"/>
  <c r="B409" i="5"/>
  <c r="K403" i="5"/>
  <c r="L403" i="5" s="1"/>
  <c r="C373" i="5"/>
  <c r="C464" i="5"/>
  <c r="K462" i="5"/>
  <c r="L462" i="5" s="1"/>
  <c r="B421" i="5"/>
  <c r="H421" i="5"/>
  <c r="B345" i="5"/>
  <c r="C333" i="5"/>
  <c r="K260" i="5"/>
  <c r="L260" i="5" s="1"/>
  <c r="K121" i="5"/>
  <c r="L121" i="5" s="1"/>
  <c r="C471" i="5"/>
  <c r="K463" i="5"/>
  <c r="L463" i="5" s="1"/>
  <c r="K443" i="5"/>
  <c r="L443" i="5" s="1"/>
  <c r="B442" i="5"/>
  <c r="B415" i="5"/>
  <c r="B414" i="5"/>
  <c r="J414" i="5"/>
  <c r="B412" i="5"/>
  <c r="I412" i="5"/>
  <c r="K375" i="5"/>
  <c r="L375" i="5" s="1"/>
  <c r="B223" i="5"/>
  <c r="K495" i="5"/>
  <c r="L495" i="5" s="1"/>
  <c r="K492" i="5"/>
  <c r="L492" i="5" s="1"/>
  <c r="K451" i="5"/>
  <c r="L451" i="5" s="1"/>
  <c r="B450" i="5"/>
  <c r="J450" i="5"/>
  <c r="K444" i="5"/>
  <c r="L444" i="5" s="1"/>
  <c r="B381" i="5"/>
  <c r="J381" i="5" s="1"/>
  <c r="B346" i="5"/>
  <c r="B340" i="5"/>
  <c r="C307" i="5"/>
  <c r="K496" i="5"/>
  <c r="L496" i="5" s="1"/>
  <c r="B493" i="5"/>
  <c r="B452" i="5"/>
  <c r="K350" i="5"/>
  <c r="L350" i="5" s="1"/>
  <c r="B347" i="5"/>
  <c r="K235" i="5"/>
  <c r="L235" i="5" s="1"/>
  <c r="B188" i="5"/>
  <c r="H188" i="5"/>
  <c r="C120" i="5"/>
  <c r="C252" i="5"/>
  <c r="B23" i="5"/>
  <c r="D23" i="5" s="1"/>
  <c r="F23" i="5" s="1"/>
  <c r="C319" i="5"/>
  <c r="C304" i="5"/>
  <c r="C285" i="5"/>
  <c r="C283" i="5"/>
  <c r="K276" i="5"/>
  <c r="L276" i="5" s="1"/>
  <c r="B270" i="5"/>
  <c r="C227" i="5"/>
  <c r="K196" i="5"/>
  <c r="L196" i="5" s="1"/>
  <c r="C190" i="5"/>
  <c r="C189" i="5"/>
  <c r="B183" i="5"/>
  <c r="B182" i="5"/>
  <c r="H182" i="5" s="1"/>
  <c r="C168" i="5"/>
  <c r="B146" i="5"/>
  <c r="J146" i="5" s="1"/>
  <c r="C134" i="5"/>
  <c r="C132" i="5"/>
  <c r="C113" i="5"/>
  <c r="C101" i="5"/>
  <c r="B81" i="5"/>
  <c r="K74" i="5"/>
  <c r="L74" i="5" s="1"/>
  <c r="K36" i="5"/>
  <c r="L36" i="5" s="1"/>
  <c r="K305" i="5"/>
  <c r="L305" i="5" s="1"/>
  <c r="B303" i="5"/>
  <c r="I303" i="5"/>
  <c r="B284" i="5"/>
  <c r="B264" i="5"/>
  <c r="K228" i="5"/>
  <c r="L228" i="5" s="1"/>
  <c r="B220" i="5"/>
  <c r="C214" i="5"/>
  <c r="K185" i="5"/>
  <c r="L185" i="5" s="1"/>
  <c r="B163" i="5"/>
  <c r="K140" i="5"/>
  <c r="L140" i="5" s="1"/>
  <c r="C67" i="5"/>
  <c r="B5" i="5"/>
  <c r="D5" i="5" s="1"/>
  <c r="B43" i="5"/>
  <c r="C30" i="5"/>
  <c r="C329" i="5"/>
  <c r="B279" i="5"/>
  <c r="K273" i="5"/>
  <c r="L273" i="5" s="1"/>
  <c r="K259" i="5"/>
  <c r="L259" i="5" s="1"/>
  <c r="B252" i="5"/>
  <c r="B222" i="5"/>
  <c r="B189" i="5"/>
  <c r="C48" i="5"/>
  <c r="B50" i="5"/>
  <c r="I50" i="5"/>
  <c r="K33" i="5"/>
  <c r="L33" i="5" s="1"/>
  <c r="B2" i="5"/>
  <c r="D2" i="5" s="1"/>
  <c r="J388" i="5"/>
  <c r="H388" i="5"/>
  <c r="H282" i="5"/>
  <c r="H450" i="5"/>
  <c r="I450" i="5"/>
  <c r="I366" i="5"/>
  <c r="J366" i="5"/>
  <c r="I453" i="5"/>
  <c r="J453" i="5"/>
  <c r="H453" i="5"/>
  <c r="J287" i="5"/>
  <c r="I274" i="5"/>
  <c r="J274" i="5"/>
  <c r="J254" i="5"/>
  <c r="J323" i="5"/>
  <c r="J476" i="5"/>
  <c r="I468" i="5"/>
  <c r="J478" i="5"/>
  <c r="H130" i="5"/>
  <c r="J130" i="5"/>
  <c r="I484" i="5"/>
  <c r="J484" i="5"/>
  <c r="H192" i="5"/>
  <c r="I192" i="5"/>
  <c r="J192" i="5"/>
  <c r="J291" i="5"/>
  <c r="I445" i="5"/>
  <c r="J445" i="5"/>
  <c r="I279" i="5"/>
  <c r="J273" i="5"/>
  <c r="I273" i="5"/>
  <c r="H273" i="5"/>
  <c r="H440" i="5"/>
  <c r="J440" i="5"/>
  <c r="J281" i="5"/>
  <c r="J343" i="5"/>
  <c r="I101" i="5"/>
  <c r="I182" i="5"/>
  <c r="J182" i="5"/>
  <c r="H283" i="5"/>
  <c r="J336" i="5"/>
  <c r="J148" i="5"/>
  <c r="I148" i="5"/>
  <c r="H148" i="5"/>
  <c r="J396" i="5"/>
  <c r="I421" i="5"/>
  <c r="J421" i="5"/>
  <c r="J389" i="5"/>
  <c r="I34" i="5"/>
  <c r="J370" i="5"/>
  <c r="J188" i="5"/>
  <c r="I188" i="5"/>
  <c r="J400" i="5"/>
  <c r="I400" i="5"/>
  <c r="H400" i="5"/>
  <c r="I276" i="5"/>
  <c r="H276" i="5"/>
  <c r="J276" i="5"/>
  <c r="J446" i="5"/>
  <c r="I446" i="5"/>
  <c r="H446" i="5"/>
  <c r="J158" i="5"/>
  <c r="I158" i="5"/>
  <c r="I418" i="5"/>
  <c r="H358" i="5"/>
  <c r="H412" i="5"/>
  <c r="I184" i="5"/>
  <c r="H184" i="5"/>
  <c r="J184" i="5"/>
  <c r="I1" i="1"/>
  <c r="K1" i="1"/>
  <c r="L1" i="1"/>
  <c r="J331" i="5"/>
  <c r="I331" i="5"/>
  <c r="H331" i="5"/>
  <c r="H381" i="5"/>
  <c r="I381" i="5"/>
  <c r="J94" i="5"/>
  <c r="I94" i="5"/>
  <c r="I372" i="5"/>
  <c r="H372" i="5"/>
  <c r="J373" i="5"/>
  <c r="H343" i="5"/>
  <c r="J319" i="5"/>
  <c r="J1" i="1"/>
  <c r="C11" i="1"/>
  <c r="F10" i="1"/>
  <c r="D10" i="1"/>
  <c r="C10" i="1"/>
  <c r="J10" i="1"/>
  <c r="I214" i="5"/>
  <c r="J214" i="5"/>
  <c r="I389" i="5"/>
  <c r="J101" i="5"/>
  <c r="J372" i="5"/>
  <c r="H214" i="5"/>
  <c r="F27" i="5" l="1"/>
  <c r="G27" i="5" s="1"/>
  <c r="F13" i="5"/>
  <c r="G13" i="5" s="1"/>
  <c r="F2" i="5"/>
  <c r="G2" i="5" s="1"/>
  <c r="J15" i="1"/>
  <c r="G15" i="1"/>
  <c r="F41" i="1"/>
  <c r="G41" i="1"/>
  <c r="D26" i="1"/>
  <c r="G26" i="1"/>
  <c r="F36" i="1"/>
  <c r="C6" i="5"/>
  <c r="E6" i="5" s="1"/>
  <c r="C20" i="5"/>
  <c r="E20" i="5" s="1"/>
  <c r="F20" i="5" s="1"/>
  <c r="G20" i="5" s="1"/>
  <c r="H20" i="5" s="1"/>
  <c r="I41" i="1"/>
  <c r="D22" i="1"/>
  <c r="G22" i="1"/>
  <c r="I38" i="1"/>
  <c r="G38" i="1"/>
  <c r="J48" i="1"/>
  <c r="G48" i="1"/>
  <c r="C29" i="5"/>
  <c r="E29" i="5" s="1"/>
  <c r="B33" i="1"/>
  <c r="G33" i="1"/>
  <c r="H25" i="1"/>
  <c r="G25" i="1"/>
  <c r="C39" i="1"/>
  <c r="G39" i="1"/>
  <c r="B49" i="1"/>
  <c r="G49" i="1"/>
  <c r="B11" i="1"/>
  <c r="G11" i="1"/>
  <c r="C10" i="5"/>
  <c r="E10" i="5" s="1"/>
  <c r="B10" i="5"/>
  <c r="D10" i="5" s="1"/>
  <c r="F10" i="5" s="1"/>
  <c r="G10" i="5" s="1"/>
  <c r="K21" i="5"/>
  <c r="L21" i="5" s="1"/>
  <c r="E21" i="1"/>
  <c r="G21" i="1"/>
  <c r="D13" i="1"/>
  <c r="G13" i="1"/>
  <c r="H37" i="1"/>
  <c r="G37" i="1"/>
  <c r="C55" i="1"/>
  <c r="G55" i="1"/>
  <c r="H47" i="1"/>
  <c r="G47" i="1"/>
  <c r="B32" i="1"/>
  <c r="G32" i="1"/>
  <c r="H24" i="1"/>
  <c r="G24" i="1"/>
  <c r="B41" i="1"/>
  <c r="C20" i="1"/>
  <c r="G20" i="1"/>
  <c r="J31" i="1"/>
  <c r="G31" i="1"/>
  <c r="H23" i="1"/>
  <c r="G23" i="1"/>
  <c r="F54" i="1"/>
  <c r="G54" i="1"/>
  <c r="H21" i="1"/>
  <c r="I19" i="1"/>
  <c r="G19" i="1"/>
  <c r="J35" i="1"/>
  <c r="G35" i="1"/>
  <c r="I53" i="1"/>
  <c r="G53" i="1"/>
  <c r="E45" i="1"/>
  <c r="G45" i="1"/>
  <c r="C30" i="1"/>
  <c r="G30" i="1"/>
  <c r="J54" i="1"/>
  <c r="H12" i="1"/>
  <c r="G12" i="1"/>
  <c r="F18" i="1"/>
  <c r="G18" i="1"/>
  <c r="C28" i="5"/>
  <c r="E28" i="5" s="1"/>
  <c r="I34" i="1"/>
  <c r="G34" i="1"/>
  <c r="B52" i="1"/>
  <c r="G52" i="1"/>
  <c r="I44" i="1"/>
  <c r="G44" i="1"/>
  <c r="D29" i="1"/>
  <c r="G29" i="1"/>
  <c r="I36" i="1"/>
  <c r="G36" i="1"/>
  <c r="J11" i="1"/>
  <c r="F22" i="5"/>
  <c r="G22" i="5" s="1"/>
  <c r="C17" i="1"/>
  <c r="G17" i="1"/>
  <c r="H51" i="1"/>
  <c r="G51" i="1"/>
  <c r="D43" i="1"/>
  <c r="G43" i="1"/>
  <c r="C8" i="5"/>
  <c r="E8" i="5" s="1"/>
  <c r="F8" i="5" s="1"/>
  <c r="G8" i="5" s="1"/>
  <c r="H8" i="5" s="1"/>
  <c r="I28" i="1"/>
  <c r="G28" i="1"/>
  <c r="D46" i="1"/>
  <c r="G46" i="1"/>
  <c r="K13" i="5"/>
  <c r="L13" i="5" s="1"/>
  <c r="B29" i="5"/>
  <c r="D29" i="5" s="1"/>
  <c r="I15" i="1"/>
  <c r="K9" i="5"/>
  <c r="L9" i="5" s="1"/>
  <c r="D39" i="1"/>
  <c r="E16" i="1"/>
  <c r="G16" i="1"/>
  <c r="D40" i="1"/>
  <c r="G40" i="1"/>
  <c r="J50" i="1"/>
  <c r="G50" i="1"/>
  <c r="I42" i="1"/>
  <c r="G42" i="1"/>
  <c r="E27" i="1"/>
  <c r="G27" i="1"/>
  <c r="J39" i="1"/>
  <c r="B26" i="1"/>
  <c r="D41" i="1"/>
  <c r="F11" i="1"/>
  <c r="H11" i="1"/>
  <c r="B39" i="1"/>
  <c r="J197" i="5"/>
  <c r="J167" i="5"/>
  <c r="I286" i="5"/>
  <c r="J286" i="5"/>
  <c r="F26" i="1"/>
  <c r="H41" i="1"/>
  <c r="F49" i="1"/>
  <c r="F39" i="1"/>
  <c r="E39" i="1"/>
  <c r="D11" i="1"/>
  <c r="E11" i="1"/>
  <c r="I18" i="1"/>
  <c r="I49" i="1"/>
  <c r="H26" i="1"/>
  <c r="J41" i="1"/>
  <c r="H49" i="1"/>
  <c r="J26" i="1"/>
  <c r="C41" i="1"/>
  <c r="I39" i="1"/>
  <c r="J49" i="1"/>
  <c r="I11" i="1"/>
  <c r="C18" i="1"/>
  <c r="H39" i="1"/>
  <c r="F38" i="1"/>
  <c r="D49" i="1"/>
  <c r="E41" i="1"/>
  <c r="C49" i="1"/>
  <c r="D18" i="1"/>
  <c r="E26" i="1"/>
  <c r="E49" i="1"/>
  <c r="I26" i="1"/>
  <c r="J198" i="5"/>
  <c r="J105" i="5"/>
  <c r="J200" i="5"/>
  <c r="H212" i="5"/>
  <c r="H105" i="5"/>
  <c r="H198" i="5"/>
  <c r="I212" i="5"/>
  <c r="H64" i="5"/>
  <c r="J64" i="5"/>
  <c r="I200" i="5"/>
  <c r="I52" i="5"/>
  <c r="I205" i="5"/>
  <c r="I439" i="5"/>
  <c r="H132" i="5"/>
  <c r="H153" i="5"/>
  <c r="H439" i="5"/>
  <c r="I97" i="5"/>
  <c r="H338" i="5"/>
  <c r="J132" i="5"/>
  <c r="H97" i="5"/>
  <c r="I153" i="5"/>
  <c r="J151" i="5"/>
  <c r="I151" i="5"/>
  <c r="I302" i="5"/>
  <c r="H39" i="5"/>
  <c r="J218" i="5"/>
  <c r="J39" i="5"/>
  <c r="J205" i="5"/>
  <c r="H218" i="5"/>
  <c r="H207" i="5"/>
  <c r="H458" i="5"/>
  <c r="I458" i="5"/>
  <c r="J458" i="5"/>
  <c r="J418" i="5"/>
  <c r="H342" i="5"/>
  <c r="H336" i="5"/>
  <c r="I266" i="5"/>
  <c r="I338" i="5"/>
  <c r="H317" i="5"/>
  <c r="I342" i="5"/>
  <c r="I340" i="5"/>
  <c r="H385" i="5"/>
  <c r="J119" i="5"/>
  <c r="J69" i="5"/>
  <c r="I288" i="5"/>
  <c r="H288" i="5"/>
  <c r="J41" i="5"/>
  <c r="I385" i="5"/>
  <c r="I85" i="5"/>
  <c r="J266" i="5"/>
  <c r="J397" i="5"/>
  <c r="I69" i="5"/>
  <c r="I37" i="5"/>
  <c r="I96" i="5"/>
  <c r="J249" i="5"/>
  <c r="H249" i="5"/>
  <c r="J96" i="5"/>
  <c r="H397" i="5"/>
  <c r="I137" i="5"/>
  <c r="H391" i="5"/>
  <c r="I391" i="5"/>
  <c r="J346" i="5"/>
  <c r="H348" i="5"/>
  <c r="J137" i="5"/>
  <c r="I438" i="5"/>
  <c r="I262" i="5"/>
  <c r="H438" i="5"/>
  <c r="H314" i="5"/>
  <c r="J348" i="5"/>
  <c r="I245" i="5"/>
  <c r="I236" i="5"/>
  <c r="J245" i="5"/>
  <c r="I48" i="5"/>
  <c r="I161" i="5"/>
  <c r="H117" i="5"/>
  <c r="H236" i="5"/>
  <c r="J117" i="5"/>
  <c r="I407" i="5"/>
  <c r="I448" i="5"/>
  <c r="J448" i="5"/>
  <c r="H448" i="5"/>
  <c r="H260" i="5"/>
  <c r="J260" i="5"/>
  <c r="I260" i="5"/>
  <c r="I370" i="5"/>
  <c r="J128" i="5"/>
  <c r="J407" i="5"/>
  <c r="I177" i="5"/>
  <c r="H129" i="5"/>
  <c r="I207" i="5"/>
  <c r="H197" i="5"/>
  <c r="H41" i="5"/>
  <c r="J113" i="5"/>
  <c r="J480" i="5"/>
  <c r="H177" i="5"/>
  <c r="H85" i="5"/>
  <c r="J57" i="5"/>
  <c r="I480" i="5"/>
  <c r="I167" i="5"/>
  <c r="J129" i="5"/>
  <c r="H300" i="5"/>
  <c r="I119" i="5"/>
  <c r="H497" i="5"/>
  <c r="J497" i="5"/>
  <c r="I497" i="5"/>
  <c r="J140" i="5"/>
  <c r="I140" i="5"/>
  <c r="H140" i="5"/>
  <c r="J426" i="5"/>
  <c r="I426" i="5"/>
  <c r="H426" i="5"/>
  <c r="H365" i="5"/>
  <c r="I365" i="5"/>
  <c r="J365" i="5"/>
  <c r="I253" i="5"/>
  <c r="H253" i="5"/>
  <c r="H155" i="5"/>
  <c r="J155" i="5"/>
  <c r="I155" i="5"/>
  <c r="H43" i="5"/>
  <c r="J43" i="5"/>
  <c r="I43" i="5"/>
  <c r="I42" i="5"/>
  <c r="J42" i="5"/>
  <c r="H42" i="5"/>
  <c r="I56" i="5"/>
  <c r="J56" i="5"/>
  <c r="H56" i="5"/>
  <c r="I187" i="5"/>
  <c r="H187" i="5"/>
  <c r="J187" i="5"/>
  <c r="I95" i="5"/>
  <c r="J95" i="5"/>
  <c r="H95" i="5"/>
  <c r="I360" i="5"/>
  <c r="J360" i="5"/>
  <c r="I470" i="5"/>
  <c r="H470" i="5"/>
  <c r="J470" i="5"/>
  <c r="J76" i="5"/>
  <c r="I76" i="5"/>
  <c r="H435" i="5"/>
  <c r="I435" i="5"/>
  <c r="J435" i="5"/>
  <c r="J139" i="5"/>
  <c r="H76" i="5"/>
  <c r="I45" i="5"/>
  <c r="J45" i="5"/>
  <c r="H45" i="5"/>
  <c r="I31" i="5"/>
  <c r="H31" i="5"/>
  <c r="H243" i="5"/>
  <c r="J243" i="5"/>
  <c r="I243" i="5"/>
  <c r="H83" i="5"/>
  <c r="I83" i="5"/>
  <c r="J83" i="5"/>
  <c r="I122" i="5"/>
  <c r="H122" i="5"/>
  <c r="J122" i="5"/>
  <c r="J79" i="5"/>
  <c r="H79" i="5"/>
  <c r="I79" i="5"/>
  <c r="J124" i="5"/>
  <c r="I124" i="5"/>
  <c r="H124" i="5"/>
  <c r="I35" i="5"/>
  <c r="H35" i="5"/>
  <c r="J35" i="5"/>
  <c r="H131" i="5"/>
  <c r="J131" i="5"/>
  <c r="H125" i="5"/>
  <c r="I125" i="5"/>
  <c r="J125" i="5"/>
  <c r="H195" i="5"/>
  <c r="I195" i="5"/>
  <c r="J195" i="5"/>
  <c r="I353" i="5"/>
  <c r="J353" i="5"/>
  <c r="H353" i="5"/>
  <c r="I344" i="5"/>
  <c r="H344" i="5"/>
  <c r="J344" i="5"/>
  <c r="H409" i="5"/>
  <c r="J409" i="5"/>
  <c r="I51" i="5"/>
  <c r="J51" i="5"/>
  <c r="H51" i="5"/>
  <c r="J74" i="5"/>
  <c r="I74" i="5"/>
  <c r="H74" i="5"/>
  <c r="H138" i="5"/>
  <c r="J138" i="5"/>
  <c r="I250" i="5"/>
  <c r="H250" i="5"/>
  <c r="H309" i="5"/>
  <c r="I309" i="5"/>
  <c r="J309" i="5"/>
  <c r="I341" i="5"/>
  <c r="H341" i="5"/>
  <c r="J341" i="5"/>
  <c r="J399" i="5"/>
  <c r="I399" i="5"/>
  <c r="H399" i="5"/>
  <c r="I99" i="5"/>
  <c r="H99" i="5"/>
  <c r="J99" i="5"/>
  <c r="J77" i="5"/>
  <c r="H77" i="5"/>
  <c r="I77" i="5"/>
  <c r="I72" i="5"/>
  <c r="J72" i="5"/>
  <c r="H72" i="5"/>
  <c r="J312" i="5"/>
  <c r="I312" i="5"/>
  <c r="H312" i="5"/>
  <c r="I147" i="5"/>
  <c r="J147" i="5"/>
  <c r="H147" i="5"/>
  <c r="J90" i="5"/>
  <c r="H90" i="5"/>
  <c r="I90" i="5"/>
  <c r="J154" i="5"/>
  <c r="I154" i="5"/>
  <c r="H154" i="5"/>
  <c r="J75" i="5"/>
  <c r="H75" i="5"/>
  <c r="I75" i="5"/>
  <c r="I143" i="5"/>
  <c r="J143" i="5"/>
  <c r="H221" i="5"/>
  <c r="J221" i="5"/>
  <c r="I221" i="5"/>
  <c r="J403" i="5"/>
  <c r="I403" i="5"/>
  <c r="H403" i="5"/>
  <c r="I457" i="5"/>
  <c r="H457" i="5"/>
  <c r="J457" i="5"/>
  <c r="I93" i="5"/>
  <c r="H93" i="5"/>
  <c r="J93" i="5"/>
  <c r="H63" i="5"/>
  <c r="J63" i="5"/>
  <c r="J108" i="5"/>
  <c r="I108" i="5"/>
  <c r="H108" i="5"/>
  <c r="I234" i="5"/>
  <c r="J234" i="5"/>
  <c r="H211" i="5"/>
  <c r="I211" i="5"/>
  <c r="J211" i="5"/>
  <c r="J383" i="5"/>
  <c r="I383" i="5"/>
  <c r="H383" i="5"/>
  <c r="H115" i="5"/>
  <c r="J115" i="5"/>
  <c r="I115" i="5"/>
  <c r="H33" i="5"/>
  <c r="I33" i="5"/>
  <c r="J33" i="5"/>
  <c r="H171" i="5"/>
  <c r="I171" i="5"/>
  <c r="I325" i="5"/>
  <c r="J325" i="5"/>
  <c r="I432" i="5"/>
  <c r="I49" i="5"/>
  <c r="J314" i="5"/>
  <c r="J394" i="5"/>
  <c r="H121" i="5"/>
  <c r="I183" i="5"/>
  <c r="I199" i="5"/>
  <c r="H217" i="5"/>
  <c r="J217" i="5"/>
  <c r="J350" i="5"/>
  <c r="H262" i="5"/>
  <c r="I204" i="5"/>
  <c r="J308" i="5"/>
  <c r="J432" i="5"/>
  <c r="I121" i="5"/>
  <c r="I222" i="5"/>
  <c r="I409" i="5"/>
  <c r="J159" i="5"/>
  <c r="I350" i="5"/>
  <c r="H316" i="5"/>
  <c r="I346" i="5"/>
  <c r="H159" i="5"/>
  <c r="I316" i="5"/>
  <c r="I231" i="5"/>
  <c r="I467" i="5"/>
  <c r="J483" i="5"/>
  <c r="J231" i="5"/>
  <c r="J127" i="5"/>
  <c r="J199" i="5"/>
  <c r="H394" i="5"/>
  <c r="H203" i="5"/>
  <c r="I203" i="5"/>
  <c r="J203" i="5"/>
  <c r="I474" i="5"/>
  <c r="J474" i="5"/>
  <c r="H474" i="5"/>
  <c r="H307" i="5"/>
  <c r="J307" i="5"/>
  <c r="J410" i="5"/>
  <c r="H410" i="5"/>
  <c r="I410" i="5"/>
  <c r="I359" i="5"/>
  <c r="J359" i="5"/>
  <c r="H359" i="5"/>
  <c r="H222" i="5"/>
  <c r="J161" i="5"/>
  <c r="I282" i="5"/>
  <c r="H297" i="5"/>
  <c r="I297" i="5"/>
  <c r="J110" i="5"/>
  <c r="I110" i="5"/>
  <c r="H110" i="5"/>
  <c r="J461" i="5"/>
  <c r="I461" i="5"/>
  <c r="H361" i="5"/>
  <c r="I361" i="5"/>
  <c r="H433" i="5"/>
  <c r="J433" i="5"/>
  <c r="J305" i="5"/>
  <c r="I305" i="5"/>
  <c r="H305" i="5"/>
  <c r="J259" i="5"/>
  <c r="I259" i="5"/>
  <c r="I123" i="5"/>
  <c r="H123" i="5"/>
  <c r="J123" i="5"/>
  <c r="J283" i="5"/>
  <c r="H223" i="5"/>
  <c r="I223" i="5"/>
  <c r="H352" i="5"/>
  <c r="J468" i="5"/>
  <c r="H468" i="5"/>
  <c r="H112" i="5"/>
  <c r="J112" i="5"/>
  <c r="H219" i="5"/>
  <c r="J219" i="5"/>
  <c r="H289" i="5"/>
  <c r="I160" i="5"/>
  <c r="J160" i="5"/>
  <c r="H248" i="5"/>
  <c r="I248" i="5"/>
  <c r="J248" i="5"/>
  <c r="J499" i="5"/>
  <c r="I499" i="5"/>
  <c r="H499" i="5"/>
  <c r="H210" i="5"/>
  <c r="J210" i="5"/>
  <c r="H334" i="5"/>
  <c r="J334" i="5"/>
  <c r="H427" i="5"/>
  <c r="J427" i="5"/>
  <c r="H59" i="5"/>
  <c r="I59" i="5"/>
  <c r="I92" i="5"/>
  <c r="H92" i="5"/>
  <c r="J374" i="5"/>
  <c r="H374" i="5"/>
  <c r="I319" i="5"/>
  <c r="I135" i="5"/>
  <c r="I414" i="5"/>
  <c r="H152" i="5"/>
  <c r="I152" i="5"/>
  <c r="H107" i="5"/>
  <c r="I107" i="5"/>
  <c r="H34" i="5"/>
  <c r="J34" i="5"/>
  <c r="I91" i="5"/>
  <c r="H91" i="5"/>
  <c r="H160" i="5"/>
  <c r="J38" i="5"/>
  <c r="I38" i="5"/>
  <c r="J349" i="5"/>
  <c r="H349" i="5"/>
  <c r="J247" i="5"/>
  <c r="I247" i="5"/>
  <c r="H247" i="5"/>
  <c r="H135" i="5"/>
  <c r="H101" i="5"/>
  <c r="H279" i="5"/>
  <c r="J279" i="5"/>
  <c r="I442" i="5"/>
  <c r="J442" i="5"/>
  <c r="I287" i="5"/>
  <c r="H287" i="5"/>
  <c r="J84" i="5"/>
  <c r="H84" i="5"/>
  <c r="I396" i="5"/>
  <c r="H396" i="5"/>
  <c r="H454" i="5"/>
  <c r="J454" i="5"/>
  <c r="J280" i="5"/>
  <c r="I332" i="5"/>
  <c r="H254" i="5"/>
  <c r="J290" i="5"/>
  <c r="I290" i="5"/>
  <c r="J164" i="5"/>
  <c r="I164" i="5"/>
  <c r="H441" i="5"/>
  <c r="I441" i="5"/>
  <c r="J441" i="5"/>
  <c r="J89" i="5"/>
  <c r="H89" i="5"/>
  <c r="J150" i="5"/>
  <c r="I150" i="5"/>
  <c r="H241" i="5"/>
  <c r="J241" i="5"/>
  <c r="I141" i="5"/>
  <c r="H141" i="5"/>
  <c r="I228" i="5"/>
  <c r="H228" i="5"/>
  <c r="J228" i="5"/>
  <c r="H280" i="5"/>
  <c r="J332" i="5"/>
  <c r="I270" i="5"/>
  <c r="H270" i="5"/>
  <c r="J240" i="5"/>
  <c r="I240" i="5"/>
  <c r="H172" i="5"/>
  <c r="I172" i="5"/>
  <c r="J239" i="5"/>
  <c r="I239" i="5"/>
  <c r="H239" i="5"/>
  <c r="I193" i="5"/>
  <c r="H193" i="5"/>
  <c r="J193" i="5"/>
  <c r="I369" i="5"/>
  <c r="H369" i="5"/>
  <c r="J369" i="5"/>
  <c r="H354" i="5"/>
  <c r="J354" i="5"/>
  <c r="H65" i="5"/>
  <c r="J65" i="5"/>
  <c r="I65" i="5"/>
  <c r="I202" i="5"/>
  <c r="J202" i="5"/>
  <c r="I487" i="5"/>
  <c r="H487" i="5"/>
  <c r="J191" i="5"/>
  <c r="H191" i="5"/>
  <c r="I191" i="5"/>
  <c r="I283" i="5"/>
  <c r="I413" i="5"/>
  <c r="J413" i="5"/>
  <c r="I373" i="5"/>
  <c r="H340" i="5"/>
  <c r="H478" i="5"/>
  <c r="H180" i="5"/>
  <c r="H202" i="5"/>
  <c r="I374" i="5"/>
  <c r="I289" i="5"/>
  <c r="J277" i="5"/>
  <c r="H277" i="5"/>
  <c r="I277" i="5"/>
  <c r="I306" i="5"/>
  <c r="H306" i="5"/>
  <c r="H194" i="5"/>
  <c r="I194" i="5"/>
  <c r="I201" i="5"/>
  <c r="H234" i="5"/>
  <c r="I382" i="5"/>
  <c r="H204" i="5"/>
  <c r="H466" i="5"/>
  <c r="H384" i="5"/>
  <c r="J382" i="5"/>
  <c r="H49" i="5"/>
  <c r="J455" i="5"/>
  <c r="I128" i="5"/>
  <c r="I252" i="5"/>
  <c r="J466" i="5"/>
  <c r="J384" i="5"/>
  <c r="H411" i="5"/>
  <c r="H185" i="5"/>
  <c r="I139" i="5"/>
  <c r="H325" i="5"/>
  <c r="H139" i="5"/>
  <c r="J171" i="5"/>
  <c r="I232" i="5"/>
  <c r="H502" i="5"/>
  <c r="I17" i="1"/>
  <c r="F34" i="1"/>
  <c r="J34" i="1"/>
  <c r="I12" i="1"/>
  <c r="J23" i="1"/>
  <c r="J17" i="1"/>
  <c r="C18" i="5"/>
  <c r="E18" i="5" s="1"/>
  <c r="E17" i="1"/>
  <c r="D17" i="1"/>
  <c r="F17" i="1"/>
  <c r="D54" i="1"/>
  <c r="B23" i="1"/>
  <c r="H16" i="1"/>
  <c r="C16" i="1"/>
  <c r="C7" i="5"/>
  <c r="E7" i="5" s="1"/>
  <c r="F31" i="1"/>
  <c r="J17" i="5"/>
  <c r="B54" i="1"/>
  <c r="E23" i="1"/>
  <c r="B50" i="1"/>
  <c r="C21" i="5"/>
  <c r="E21" i="5" s="1"/>
  <c r="J23" i="5"/>
  <c r="F42" i="1"/>
  <c r="C44" i="1"/>
  <c r="H54" i="1"/>
  <c r="B11" i="5"/>
  <c r="D11" i="5" s="1"/>
  <c r="F11" i="5" s="1"/>
  <c r="G11" i="5" s="1"/>
  <c r="E36" i="1"/>
  <c r="C34" i="1"/>
  <c r="D34" i="1"/>
  <c r="E50" i="1"/>
  <c r="C50" i="1"/>
  <c r="H50" i="1"/>
  <c r="D27" i="1"/>
  <c r="J27" i="1"/>
  <c r="I45" i="1"/>
  <c r="D23" i="1"/>
  <c r="C26" i="5"/>
  <c r="E26" i="5" s="1"/>
  <c r="F26" i="5" s="1"/>
  <c r="G26" i="5" s="1"/>
  <c r="E54" i="1"/>
  <c r="B16" i="1"/>
  <c r="C52" i="1"/>
  <c r="C54" i="1"/>
  <c r="E42" i="1"/>
  <c r="I50" i="1"/>
  <c r="F16" i="1"/>
  <c r="D42" i="1"/>
  <c r="I20" i="1"/>
  <c r="B9" i="5"/>
  <c r="B7" i="5"/>
  <c r="D7" i="5" s="1"/>
  <c r="F7" i="5" s="1"/>
  <c r="D16" i="1"/>
  <c r="C25" i="5"/>
  <c r="E25" i="5" s="1"/>
  <c r="E52" i="1"/>
  <c r="I54" i="1"/>
  <c r="F23" i="1"/>
  <c r="I23" i="1"/>
  <c r="C42" i="1"/>
  <c r="J16" i="1"/>
  <c r="I27" i="1"/>
  <c r="B25" i="5"/>
  <c r="D25" i="5" s="1"/>
  <c r="F25" i="5" s="1"/>
  <c r="H52" i="1"/>
  <c r="B28" i="5"/>
  <c r="D28" i="5" s="1"/>
  <c r="C11" i="5"/>
  <c r="E11" i="5" s="1"/>
  <c r="B44" i="1"/>
  <c r="K26" i="5"/>
  <c r="L26" i="5" s="1"/>
  <c r="F50" i="1"/>
  <c r="H27" i="1"/>
  <c r="C27" i="1"/>
  <c r="C23" i="1"/>
  <c r="F35" i="1"/>
  <c r="B53" i="1"/>
  <c r="J45" i="1"/>
  <c r="I14" i="1"/>
  <c r="C45" i="1"/>
  <c r="E35" i="1"/>
  <c r="C35" i="1"/>
  <c r="H15" i="1"/>
  <c r="J30" i="1"/>
  <c r="I35" i="1"/>
  <c r="F45" i="1"/>
  <c r="F30" i="1"/>
  <c r="E30" i="1"/>
  <c r="D15" i="1"/>
  <c r="C15" i="1"/>
  <c r="B35" i="1"/>
  <c r="I30" i="1"/>
  <c r="H35" i="1"/>
  <c r="D30" i="1"/>
  <c r="E15" i="1"/>
  <c r="H30" i="1"/>
  <c r="B30" i="1"/>
  <c r="C5" i="5"/>
  <c r="E5" i="5" s="1"/>
  <c r="F5" i="5" s="1"/>
  <c r="J20" i="1"/>
  <c r="J51" i="1"/>
  <c r="H20" i="1"/>
  <c r="B17" i="1"/>
  <c r="F20" i="1"/>
  <c r="D51" i="1"/>
  <c r="I51" i="1"/>
  <c r="J21" i="1"/>
  <c r="J40" i="1"/>
  <c r="B20" i="1"/>
  <c r="E34" i="1"/>
  <c r="E20" i="1"/>
  <c r="C21" i="1"/>
  <c r="B36" i="1"/>
  <c r="B40" i="1"/>
  <c r="B34" i="1"/>
  <c r="B28" i="1"/>
  <c r="I43" i="1"/>
  <c r="D45" i="1"/>
  <c r="B45" i="1"/>
  <c r="F40" i="1"/>
  <c r="E28" i="1"/>
  <c r="D48" i="1"/>
  <c r="H40" i="1"/>
  <c r="C28" i="1"/>
  <c r="D28" i="1"/>
  <c r="F21" i="1"/>
  <c r="F15" i="1"/>
  <c r="B15" i="1"/>
  <c r="H45" i="1"/>
  <c r="E40" i="1"/>
  <c r="J28" i="1"/>
  <c r="I40" i="1"/>
  <c r="C40" i="1"/>
  <c r="F28" i="1"/>
  <c r="C2" i="5"/>
  <c r="E2" i="5" s="1"/>
  <c r="C19" i="1"/>
  <c r="J19" i="1"/>
  <c r="D53" i="1"/>
  <c r="I46" i="1"/>
  <c r="H13" i="1"/>
  <c r="D20" i="1"/>
  <c r="F25" i="1"/>
  <c r="C31" i="1"/>
  <c r="E19" i="1"/>
  <c r="E53" i="1"/>
  <c r="D36" i="1"/>
  <c r="E25" i="1"/>
  <c r="J25" i="1"/>
  <c r="H19" i="1"/>
  <c r="H46" i="1"/>
  <c r="J53" i="1"/>
  <c r="C46" i="1"/>
  <c r="H17" i="1"/>
  <c r="B25" i="1"/>
  <c r="D31" i="1"/>
  <c r="E46" i="1"/>
  <c r="H53" i="1"/>
  <c r="B31" i="1"/>
  <c r="C25" i="1"/>
  <c r="H31" i="1"/>
  <c r="E31" i="1"/>
  <c r="B19" i="1"/>
  <c r="F46" i="1"/>
  <c r="C53" i="1"/>
  <c r="F53" i="1"/>
  <c r="J36" i="1"/>
  <c r="I31" i="1"/>
  <c r="J46" i="1"/>
  <c r="J13" i="1"/>
  <c r="B46" i="1"/>
  <c r="D25" i="1"/>
  <c r="F19" i="1"/>
  <c r="I19" i="5"/>
  <c r="J19" i="5"/>
  <c r="H19" i="5"/>
  <c r="C43" i="1"/>
  <c r="B3" i="5"/>
  <c r="D3" i="5" s="1"/>
  <c r="F3" i="5" s="1"/>
  <c r="J33" i="1"/>
  <c r="F37" i="1"/>
  <c r="H22" i="1"/>
  <c r="C3" i="5"/>
  <c r="E3" i="5" s="1"/>
  <c r="K5" i="5"/>
  <c r="L5" i="5" s="1"/>
  <c r="I13" i="1" s="1"/>
  <c r="H27" i="5"/>
  <c r="F43" i="1"/>
  <c r="H43" i="1"/>
  <c r="I22" i="1"/>
  <c r="D37" i="1"/>
  <c r="B4" i="5"/>
  <c r="D4" i="5" s="1"/>
  <c r="F4" i="5" s="1"/>
  <c r="G4" i="5" s="1"/>
  <c r="K2" i="5"/>
  <c r="F12" i="1"/>
  <c r="D33" i="1"/>
  <c r="B22" i="1"/>
  <c r="E13" i="1"/>
  <c r="B43" i="1"/>
  <c r="E14" i="1"/>
  <c r="F14" i="1"/>
  <c r="I33" i="1"/>
  <c r="C22" i="1"/>
  <c r="E37" i="1"/>
  <c r="C13" i="1"/>
  <c r="D38" i="1"/>
  <c r="B14" i="1"/>
  <c r="D14" i="1"/>
  <c r="F33" i="1"/>
  <c r="D12" i="1"/>
  <c r="J22" i="1"/>
  <c r="J37" i="1"/>
  <c r="I37" i="1"/>
  <c r="F22" i="1"/>
  <c r="J14" i="1"/>
  <c r="C4" i="5"/>
  <c r="E4" i="5" s="1"/>
  <c r="J38" i="1"/>
  <c r="E38" i="1"/>
  <c r="B13" i="1"/>
  <c r="C37" i="1"/>
  <c r="E33" i="1"/>
  <c r="H14" i="1"/>
  <c r="H33" i="1"/>
  <c r="B12" i="1"/>
  <c r="F13" i="1"/>
  <c r="E22" i="1"/>
  <c r="B18" i="5"/>
  <c r="D18" i="5" s="1"/>
  <c r="F18" i="5" s="1"/>
  <c r="G18" i="5" s="1"/>
  <c r="K18" i="5"/>
  <c r="L18" i="5" s="1"/>
  <c r="J12" i="1"/>
  <c r="K14" i="5"/>
  <c r="L14" i="5" s="1"/>
  <c r="C38" i="1"/>
  <c r="B38" i="1"/>
  <c r="E43" i="1"/>
  <c r="J43" i="1"/>
  <c r="C14" i="1"/>
  <c r="H67" i="5"/>
  <c r="I67" i="5"/>
  <c r="J67" i="5"/>
  <c r="H459" i="5"/>
  <c r="I459" i="5"/>
  <c r="J459" i="5"/>
  <c r="I464" i="5"/>
  <c r="H464" i="5"/>
  <c r="J464" i="5"/>
  <c r="H81" i="5"/>
  <c r="I81" i="5"/>
  <c r="J81" i="5"/>
  <c r="I304" i="5"/>
  <c r="H304" i="5"/>
  <c r="J304" i="5"/>
  <c r="I390" i="5"/>
  <c r="H390" i="5"/>
  <c r="J390" i="5"/>
  <c r="H134" i="5"/>
  <c r="J134" i="5"/>
  <c r="I134" i="5"/>
  <c r="I264" i="5"/>
  <c r="H264" i="5"/>
  <c r="J264" i="5"/>
  <c r="H255" i="5"/>
  <c r="J255" i="5"/>
  <c r="I255" i="5"/>
  <c r="I345" i="5"/>
  <c r="J345" i="5"/>
  <c r="H345" i="5"/>
  <c r="H402" i="5"/>
  <c r="J402" i="5"/>
  <c r="I402" i="5"/>
  <c r="I120" i="5"/>
  <c r="J120" i="5"/>
  <c r="H120" i="5"/>
  <c r="I352" i="5"/>
  <c r="J189" i="5"/>
  <c r="I189" i="5"/>
  <c r="H189" i="5"/>
  <c r="I452" i="5"/>
  <c r="H452" i="5"/>
  <c r="J452" i="5"/>
  <c r="I471" i="5"/>
  <c r="J471" i="5"/>
  <c r="H471" i="5"/>
  <c r="H493" i="5"/>
  <c r="I493" i="5"/>
  <c r="J493" i="5"/>
  <c r="J190" i="5"/>
  <c r="I190" i="5"/>
  <c r="H190" i="5"/>
  <c r="J329" i="5"/>
  <c r="I329" i="5"/>
  <c r="I163" i="5"/>
  <c r="J163" i="5"/>
  <c r="H163" i="5"/>
  <c r="I284" i="5"/>
  <c r="H284" i="5"/>
  <c r="J284" i="5"/>
  <c r="H227" i="5"/>
  <c r="I227" i="5"/>
  <c r="J227" i="5"/>
  <c r="I415" i="5"/>
  <c r="J415" i="5"/>
  <c r="H415" i="5"/>
  <c r="I104" i="5"/>
  <c r="I84" i="5"/>
  <c r="H143" i="5"/>
  <c r="I358" i="5"/>
  <c r="H303" i="5"/>
  <c r="H168" i="5"/>
  <c r="H127" i="5"/>
  <c r="J180" i="5"/>
  <c r="J250" i="5"/>
  <c r="I335" i="5"/>
  <c r="J335" i="5"/>
  <c r="H335" i="5"/>
  <c r="J393" i="5"/>
  <c r="I393" i="5"/>
  <c r="J104" i="5"/>
  <c r="I138" i="5"/>
  <c r="J303" i="5"/>
  <c r="J412" i="5"/>
  <c r="I127" i="5"/>
  <c r="I73" i="5"/>
  <c r="J328" i="5"/>
  <c r="H328" i="5"/>
  <c r="J501" i="5"/>
  <c r="I501" i="5"/>
  <c r="H501" i="5"/>
  <c r="I444" i="5"/>
  <c r="J444" i="5"/>
  <c r="H444" i="5"/>
  <c r="J53" i="5"/>
  <c r="H53" i="5"/>
  <c r="H13" i="5"/>
  <c r="I13" i="5"/>
  <c r="J13" i="5"/>
  <c r="J27" i="5"/>
  <c r="I27" i="5"/>
  <c r="J66" i="5"/>
  <c r="H66" i="5"/>
  <c r="I66" i="5"/>
  <c r="I30" i="5"/>
  <c r="J30" i="5"/>
  <c r="I307" i="5"/>
  <c r="H48" i="5"/>
  <c r="H285" i="5"/>
  <c r="H389" i="5"/>
  <c r="H113" i="5"/>
  <c r="J222" i="5"/>
  <c r="H373" i="5"/>
  <c r="H46" i="5"/>
  <c r="J253" i="5"/>
  <c r="I131" i="5"/>
  <c r="H323" i="5"/>
  <c r="J73" i="5"/>
  <c r="I70" i="5"/>
  <c r="J70" i="5"/>
  <c r="H281" i="5"/>
  <c r="I281" i="5"/>
  <c r="I12" i="5"/>
  <c r="H12" i="5"/>
  <c r="J12" i="5"/>
  <c r="J380" i="5"/>
  <c r="I380" i="5"/>
  <c r="H380" i="5"/>
  <c r="J422" i="5"/>
  <c r="H422" i="5"/>
  <c r="I422" i="5"/>
  <c r="I428" i="5"/>
  <c r="H428" i="5"/>
  <c r="J428" i="5"/>
  <c r="H215" i="5"/>
  <c r="I215" i="5"/>
  <c r="J215" i="5"/>
  <c r="J417" i="5"/>
  <c r="H417" i="5"/>
  <c r="I417" i="5"/>
  <c r="I146" i="5"/>
  <c r="H50" i="5"/>
  <c r="J50" i="5"/>
  <c r="J401" i="5"/>
  <c r="I401" i="5"/>
  <c r="H319" i="5"/>
  <c r="I57" i="5"/>
  <c r="H414" i="5"/>
  <c r="J31" i="5"/>
  <c r="I455" i="5"/>
  <c r="H442" i="5"/>
  <c r="H146" i="5"/>
  <c r="H183" i="5"/>
  <c r="H476" i="5"/>
  <c r="I476" i="5"/>
  <c r="H54" i="5"/>
  <c r="I54" i="5"/>
  <c r="J54" i="5"/>
  <c r="I491" i="5"/>
  <c r="H491" i="5"/>
  <c r="J244" i="5"/>
  <c r="H244" i="5"/>
  <c r="I244" i="5"/>
  <c r="H329" i="5"/>
  <c r="I416" i="5"/>
  <c r="H416" i="5"/>
  <c r="I17" i="5"/>
  <c r="H17" i="5"/>
  <c r="I16" i="5"/>
  <c r="H16" i="5"/>
  <c r="J16" i="5"/>
  <c r="H24" i="5"/>
  <c r="I489" i="5"/>
  <c r="J489" i="5"/>
  <c r="H489" i="5"/>
  <c r="J311" i="5"/>
  <c r="I311" i="5"/>
  <c r="J220" i="5"/>
  <c r="I220" i="5"/>
  <c r="H220" i="5"/>
  <c r="I477" i="5"/>
  <c r="H477" i="5"/>
  <c r="H291" i="5"/>
  <c r="I291" i="5"/>
  <c r="J449" i="5"/>
  <c r="I449" i="5"/>
  <c r="H379" i="5"/>
  <c r="I379" i="5"/>
  <c r="J379" i="5"/>
  <c r="H47" i="5"/>
  <c r="I47" i="5"/>
  <c r="J47" i="5"/>
  <c r="J456" i="5"/>
  <c r="I456" i="5"/>
  <c r="H456" i="5"/>
  <c r="H80" i="5"/>
  <c r="I488" i="5"/>
  <c r="I63" i="5"/>
  <c r="I502" i="5"/>
  <c r="J196" i="5"/>
  <c r="J144" i="5"/>
  <c r="I144" i="5"/>
  <c r="H144" i="5"/>
  <c r="H256" i="5"/>
  <c r="H393" i="5"/>
  <c r="H483" i="5"/>
  <c r="J80" i="5"/>
  <c r="H488" i="5"/>
  <c r="H71" i="5"/>
  <c r="I196" i="5"/>
  <c r="J475" i="5"/>
  <c r="H475" i="5"/>
  <c r="J367" i="5"/>
  <c r="I367" i="5"/>
  <c r="I483" i="5"/>
  <c r="H164" i="5"/>
  <c r="J71" i="5"/>
  <c r="J302" i="5"/>
  <c r="J377" i="5"/>
  <c r="I36" i="5"/>
  <c r="I295" i="5"/>
  <c r="H295" i="5"/>
  <c r="J295" i="5"/>
  <c r="I362" i="5"/>
  <c r="C12" i="1"/>
  <c r="E12" i="1"/>
  <c r="H38" i="5"/>
  <c r="H401" i="5"/>
  <c r="I308" i="5"/>
  <c r="I136" i="5"/>
  <c r="J136" i="5"/>
  <c r="I495" i="5"/>
  <c r="J495" i="5"/>
  <c r="H495" i="5"/>
  <c r="I320" i="5"/>
  <c r="H320" i="5"/>
  <c r="H88" i="5"/>
  <c r="J52" i="5"/>
  <c r="H52" i="5"/>
  <c r="I206" i="5"/>
  <c r="H206" i="5"/>
  <c r="J268" i="5"/>
  <c r="I268" i="5"/>
  <c r="I460" i="5"/>
  <c r="H460" i="5"/>
  <c r="H449" i="5"/>
  <c r="I178" i="5"/>
  <c r="H178" i="5"/>
  <c r="I425" i="5"/>
  <c r="J425" i="5"/>
  <c r="K482" i="5"/>
  <c r="L482" i="5" s="1"/>
  <c r="B482" i="5"/>
  <c r="C482" i="5"/>
  <c r="J186" i="5"/>
  <c r="H186" i="5"/>
  <c r="C51" i="1"/>
  <c r="B51" i="1"/>
  <c r="E51" i="1"/>
  <c r="F51" i="1"/>
  <c r="H61" i="5"/>
  <c r="I235" i="5"/>
  <c r="J126" i="5"/>
  <c r="H467" i="5"/>
  <c r="J242" i="5"/>
  <c r="I242" i="5"/>
  <c r="I238" i="5"/>
  <c r="H238" i="5"/>
  <c r="H165" i="5"/>
  <c r="I419" i="5"/>
  <c r="H419" i="5"/>
  <c r="H149" i="5"/>
  <c r="H294" i="5"/>
  <c r="H169" i="5"/>
  <c r="C486" i="5"/>
  <c r="K486" i="5"/>
  <c r="L486" i="5" s="1"/>
  <c r="B486" i="5"/>
  <c r="H463" i="5"/>
  <c r="J463" i="5"/>
  <c r="B462" i="5"/>
  <c r="C462" i="5"/>
  <c r="H301" i="5"/>
  <c r="H360" i="5"/>
  <c r="H313" i="5"/>
  <c r="K363" i="5"/>
  <c r="L363" i="5" s="1"/>
  <c r="B363" i="5"/>
  <c r="C363" i="5"/>
  <c r="K430" i="5"/>
  <c r="L430" i="5" s="1"/>
  <c r="B430" i="5"/>
  <c r="D35" i="1"/>
  <c r="K479" i="5"/>
  <c r="L479" i="5" s="1"/>
  <c r="K299" i="5"/>
  <c r="L299" i="5" s="1"/>
  <c r="C299" i="5"/>
  <c r="C258" i="5"/>
  <c r="B258" i="5"/>
  <c r="K237" i="5"/>
  <c r="L237" i="5" s="1"/>
  <c r="B237" i="5"/>
  <c r="C213" i="5"/>
  <c r="C14" i="5"/>
  <c r="E14" i="5" s="1"/>
  <c r="F14" i="5" s="1"/>
  <c r="G14" i="5" s="1"/>
  <c r="G6" i="5" l="1"/>
  <c r="D9" i="5"/>
  <c r="F9" i="5" s="1"/>
  <c r="G9" i="5" s="1"/>
  <c r="H9" i="5" s="1"/>
  <c r="G7" i="5"/>
  <c r="F6" i="5"/>
  <c r="G3" i="5"/>
  <c r="F28" i="5"/>
  <c r="G28" i="5" s="1"/>
  <c r="J28" i="5" s="1"/>
  <c r="F29" i="5"/>
  <c r="G29" i="5" s="1"/>
  <c r="G5" i="5"/>
  <c r="G25" i="5"/>
  <c r="H25" i="5" s="1"/>
  <c r="F21" i="5"/>
  <c r="G21" i="5" s="1"/>
  <c r="H252" i="5"/>
  <c r="J352" i="5"/>
  <c r="I294" i="5"/>
  <c r="J294" i="5"/>
  <c r="J252" i="5"/>
  <c r="J36" i="5"/>
  <c r="H36" i="5"/>
  <c r="J235" i="5"/>
  <c r="H235" i="5"/>
  <c r="J420" i="5"/>
  <c r="H420" i="5"/>
  <c r="I420" i="5"/>
  <c r="H181" i="5"/>
  <c r="J181" i="5"/>
  <c r="I181" i="5"/>
  <c r="J173" i="5"/>
  <c r="I173" i="5"/>
  <c r="H173" i="5"/>
  <c r="I327" i="5"/>
  <c r="H327" i="5"/>
  <c r="J327" i="5"/>
  <c r="J271" i="5"/>
  <c r="I271" i="5"/>
  <c r="H271" i="5"/>
  <c r="H378" i="5"/>
  <c r="I378" i="5"/>
  <c r="J378" i="5"/>
  <c r="I156" i="5"/>
  <c r="J156" i="5"/>
  <c r="H156" i="5"/>
  <c r="H229" i="5"/>
  <c r="I229" i="5"/>
  <c r="J229" i="5"/>
  <c r="I149" i="5"/>
  <c r="J149" i="5"/>
  <c r="H431" i="5"/>
  <c r="J431" i="5"/>
  <c r="I431" i="5"/>
  <c r="L2" i="5"/>
  <c r="I10" i="1" s="1"/>
  <c r="H10" i="1"/>
  <c r="H26" i="5"/>
  <c r="J26" i="5"/>
  <c r="I26" i="5"/>
  <c r="H7" i="5"/>
  <c r="H23" i="5"/>
  <c r="I23" i="5"/>
  <c r="I9" i="5"/>
  <c r="I28" i="5"/>
  <c r="H28" i="5"/>
  <c r="H18" i="5"/>
  <c r="J18" i="5"/>
  <c r="I18" i="5"/>
  <c r="H11" i="5"/>
  <c r="J11" i="5"/>
  <c r="I11" i="5"/>
  <c r="J20" i="5"/>
  <c r="I20" i="5"/>
  <c r="I7" i="5"/>
  <c r="J7" i="5"/>
  <c r="I322" i="5"/>
  <c r="J322" i="5"/>
  <c r="H322" i="5"/>
  <c r="H226" i="5"/>
  <c r="J226" i="5"/>
  <c r="I226" i="5"/>
  <c r="J6" i="5"/>
  <c r="I6" i="5"/>
  <c r="H6" i="5"/>
  <c r="J386" i="5"/>
  <c r="I386" i="5"/>
  <c r="H386" i="5"/>
  <c r="I404" i="5"/>
  <c r="H404" i="5"/>
  <c r="J404" i="5"/>
  <c r="I233" i="5"/>
  <c r="H233" i="5"/>
  <c r="J233" i="5"/>
  <c r="I490" i="5"/>
  <c r="J490" i="5"/>
  <c r="H490" i="5"/>
  <c r="I469" i="5"/>
  <c r="J469" i="5"/>
  <c r="H469" i="5"/>
  <c r="J32" i="5"/>
  <c r="I32" i="5"/>
  <c r="H32" i="5"/>
  <c r="J116" i="5"/>
  <c r="I116" i="5"/>
  <c r="H116" i="5"/>
  <c r="I485" i="5"/>
  <c r="J485" i="5"/>
  <c r="H485" i="5"/>
  <c r="I293" i="5"/>
  <c r="J293" i="5"/>
  <c r="H293" i="5"/>
  <c r="I357" i="5"/>
  <c r="H357" i="5"/>
  <c r="J357" i="5"/>
  <c r="J208" i="5"/>
  <c r="I208" i="5"/>
  <c r="H208" i="5"/>
  <c r="I175" i="5"/>
  <c r="J175" i="5"/>
  <c r="H175" i="5"/>
  <c r="I176" i="5"/>
  <c r="J176" i="5"/>
  <c r="H176" i="5"/>
  <c r="J166" i="5"/>
  <c r="I166" i="5"/>
  <c r="H166" i="5"/>
  <c r="I498" i="5"/>
  <c r="J498" i="5"/>
  <c r="H498" i="5"/>
  <c r="I82" i="5"/>
  <c r="J82" i="5"/>
  <c r="H82" i="5"/>
  <c r="J318" i="5"/>
  <c r="I318" i="5"/>
  <c r="H318" i="5"/>
  <c r="H145" i="5"/>
  <c r="J145" i="5"/>
  <c r="I145" i="5"/>
  <c r="J106" i="5"/>
  <c r="I106" i="5"/>
  <c r="H106" i="5"/>
  <c r="J479" i="5"/>
  <c r="I479" i="5"/>
  <c r="H479" i="5"/>
  <c r="J351" i="5"/>
  <c r="I351" i="5"/>
  <c r="H351" i="5"/>
  <c r="J251" i="5"/>
  <c r="I251" i="5"/>
  <c r="I337" i="5"/>
  <c r="J337" i="5"/>
  <c r="H337" i="5"/>
  <c r="J437" i="5"/>
  <c r="I437" i="5"/>
  <c r="H437" i="5"/>
  <c r="H157" i="5"/>
  <c r="I157" i="5"/>
  <c r="J157" i="5"/>
  <c r="J25" i="5"/>
  <c r="H58" i="5"/>
  <c r="I58" i="5"/>
  <c r="J58" i="5"/>
  <c r="J447" i="5"/>
  <c r="I447" i="5"/>
  <c r="H481" i="5"/>
  <c r="J481" i="5"/>
  <c r="I481" i="5"/>
  <c r="J430" i="5"/>
  <c r="I430" i="5"/>
  <c r="H430" i="5"/>
  <c r="I68" i="5"/>
  <c r="H68" i="5"/>
  <c r="J68" i="5"/>
  <c r="J434" i="5"/>
  <c r="H434" i="5"/>
  <c r="I434" i="5"/>
  <c r="I451" i="5"/>
  <c r="J451" i="5"/>
  <c r="H451" i="5"/>
  <c r="J406" i="5"/>
  <c r="H406" i="5"/>
  <c r="I406" i="5"/>
  <c r="I376" i="5"/>
  <c r="H376" i="5"/>
  <c r="J376" i="5"/>
  <c r="J398" i="5"/>
  <c r="H398" i="5"/>
  <c r="I398" i="5"/>
  <c r="I321" i="5"/>
  <c r="J321" i="5"/>
  <c r="H447" i="5"/>
  <c r="I436" i="5"/>
  <c r="J436" i="5"/>
  <c r="H436" i="5"/>
  <c r="J408" i="5"/>
  <c r="H408" i="5"/>
  <c r="I408" i="5"/>
  <c r="I315" i="5"/>
  <c r="H315" i="5"/>
  <c r="J315" i="5"/>
  <c r="H486" i="5"/>
  <c r="J165" i="5"/>
  <c r="I165" i="5"/>
  <c r="H321" i="5"/>
  <c r="H368" i="5"/>
  <c r="J368" i="5"/>
  <c r="I368" i="5"/>
  <c r="I88" i="5"/>
  <c r="J88" i="5"/>
  <c r="I423" i="5"/>
  <c r="H423" i="5"/>
  <c r="J423" i="5"/>
  <c r="I4" i="5"/>
  <c r="J4" i="5"/>
  <c r="J8" i="5"/>
  <c r="I8" i="5"/>
  <c r="I347" i="5"/>
  <c r="J347" i="5"/>
  <c r="H347" i="5"/>
  <c r="J375" i="5"/>
  <c r="I375" i="5"/>
  <c r="H375" i="5"/>
  <c r="J133" i="5"/>
  <c r="H133" i="5"/>
  <c r="I133" i="5"/>
  <c r="J443" i="5"/>
  <c r="H443" i="5"/>
  <c r="I443" i="5"/>
  <c r="H275" i="5"/>
  <c r="I275" i="5"/>
  <c r="J275" i="5"/>
  <c r="H100" i="5"/>
  <c r="I100" i="5"/>
  <c r="J100" i="5"/>
  <c r="H246" i="5"/>
  <c r="I246" i="5"/>
  <c r="J246" i="5"/>
  <c r="H392" i="5"/>
  <c r="I392" i="5"/>
  <c r="J392" i="5"/>
  <c r="I224" i="5"/>
  <c r="H224" i="5"/>
  <c r="J224" i="5"/>
  <c r="H14" i="5"/>
  <c r="H363" i="5"/>
  <c r="I296" i="5"/>
  <c r="H296" i="5"/>
  <c r="J296" i="5"/>
  <c r="J44" i="5"/>
  <c r="I44" i="5"/>
  <c r="H44" i="5"/>
  <c r="H265" i="5"/>
  <c r="J265" i="5"/>
  <c r="I265" i="5"/>
  <c r="H10" i="5"/>
  <c r="I10" i="5"/>
  <c r="J10" i="5"/>
  <c r="H395" i="5"/>
  <c r="J395" i="5"/>
  <c r="I395" i="5"/>
  <c r="J209" i="5"/>
  <c r="I209" i="5"/>
  <c r="J256" i="5"/>
  <c r="I256" i="5"/>
  <c r="H2" i="5"/>
  <c r="J2" i="5"/>
  <c r="I2" i="5"/>
  <c r="I225" i="5"/>
  <c r="H225" i="5"/>
  <c r="J225" i="5"/>
  <c r="I78" i="5"/>
  <c r="H78" i="5"/>
  <c r="J78" i="5"/>
  <c r="H86" i="5"/>
  <c r="I86" i="5"/>
  <c r="J86" i="5"/>
  <c r="H55" i="5"/>
  <c r="J55" i="5"/>
  <c r="I55" i="5"/>
  <c r="I60" i="5"/>
  <c r="H60" i="5"/>
  <c r="J60" i="5"/>
  <c r="J102" i="5"/>
  <c r="I102" i="5"/>
  <c r="H102" i="5"/>
  <c r="I387" i="5"/>
  <c r="J387" i="5"/>
  <c r="H387" i="5"/>
  <c r="J87" i="5"/>
  <c r="I87" i="5"/>
  <c r="H15" i="5"/>
  <c r="J15" i="5"/>
  <c r="I15" i="5"/>
  <c r="I333" i="5"/>
  <c r="J333" i="5"/>
  <c r="H333" i="5"/>
  <c r="I168" i="5"/>
  <c r="J168" i="5"/>
  <c r="H237" i="5"/>
  <c r="I237" i="5"/>
  <c r="J237" i="5"/>
  <c r="H111" i="5"/>
  <c r="I111" i="5"/>
  <c r="J111" i="5"/>
  <c r="J179" i="5"/>
  <c r="H179" i="5"/>
  <c r="I179" i="5"/>
  <c r="H40" i="5"/>
  <c r="I40" i="5"/>
  <c r="J40" i="5"/>
  <c r="I103" i="5"/>
  <c r="H103" i="5"/>
  <c r="J103" i="5"/>
  <c r="I364" i="5"/>
  <c r="J364" i="5"/>
  <c r="J356" i="5"/>
  <c r="H356" i="5"/>
  <c r="I356" i="5"/>
  <c r="H364" i="5"/>
  <c r="I109" i="5"/>
  <c r="H109" i="5"/>
  <c r="J109" i="5"/>
  <c r="H209" i="5"/>
  <c r="J22" i="5"/>
  <c r="H22" i="5"/>
  <c r="I22" i="5"/>
  <c r="H87" i="5"/>
  <c r="I473" i="5"/>
  <c r="J473" i="5"/>
  <c r="H473" i="5"/>
  <c r="I285" i="5"/>
  <c r="J285" i="5"/>
  <c r="H462" i="5"/>
  <c r="H298" i="5"/>
  <c r="I298" i="5"/>
  <c r="J298" i="5"/>
  <c r="I61" i="5"/>
  <c r="J61" i="5"/>
  <c r="I24" i="5"/>
  <c r="J24" i="5"/>
  <c r="J5" i="5"/>
  <c r="I5" i="5"/>
  <c r="H258" i="5"/>
  <c r="I292" i="5"/>
  <c r="H292" i="5"/>
  <c r="J292" i="5"/>
  <c r="I313" i="5"/>
  <c r="J313" i="5"/>
  <c r="H330" i="5"/>
  <c r="J330" i="5"/>
  <c r="I330" i="5"/>
  <c r="J169" i="5"/>
  <c r="I169" i="5"/>
  <c r="I310" i="5"/>
  <c r="H310" i="5"/>
  <c r="J310" i="5"/>
  <c r="I267" i="5"/>
  <c r="J267" i="5"/>
  <c r="H267" i="5"/>
  <c r="H339" i="5"/>
  <c r="J339" i="5"/>
  <c r="I339" i="5"/>
  <c r="H251" i="5"/>
  <c r="H4" i="5"/>
  <c r="H5" i="5"/>
  <c r="J21" i="5" l="1"/>
  <c r="H21" i="5"/>
  <c r="I21" i="5"/>
  <c r="I25" i="5"/>
  <c r="J9" i="5"/>
  <c r="I29" i="5"/>
  <c r="J29" i="5"/>
  <c r="H29" i="5"/>
  <c r="H3" i="5"/>
  <c r="J3" i="5"/>
  <c r="I3" i="5"/>
  <c r="J299" i="5"/>
  <c r="I299" i="5"/>
  <c r="H299" i="5"/>
  <c r="J482" i="5"/>
  <c r="I482" i="5"/>
  <c r="H482" i="5"/>
  <c r="I213" i="5"/>
  <c r="J213" i="5"/>
  <c r="H213" i="5"/>
  <c r="J486" i="5"/>
  <c r="I486" i="5"/>
  <c r="J14" i="5"/>
  <c r="I14" i="5"/>
  <c r="I363" i="5"/>
  <c r="J363" i="5"/>
  <c r="J258" i="5"/>
  <c r="I258" i="5"/>
  <c r="J462" i="5"/>
  <c r="I462" i="5"/>
</calcChain>
</file>

<file path=xl/sharedStrings.xml><?xml version="1.0" encoding="utf-8"?>
<sst xmlns="http://schemas.openxmlformats.org/spreadsheetml/2006/main" count="39" uniqueCount="35">
  <si>
    <t>Dry Density</t>
  </si>
  <si>
    <t>Wet Density</t>
  </si>
  <si>
    <t>% Compaction</t>
  </si>
  <si>
    <t>Project:</t>
  </si>
  <si>
    <t>Soil Compaction report</t>
  </si>
  <si>
    <t>Proj No:</t>
  </si>
  <si>
    <t>Test No:</t>
  </si>
  <si>
    <t>Date:</t>
  </si>
  <si>
    <t>Report No:</t>
  </si>
  <si>
    <t>Weather:</t>
  </si>
  <si>
    <t>Contractor:</t>
  </si>
  <si>
    <t>Client:</t>
  </si>
  <si>
    <t>Gauge:</t>
  </si>
  <si>
    <t>Test Location</t>
  </si>
  <si>
    <t>Gs (Assumed):</t>
  </si>
  <si>
    <r>
      <t>ρ</t>
    </r>
    <r>
      <rPr>
        <sz val="8"/>
        <rFont val="Arial"/>
        <family val="2"/>
      </rPr>
      <t>Max:</t>
    </r>
  </si>
  <si>
    <r>
      <t>ρMin</t>
    </r>
    <r>
      <rPr>
        <sz val="8"/>
        <rFont val="Arial"/>
        <family val="2"/>
      </rPr>
      <t>:</t>
    </r>
  </si>
  <si>
    <t>%Moisture</t>
  </si>
  <si>
    <t>Den Index</t>
  </si>
  <si>
    <t>Ws</t>
  </si>
  <si>
    <t>Ww</t>
  </si>
  <si>
    <t>Vs</t>
  </si>
  <si>
    <t>Vw</t>
  </si>
  <si>
    <t>Va</t>
  </si>
  <si>
    <t>Vv</t>
  </si>
  <si>
    <t>Degree of Sat</t>
  </si>
  <si>
    <t>Porosity</t>
  </si>
  <si>
    <t>Void Ratio</t>
  </si>
  <si>
    <t>D Rel</t>
  </si>
  <si>
    <t>Pass/Fail</t>
  </si>
  <si>
    <t>Max DD</t>
  </si>
  <si>
    <t>Opt Moist</t>
  </si>
  <si>
    <t>NA</t>
  </si>
  <si>
    <t>Min Comp:</t>
  </si>
  <si>
    <t>Max Comp: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</si>
</sst>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0"/>
    <numFmt numFmtId="166" formatCode="m/d/yy;@"/>
    <numFmt numFmtId="167" formatCode="0.00000"/>
    <numFmt numFmtId="168" formatCode="0.000000"/>
    <numFmt numFmtId="169" formatCode="dd/mm/yy;@"/>
    <numFmt numFmtId="170" formatCode="d/mm/yyyy;@"/>
  </numFmts>
  <fonts count="10" x14ac:knownFonts="1">
    <font>
      <sz val="10"/>
      <name val="Arial Tur"/>
      <charset val="162"/>
    </font>
    <font>
      <sz val="8"/>
      <name val="Arial Tur"/>
      <charset val="162"/>
    </font>
    <font>
      <sz val="10"/>
      <name val="Arial"/>
      <family val="2"/>
      <charset val="162"/>
    </font>
    <font>
      <u/>
      <sz val="10"/>
      <color indexed="12"/>
      <name val="Arial Tur"/>
      <charset val="162"/>
    </font>
    <font>
      <sz val="10"/>
      <name val="Arial"/>
    </font>
    <font>
      <sz val="18"/>
      <name val="Arial"/>
      <family val="2"/>
      <charset val="162"/>
    </font>
    <font>
      <sz val="10"/>
      <name val="Arial"/>
      <family val="2"/>
    </font>
    <font>
      <b/>
      <sz val="10"/>
      <name val="Arial Narrow"/>
      <family val="2"/>
    </font>
    <font>
      <sz val="10"/>
      <name val="Arial Narrow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45">
    <xf numFmtId="0" fontId="0" fillId="0" borderId="0" xfId="0"/>
    <xf numFmtId="0" fontId="2" fillId="0" borderId="0" xfId="0" applyNumberFormat="1" applyFont="1" applyProtection="1">
      <protection locked="0"/>
    </xf>
    <xf numFmtId="0" fontId="3" fillId="0" borderId="0" xfId="1" applyNumberFormat="1" applyAlignment="1" applyProtection="1">
      <protection locked="0"/>
    </xf>
    <xf numFmtId="0" fontId="2" fillId="0" borderId="0" xfId="0" applyNumberFormat="1" applyFont="1" applyAlignment="1" applyProtection="1">
      <alignment horizontal="right"/>
      <protection locked="0"/>
    </xf>
    <xf numFmtId="49" fontId="2" fillId="0" borderId="0" xfId="0" applyNumberFormat="1" applyFont="1" applyBorder="1" applyProtection="1"/>
    <xf numFmtId="49" fontId="2" fillId="0" borderId="0" xfId="0" applyNumberFormat="1" applyFon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1" fontId="4" fillId="0" borderId="0" xfId="2" applyNumberFormat="1" applyProtection="1">
      <protection locked="0"/>
    </xf>
    <xf numFmtId="1" fontId="6" fillId="0" borderId="0" xfId="2" applyNumberFormat="1" applyFont="1" applyProtection="1">
      <protection locked="0"/>
    </xf>
    <xf numFmtId="166" fontId="4" fillId="0" borderId="0" xfId="2" applyNumberFormat="1" applyProtection="1">
      <protection locked="0"/>
    </xf>
    <xf numFmtId="165" fontId="4" fillId="0" borderId="0" xfId="2" applyNumberFormat="1" applyProtection="1">
      <protection locked="0"/>
    </xf>
    <xf numFmtId="167" fontId="4" fillId="0" borderId="0" xfId="2" applyNumberFormat="1" applyProtection="1">
      <protection locked="0"/>
    </xf>
    <xf numFmtId="0" fontId="2" fillId="0" borderId="0" xfId="0" applyNumberFormat="1" applyFont="1" applyProtection="1"/>
    <xf numFmtId="0" fontId="2" fillId="0" borderId="0" xfId="0" applyNumberFormat="1" applyFont="1" applyBorder="1" applyProtection="1"/>
    <xf numFmtId="0" fontId="5" fillId="0" borderId="0" xfId="0" applyNumberFormat="1" applyFont="1" applyAlignment="1" applyProtection="1">
      <alignment horizontal="center"/>
    </xf>
    <xf numFmtId="168" fontId="4" fillId="0" borderId="0" xfId="2" applyNumberFormat="1" applyProtection="1">
      <protection locked="0"/>
    </xf>
    <xf numFmtId="49" fontId="2" fillId="0" borderId="0" xfId="0" applyNumberFormat="1" applyFont="1" applyBorder="1" applyAlignment="1" applyProtection="1">
      <alignment horizontal="right"/>
      <protection locked="0"/>
    </xf>
    <xf numFmtId="0" fontId="3" fillId="0" borderId="0" xfId="1" applyAlignment="1" applyProtection="1"/>
    <xf numFmtId="1" fontId="2" fillId="0" borderId="0" xfId="0" applyNumberFormat="1" applyFont="1" applyBorder="1" applyProtection="1">
      <protection locked="0" hidden="1"/>
    </xf>
    <xf numFmtId="169" fontId="4" fillId="0" borderId="0" xfId="2" applyNumberFormat="1" applyProtection="1">
      <protection locked="0"/>
    </xf>
    <xf numFmtId="3" fontId="0" fillId="0" borderId="0" xfId="0" applyNumberFormat="1"/>
    <xf numFmtId="0" fontId="2" fillId="0" borderId="1" xfId="0" applyNumberFormat="1" applyFont="1" applyBorder="1" applyAlignment="1" applyProtection="1">
      <alignment horizontal="left"/>
      <protection locked="0" hidden="1"/>
    </xf>
    <xf numFmtId="0" fontId="2" fillId="0" borderId="0" xfId="0" applyNumberFormat="1" applyFont="1" applyProtection="1">
      <protection locked="0" hidden="1"/>
    </xf>
    <xf numFmtId="1" fontId="2" fillId="0" borderId="2" xfId="0" applyNumberFormat="1" applyFont="1" applyBorder="1" applyAlignment="1" applyProtection="1">
      <alignment horizontal="left"/>
      <protection locked="0" hidden="1"/>
    </xf>
    <xf numFmtId="0" fontId="2" fillId="0" borderId="2" xfId="0" applyNumberFormat="1" applyFont="1" applyBorder="1" applyAlignment="1" applyProtection="1">
      <alignment horizontal="left"/>
      <protection locked="0" hidden="1"/>
    </xf>
    <xf numFmtId="1" fontId="2" fillId="0" borderId="1" xfId="0" applyNumberFormat="1" applyFont="1" applyBorder="1" applyAlignment="1" applyProtection="1">
      <alignment horizontal="left"/>
      <protection locked="0" hidden="1"/>
    </xf>
    <xf numFmtId="170" fontId="2" fillId="0" borderId="2" xfId="0" applyNumberFormat="1" applyFont="1" applyBorder="1" applyAlignment="1" applyProtection="1">
      <alignment horizontal="left"/>
      <protection locked="0" hidden="1"/>
    </xf>
    <xf numFmtId="170" fontId="2" fillId="0" borderId="0" xfId="0" applyNumberFormat="1" applyFont="1" applyBorder="1" applyAlignment="1" applyProtection="1">
      <protection locked="0" hidden="1"/>
    </xf>
    <xf numFmtId="0" fontId="2" fillId="0" borderId="0" xfId="0" applyNumberFormat="1" applyFont="1" applyBorder="1" applyAlignment="1" applyProtection="1">
      <protection locked="0" hidden="1"/>
    </xf>
    <xf numFmtId="0" fontId="2" fillId="0" borderId="0" xfId="0" applyNumberFormat="1" applyFont="1" applyBorder="1" applyAlignment="1" applyProtection="1">
      <alignment horizontal="left"/>
      <protection locked="0" hidden="1"/>
    </xf>
    <xf numFmtId="0" fontId="2" fillId="0" borderId="0" xfId="0" applyNumberFormat="1" applyFont="1" applyAlignment="1" applyProtection="1">
      <alignment wrapText="1"/>
      <protection locked="0"/>
    </xf>
    <xf numFmtId="1" fontId="0" fillId="0" borderId="0" xfId="0" applyNumberFormat="1"/>
    <xf numFmtId="2" fontId="0" fillId="0" borderId="0" xfId="0" applyNumberFormat="1"/>
    <xf numFmtId="0" fontId="7" fillId="0" borderId="0" xfId="0" applyNumberFormat="1" applyFont="1" applyBorder="1" applyAlignment="1" applyProtection="1">
      <alignment horizontal="center" wrapText="1"/>
      <protection locked="0"/>
    </xf>
    <xf numFmtId="0" fontId="7" fillId="0" borderId="0" xfId="0" applyNumberFormat="1" applyFont="1" applyAlignment="1" applyProtection="1">
      <alignment horizontal="center" wrapText="1"/>
      <protection locked="0"/>
    </xf>
    <xf numFmtId="0" fontId="7" fillId="0" borderId="0" xfId="0" applyNumberFormat="1" applyFont="1" applyAlignment="1" applyProtection="1">
      <alignment horizontal="left" wrapText="1"/>
      <protection locked="0"/>
    </xf>
    <xf numFmtId="2" fontId="8" fillId="0" borderId="0" xfId="0" applyNumberFormat="1" applyFont="1" applyBorder="1" applyAlignment="1" applyProtection="1">
      <alignment horizontal="center"/>
      <protection locked="0"/>
    </xf>
    <xf numFmtId="1" fontId="8" fillId="0" borderId="0" xfId="0" applyNumberFormat="1" applyFont="1" applyBorder="1" applyAlignment="1" applyProtection="1">
      <alignment horizontal="center"/>
      <protection locked="0"/>
    </xf>
    <xf numFmtId="49" fontId="6" fillId="0" borderId="0" xfId="0" applyNumberFormat="1" applyFont="1" applyBorder="1" applyAlignment="1" applyProtection="1">
      <alignment horizontal="right"/>
      <protection locked="0"/>
    </xf>
    <xf numFmtId="0" fontId="2" fillId="0" borderId="2" xfId="0" applyNumberFormat="1" applyFont="1" applyBorder="1" applyAlignment="1" applyProtection="1">
      <alignment horizontal="left"/>
      <protection locked="0"/>
    </xf>
    <xf numFmtId="164" fontId="8" fillId="0" borderId="0" xfId="0" applyNumberFormat="1" applyFont="1" applyBorder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left"/>
      <protection locked="0"/>
    </xf>
    <xf numFmtId="1" fontId="4" fillId="0" borderId="0" xfId="2" applyNumberFormat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2" fontId="8" fillId="0" borderId="0" xfId="0" applyNumberFormat="1" applyFont="1" applyBorder="1" applyAlignment="1" applyProtection="1">
      <alignment horizontal="left"/>
      <protection locked="0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49530</xdr:colOff>
      <xdr:row>1</xdr:row>
      <xdr:rowOff>131233</xdr:rowOff>
    </xdr:from>
    <xdr:to>
      <xdr:col>12</xdr:col>
      <xdr:colOff>307684</xdr:colOff>
      <xdr:row>3</xdr:row>
      <xdr:rowOff>9995</xdr:rowOff>
    </xdr:to>
    <xdr:sp macro="[0]!Sheet2.DoTheImport" textlink="">
      <xdr:nvSpPr>
        <xdr:cNvPr id="18" name="Rounded Rectangle 17">
          <a:extLst>
            <a:ext uri="{FF2B5EF4-FFF2-40B4-BE49-F238E27FC236}">
              <a16:creationId xmlns:a16="http://schemas.microsoft.com/office/drawing/2014/main" id="{D302BCC0-FA26-4385-B019-E958F8E6FF47}"/>
            </a:ext>
          </a:extLst>
        </xdr:cNvPr>
        <xdr:cNvSpPr/>
      </xdr:nvSpPr>
      <xdr:spPr bwMode="auto">
        <a:xfrm>
          <a:off x="6836198" y="169333"/>
          <a:ext cx="1667510" cy="303107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/>
            <a:t>*** Import mnt data ***</a:t>
          </a:r>
        </a:p>
      </xdr:txBody>
    </xdr:sp>
    <xdr:clientData fPrintsWithSheet="0"/>
  </xdr:twoCellAnchor>
  <xdr:twoCellAnchor>
    <xdr:from>
      <xdr:col>10</xdr:col>
      <xdr:colOff>51646</xdr:colOff>
      <xdr:row>3</xdr:row>
      <xdr:rowOff>49531</xdr:rowOff>
    </xdr:from>
    <xdr:to>
      <xdr:col>12</xdr:col>
      <xdr:colOff>214375</xdr:colOff>
      <xdr:row>5</xdr:row>
      <xdr:rowOff>1881</xdr:rowOff>
    </xdr:to>
    <xdr:sp macro="[0]!Sheet2.Viewmnt" textlink="">
      <xdr:nvSpPr>
        <xdr:cNvPr id="19" name="Rounded Rectangle 18">
          <a:extLst>
            <a:ext uri="{FF2B5EF4-FFF2-40B4-BE49-F238E27FC236}">
              <a16:creationId xmlns:a16="http://schemas.microsoft.com/office/drawing/2014/main" id="{D0D87875-D106-47AF-A2E0-6F171F108695}"/>
            </a:ext>
          </a:extLst>
        </xdr:cNvPr>
        <xdr:cNvSpPr/>
      </xdr:nvSpPr>
      <xdr:spPr bwMode="auto">
        <a:xfrm>
          <a:off x="6832599" y="514351"/>
          <a:ext cx="1549031" cy="283505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/>
            <a:t>*** View mnt data ***</a:t>
          </a:r>
        </a:p>
      </xdr:txBody>
    </xdr:sp>
    <xdr:clientData fPrintsWithSheet="0"/>
  </xdr:twoCellAnchor>
  <xdr:twoCellAnchor>
    <xdr:from>
      <xdr:col>10</xdr:col>
      <xdr:colOff>50480</xdr:colOff>
      <xdr:row>5</xdr:row>
      <xdr:rowOff>32884</xdr:rowOff>
    </xdr:from>
    <xdr:to>
      <xdr:col>12</xdr:col>
      <xdr:colOff>118278</xdr:colOff>
      <xdr:row>6</xdr:row>
      <xdr:rowOff>132830</xdr:rowOff>
    </xdr:to>
    <xdr:sp macro="[0]!Sheet2.Clearmnt" textlink="">
      <xdr:nvSpPr>
        <xdr:cNvPr id="12" name="Rounded Rectangle 11">
          <a:extLst>
            <a:ext uri="{FF2B5EF4-FFF2-40B4-BE49-F238E27FC236}">
              <a16:creationId xmlns:a16="http://schemas.microsoft.com/office/drawing/2014/main" id="{C2132550-A2AD-4D44-A400-1E1032FCE389}"/>
            </a:ext>
          </a:extLst>
        </xdr:cNvPr>
        <xdr:cNvSpPr/>
      </xdr:nvSpPr>
      <xdr:spPr bwMode="auto">
        <a:xfrm>
          <a:off x="6837148" y="853516"/>
          <a:ext cx="1431105" cy="277707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/>
            <a:t>*** Clear</a:t>
          </a:r>
          <a:r>
            <a:rPr lang="en-US" baseline="0"/>
            <a:t> </a:t>
          </a:r>
          <a:r>
            <a:rPr lang="en-US"/>
            <a:t>mnt data ***</a:t>
          </a:r>
        </a:p>
      </xdr:txBody>
    </xdr:sp>
    <xdr:clientData fPrintsWithSheet="0"/>
  </xdr:twoCellAnchor>
  <xdr:twoCellAnchor>
    <xdr:from>
      <xdr:col>10</xdr:col>
      <xdr:colOff>89957</xdr:colOff>
      <xdr:row>10</xdr:row>
      <xdr:rowOff>87418</xdr:rowOff>
    </xdr:from>
    <xdr:to>
      <xdr:col>14</xdr:col>
      <xdr:colOff>19060</xdr:colOff>
      <xdr:row>35</xdr:row>
      <xdr:rowOff>60951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9727413A-259C-4C70-AD81-B7437B109C7B}"/>
            </a:ext>
          </a:extLst>
        </xdr:cNvPr>
        <xdr:cNvSpPr txBox="1"/>
      </xdr:nvSpPr>
      <xdr:spPr>
        <a:xfrm>
          <a:off x="6951132" y="1921933"/>
          <a:ext cx="2511214" cy="44280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/>
            <a:t>Instructions:</a:t>
          </a:r>
        </a:p>
        <a:p>
          <a:endParaRPr lang="en-US" sz="1100"/>
        </a:p>
        <a:p>
          <a:r>
            <a:rPr lang="en-US" sz="1100"/>
            <a:t>1)</a:t>
          </a:r>
          <a:r>
            <a:rPr lang="en-US" sz="1100" baseline="0"/>
            <a:t>  </a:t>
          </a:r>
          <a:r>
            <a:rPr lang="en-US" sz="1100"/>
            <a:t>click "Import mnt data" button and navigate to and select the</a:t>
          </a:r>
          <a:r>
            <a:rPr lang="en-US" sz="1100" baseline="0"/>
            <a:t> desired mnt file</a:t>
          </a:r>
        </a:p>
        <a:p>
          <a:endParaRPr lang="en-US" sz="1100" baseline="0"/>
        </a:p>
        <a:p>
          <a:pPr>
            <a:lnSpc>
              <a:spcPts val="1200"/>
            </a:lnSpc>
          </a:pPr>
          <a:r>
            <a:rPr lang="en-US" sz="1100" baseline="0"/>
            <a:t>2)  Select desired column Headers</a:t>
          </a:r>
        </a:p>
        <a:p>
          <a:pPr>
            <a:lnSpc>
              <a:spcPts val="1200"/>
            </a:lnSpc>
          </a:pPr>
          <a:endParaRPr lang="en-US" sz="1100" baseline="0"/>
        </a:p>
        <a:p>
          <a:r>
            <a:rPr lang="en-US" sz="1100" baseline="0"/>
            <a:t>3)  Adjust cell formatting as needed for dates and times.</a:t>
          </a:r>
        </a:p>
        <a:p>
          <a:pPr>
            <a:lnSpc>
              <a:spcPts val="1200"/>
            </a:lnSpc>
          </a:pPr>
          <a:endParaRPr lang="en-US" sz="1100" baseline="0"/>
        </a:p>
        <a:p>
          <a:pPr>
            <a:lnSpc>
              <a:spcPts val="1200"/>
            </a:lnSpc>
          </a:pPr>
          <a:r>
            <a:rPr lang="en-US" sz="1100" baseline="0"/>
            <a:t>4)  Hi-Lite only the desired print area and go to "File" -&gt; "Print" -&gt;  under settings select "Print Selected area" then click the "Print" button.</a:t>
          </a:r>
        </a:p>
        <a:p>
          <a:pPr>
            <a:lnSpc>
              <a:spcPts val="1200"/>
            </a:lnSpc>
          </a:pPr>
          <a:endParaRPr lang="en-US" sz="1100" baseline="0"/>
        </a:p>
        <a:p>
          <a:pPr algn="ctr">
            <a:lnSpc>
              <a:spcPts val="1200"/>
            </a:lnSpc>
          </a:pPr>
          <a:r>
            <a:rPr lang="en-US" sz="1400" u="sng">
              <a:solidFill>
                <a:schemeClr val="dk1"/>
              </a:solidFill>
              <a:latin typeface="+mn-lt"/>
              <a:ea typeface="+mn-ea"/>
              <a:cs typeface="+mn-cs"/>
            </a:rPr>
            <a:t>Adding a Column:</a:t>
          </a:r>
        </a:p>
        <a:p>
          <a:pPr algn="l">
            <a:lnSpc>
              <a:spcPts val="1200"/>
            </a:lnSpc>
          </a:pPr>
          <a:endParaRPr lang="en-US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>
            <a:lnSpc>
              <a:spcPts val="1200"/>
            </a:lnSpc>
          </a:pP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1)  Click on Column header "F" or "G"</a:t>
          </a:r>
        </a:p>
        <a:p>
          <a:pPr algn="l">
            <a:lnSpc>
              <a:spcPts val="1200"/>
            </a:lnSpc>
          </a:pPr>
          <a:endParaRPr lang="en-US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>
            <a:lnSpc>
              <a:spcPts val="1200"/>
            </a:lnSpc>
          </a:pP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2)  Right Click and select "Copy"</a:t>
          </a:r>
        </a:p>
        <a:p>
          <a:pPr algn="l">
            <a:lnSpc>
              <a:spcPts val="1200"/>
            </a:lnSpc>
          </a:pPr>
          <a:endParaRPr lang="en-US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>
            <a:lnSpc>
              <a:spcPts val="1200"/>
            </a:lnSpc>
          </a:pP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3)  Right click on the hilighted column again and select "Insert copied cells"</a:t>
          </a:r>
        </a:p>
      </xdr:txBody>
    </xdr:sp>
    <xdr:clientData fPrintsWithSheet="0"/>
  </xdr:twoCellAnchor>
  <xdr:twoCellAnchor>
    <xdr:from>
      <xdr:col>10</xdr:col>
      <xdr:colOff>50480</xdr:colOff>
      <xdr:row>7</xdr:row>
      <xdr:rowOff>54474</xdr:rowOff>
    </xdr:from>
    <xdr:to>
      <xdr:col>12</xdr:col>
      <xdr:colOff>118278</xdr:colOff>
      <xdr:row>8</xdr:row>
      <xdr:rowOff>153282</xdr:rowOff>
    </xdr:to>
    <xdr:sp macro="[0]!Print_Selection" textlink="">
      <xdr:nvSpPr>
        <xdr:cNvPr id="9" name="Rounded Rectangle 8">
          <a:extLst>
            <a:ext uri="{FF2B5EF4-FFF2-40B4-BE49-F238E27FC236}">
              <a16:creationId xmlns:a16="http://schemas.microsoft.com/office/drawing/2014/main" id="{F6228794-A69B-48AC-AA41-A9C64178DF54}"/>
            </a:ext>
          </a:extLst>
        </xdr:cNvPr>
        <xdr:cNvSpPr/>
      </xdr:nvSpPr>
      <xdr:spPr bwMode="auto">
        <a:xfrm>
          <a:off x="6896415" y="1217582"/>
          <a:ext cx="1431105" cy="277707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/>
            <a:t>*** Print Selection***</a:t>
          </a:r>
        </a:p>
      </xdr:txBody>
    </xdr:sp>
    <xdr:clientData fPrintsWithSheet="0"/>
  </xdr:twoCellAnchor>
  <xdr:twoCellAnchor editAs="absolute">
    <xdr:from>
      <xdr:col>14</xdr:col>
      <xdr:colOff>2117</xdr:colOff>
      <xdr:row>1</xdr:row>
      <xdr:rowOff>53340</xdr:rowOff>
    </xdr:from>
    <xdr:to>
      <xdr:col>14</xdr:col>
      <xdr:colOff>1577975</xdr:colOff>
      <xdr:row>3</xdr:row>
      <xdr:rowOff>38100</xdr:rowOff>
    </xdr:to>
    <xdr:sp macro="" textlink="">
      <xdr:nvSpPr>
        <xdr:cNvPr id="1027" name="Text Box 3" hidden="1">
          <a:extLst>
            <a:ext uri="{FF2B5EF4-FFF2-40B4-BE49-F238E27FC236}">
              <a16:creationId xmlns:a16="http://schemas.microsoft.com/office/drawing/2014/main" id="{55072BB3-AFF9-442D-B55C-9A24973D097C}"/>
            </a:ext>
          </a:extLst>
        </xdr:cNvPr>
        <xdr:cNvSpPr txBox="1">
          <a:spLocks noChangeArrowheads="1"/>
        </xdr:cNvSpPr>
      </xdr:nvSpPr>
      <xdr:spPr bwMode="auto">
        <a:xfrm>
          <a:off x="9966960" y="53340"/>
          <a:ext cx="1584960" cy="4419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434340</xdr:colOff>
      <xdr:row>2</xdr:row>
      <xdr:rowOff>93133</xdr:rowOff>
    </xdr:from>
    <xdr:to>
      <xdr:col>5</xdr:col>
      <xdr:colOff>783590</xdr:colOff>
      <xdr:row>14</xdr:row>
      <xdr:rowOff>19050</xdr:rowOff>
    </xdr:to>
    <xdr:sp macro="" textlink="">
      <xdr:nvSpPr>
        <xdr:cNvPr id="1028" name="Text Box 4" hidden="1">
          <a:extLst>
            <a:ext uri="{FF2B5EF4-FFF2-40B4-BE49-F238E27FC236}">
              <a16:creationId xmlns:a16="http://schemas.microsoft.com/office/drawing/2014/main" id="{2E79591B-36F6-4FCC-9138-4F213F89ADFC}"/>
            </a:ext>
          </a:extLst>
        </xdr:cNvPr>
        <xdr:cNvSpPr txBox="1">
          <a:spLocks noChangeArrowheads="1"/>
        </xdr:cNvSpPr>
      </xdr:nvSpPr>
      <xdr:spPr bwMode="auto">
        <a:xfrm>
          <a:off x="1920240" y="365760"/>
          <a:ext cx="1744980" cy="21488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17</xdr:col>
      <xdr:colOff>16087</xdr:colOff>
      <xdr:row>1</xdr:row>
      <xdr:rowOff>53340</xdr:rowOff>
    </xdr:from>
    <xdr:to>
      <xdr:col>19</xdr:col>
      <xdr:colOff>169333</xdr:colOff>
      <xdr:row>3</xdr:row>
      <xdr:rowOff>38100</xdr:rowOff>
    </xdr:to>
    <xdr:sp macro="" textlink="">
      <xdr:nvSpPr>
        <xdr:cNvPr id="1029" name="Text Box 5" hidden="1">
          <a:extLst>
            <a:ext uri="{FF2B5EF4-FFF2-40B4-BE49-F238E27FC236}">
              <a16:creationId xmlns:a16="http://schemas.microsoft.com/office/drawing/2014/main" id="{7D5D2204-C0D1-420F-A2A8-2E152537EAE0}"/>
            </a:ext>
          </a:extLst>
        </xdr:cNvPr>
        <xdr:cNvSpPr txBox="1">
          <a:spLocks noChangeArrowheads="1"/>
        </xdr:cNvSpPr>
      </xdr:nvSpPr>
      <xdr:spPr bwMode="auto">
        <a:xfrm>
          <a:off x="12923520" y="53340"/>
          <a:ext cx="1531620" cy="4419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30480</xdr:rowOff>
    </xdr:from>
    <xdr:to>
      <xdr:col>3</xdr:col>
      <xdr:colOff>38100</xdr:colOff>
      <xdr:row>1</xdr:row>
      <xdr:rowOff>122523</xdr:rowOff>
    </xdr:to>
    <xdr:sp macro="[0]!Sheet2.Back2rpt" textlink="">
      <xdr:nvSpPr>
        <xdr:cNvPr id="2" name="Rounded Rectangle 1">
          <a:extLst>
            <a:ext uri="{FF2B5EF4-FFF2-40B4-BE49-F238E27FC236}">
              <a16:creationId xmlns:a16="http://schemas.microsoft.com/office/drawing/2014/main" id="{A1E1A077-3864-4271-8867-D216237EAC8B}"/>
            </a:ext>
          </a:extLst>
        </xdr:cNvPr>
        <xdr:cNvSpPr/>
      </xdr:nvSpPr>
      <xdr:spPr bwMode="auto">
        <a:xfrm>
          <a:off x="91440" y="38100"/>
          <a:ext cx="1790700" cy="281940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/>
            <a:t>*** Return to Report</a:t>
          </a:r>
          <a:r>
            <a:rPr lang="en-US" baseline="0"/>
            <a:t> </a:t>
          </a:r>
          <a:r>
            <a:rPr lang="en-US"/>
            <a:t>***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BV509"/>
  <sheetViews>
    <sheetView showZeros="0" tabSelected="1" topLeftCell="B2" zoomScale="90" zoomScaleNormal="90" workbookViewId="0">
      <selection activeCell="N8" sqref="N8"/>
    </sheetView>
  </sheetViews>
  <sheetFormatPr defaultColWidth="9.109375" defaultRowHeight="13.2" x14ac:dyDescent="0.25"/>
  <cols>
    <col min="1" max="1" width="0" style="1" hidden="1" customWidth="1"/>
    <col min="2" max="2" width="10.109375" style="5" bestFit="1" customWidth="1"/>
    <col min="3" max="3" width="11.5546875" style="6" customWidth="1"/>
    <col min="4" max="4" width="10.33203125" style="1" customWidth="1"/>
    <col min="5" max="5" width="10" style="1" customWidth="1"/>
    <col min="6" max="6" width="11.5546875" style="1" customWidth="1"/>
    <col min="7" max="8" width="9.88671875" style="1" customWidth="1"/>
    <col min="9" max="9" width="13.109375" style="1" customWidth="1"/>
    <col min="10" max="10" width="21" style="41" customWidth="1"/>
    <col min="11" max="11" width="9.44140625" style="1" customWidth="1"/>
    <col min="12" max="12" width="10.109375" style="1" customWidth="1"/>
    <col min="13" max="14" width="9.109375" style="1"/>
    <col min="15" max="15" width="23.44140625" style="1" bestFit="1" customWidth="1"/>
    <col min="16" max="16" width="9.109375" style="1"/>
    <col min="17" max="18" width="10.6640625" style="1" bestFit="1" customWidth="1"/>
    <col min="19" max="16384" width="9.109375" style="1"/>
  </cols>
  <sheetData>
    <row r="1" spans="1:74" s="7" customFormat="1" hidden="1" x14ac:dyDescent="0.25">
      <c r="B1" s="7" t="str">
        <f>'Vol Calcs'!A1</f>
        <v>Test No:</v>
      </c>
      <c r="C1" s="7" t="str">
        <f>'Vol Calcs'!B1</f>
        <v>Ws</v>
      </c>
      <c r="D1" s="7" t="str">
        <f>'Vol Calcs'!C1</f>
        <v>Ww</v>
      </c>
      <c r="E1" s="7" t="str">
        <f>'Vol Calcs'!D1</f>
        <v>Vs</v>
      </c>
      <c r="F1" s="7" t="str">
        <f>'Vol Calcs'!E1</f>
        <v>Vw</v>
      </c>
      <c r="G1" s="7" t="str">
        <f>'Vol Calcs'!E1</f>
        <v>Vw</v>
      </c>
      <c r="H1" s="7" t="str">
        <f>'Vol Calcs'!F1</f>
        <v>Va</v>
      </c>
      <c r="I1" s="7" t="str">
        <f>'Vol Calcs'!G1</f>
        <v>Vv</v>
      </c>
      <c r="J1" s="42" t="str">
        <f>'Vol Calcs'!H1</f>
        <v>Degree of Sat</v>
      </c>
      <c r="K1" s="7" t="str">
        <f>'Vol Calcs'!I1</f>
        <v>Porosity</v>
      </c>
      <c r="L1" s="7" t="str">
        <f>'Vol Calcs'!J1</f>
        <v>Void Ratio</v>
      </c>
      <c r="M1" s="7" t="str">
        <f>'Vol Calcs'!K1</f>
        <v>D Rel</v>
      </c>
      <c r="N1" s="7" t="str">
        <f>'Vol Calcs'!L1</f>
        <v>Den Index</v>
      </c>
      <c r="O1" s="7" t="str">
        <f>'Vol Calcs'!M1</f>
        <v>Pass/Fail</v>
      </c>
      <c r="P1" s="7">
        <f>'Vol Calcs'!N1</f>
        <v>0</v>
      </c>
      <c r="Q1" s="7">
        <f>'Vol Calcs'!O1</f>
        <v>0</v>
      </c>
      <c r="R1" s="7">
        <f>'Vol Calcs'!P1</f>
        <v>0</v>
      </c>
      <c r="S1" s="7">
        <f>'Vol Calcs'!Q1</f>
        <v>0</v>
      </c>
      <c r="T1" s="7">
        <f>'Vol Calcs'!R1</f>
        <v>0</v>
      </c>
      <c r="U1" s="7">
        <f>'Vol Calcs'!S1</f>
        <v>0</v>
      </c>
      <c r="V1" s="7">
        <f>'Vol Calcs'!T1</f>
        <v>0</v>
      </c>
      <c r="W1" s="7">
        <f>'Vol Calcs'!U1</f>
        <v>0</v>
      </c>
      <c r="X1" s="7">
        <f>'Vol Calcs'!V1</f>
        <v>0</v>
      </c>
      <c r="Y1" s="7">
        <f>'Vol Calcs'!W1</f>
        <v>0</v>
      </c>
      <c r="Z1" s="7">
        <f>'Vol Calcs'!X1</f>
        <v>0</v>
      </c>
      <c r="AA1" s="7">
        <f>'Vol Calcs'!Y1</f>
        <v>0</v>
      </c>
      <c r="AB1" s="7">
        <f>'Vol Calcs'!Z1</f>
        <v>0</v>
      </c>
      <c r="AC1" s="7">
        <f>'Vol Calcs'!AA1</f>
        <v>0</v>
      </c>
      <c r="AD1" s="7">
        <f>'Vol Calcs'!AB1</f>
        <v>0</v>
      </c>
      <c r="AE1" s="7">
        <f>'Vol Calcs'!AC1</f>
        <v>0</v>
      </c>
      <c r="AF1" s="7">
        <f>'Vol Calcs'!AD1</f>
        <v>0</v>
      </c>
      <c r="AG1" s="7">
        <f>'Vol Calcs'!AE1</f>
        <v>0</v>
      </c>
      <c r="AH1" s="7">
        <f>'Vol Calcs'!AF1</f>
        <v>0</v>
      </c>
      <c r="AI1" s="7">
        <f>'Vol Calcs'!AG1</f>
        <v>0</v>
      </c>
      <c r="AJ1" s="7">
        <f>'Vol Calcs'!AH1</f>
        <v>0</v>
      </c>
      <c r="AK1" s="7">
        <f>'Vol Calcs'!AI1</f>
        <v>0</v>
      </c>
      <c r="AL1" s="7">
        <f>'Vol Calcs'!AJ1</f>
        <v>0</v>
      </c>
      <c r="AM1" s="7">
        <f>'Vol Calcs'!AK1</f>
        <v>0</v>
      </c>
      <c r="AN1" s="7">
        <f>'Vol Calcs'!AL1</f>
        <v>0</v>
      </c>
      <c r="AO1" s="7">
        <f>'Vol Calcs'!AM1</f>
        <v>0</v>
      </c>
      <c r="AP1" s="7">
        <f>'Vol Calcs'!AN1</f>
        <v>0</v>
      </c>
      <c r="AQ1" s="7">
        <f>'Vol Calcs'!AO1</f>
        <v>0</v>
      </c>
      <c r="AR1" s="7">
        <f>'Vol Calcs'!AP1</f>
        <v>0</v>
      </c>
      <c r="AS1" s="7">
        <f>'Vol Calcs'!AQ1</f>
        <v>0</v>
      </c>
      <c r="AT1" s="7">
        <f>'Vol Calcs'!AR1</f>
        <v>0</v>
      </c>
      <c r="AU1" s="7">
        <f>'Vol Calcs'!AS1</f>
        <v>0</v>
      </c>
      <c r="AV1" s="7">
        <f>'Vol Calcs'!AT1</f>
        <v>0</v>
      </c>
      <c r="AW1" s="7">
        <f>'Vol Calcs'!AU1</f>
        <v>0</v>
      </c>
      <c r="AX1" s="7">
        <f>'Vol Calcs'!AV1</f>
        <v>0</v>
      </c>
      <c r="AY1" s="7">
        <f>'Vol Calcs'!AW1</f>
        <v>0</v>
      </c>
      <c r="AZ1" s="7">
        <f>'Vol Calcs'!AX1</f>
        <v>0</v>
      </c>
      <c r="BA1" s="7">
        <f>'Vol Calcs'!AY1</f>
        <v>0</v>
      </c>
      <c r="BB1" s="7">
        <f>'Vol Calcs'!AZ1</f>
        <v>0</v>
      </c>
      <c r="BC1" s="7">
        <f>'Vol Calcs'!BA1</f>
        <v>0</v>
      </c>
      <c r="BD1" s="7">
        <f>'Vol Calcs'!BB1</f>
        <v>0</v>
      </c>
      <c r="BE1" s="7">
        <f>'Vol Calcs'!BC1</f>
        <v>0</v>
      </c>
      <c r="BF1" s="7">
        <f>'Vol Calcs'!BD1</f>
        <v>0</v>
      </c>
      <c r="BG1" s="7">
        <f>'Vol Calcs'!BE1</f>
        <v>0</v>
      </c>
      <c r="BH1" s="7">
        <f>'Vol Calcs'!BF1</f>
        <v>0</v>
      </c>
      <c r="BI1" s="7">
        <f>'Vol Calcs'!BG1</f>
        <v>0</v>
      </c>
      <c r="BJ1" s="7">
        <f>'Vol Calcs'!BH1</f>
        <v>0</v>
      </c>
      <c r="BK1" s="7">
        <f>'Vol Calcs'!BI1</f>
        <v>0</v>
      </c>
      <c r="BL1" s="7">
        <f>'Vol Calcs'!BJ1</f>
        <v>0</v>
      </c>
      <c r="BM1" s="7">
        <f>'Vol Calcs'!BK1</f>
        <v>0</v>
      </c>
      <c r="BN1" s="7">
        <f>'Vol Calcs'!BL1</f>
        <v>0</v>
      </c>
      <c r="BO1" s="7">
        <f>'Vol Calcs'!BM1</f>
        <v>0</v>
      </c>
      <c r="BP1" s="7">
        <f>'Vol Calcs'!BN1</f>
        <v>0</v>
      </c>
      <c r="BQ1" s="7">
        <f>'Vol Calcs'!BO1</f>
        <v>0</v>
      </c>
      <c r="BR1" s="7">
        <f>'Vol Calcs'!BP1</f>
        <v>0</v>
      </c>
      <c r="BS1" s="7">
        <f>'mnt Data'!BN4</f>
        <v>0</v>
      </c>
      <c r="BT1" s="7">
        <f>'mnt Data'!BO4</f>
        <v>0</v>
      </c>
      <c r="BU1" s="7">
        <f>'mnt Data'!BP4</f>
        <v>0</v>
      </c>
      <c r="BV1" s="7">
        <f>'mnt Data'!BQ4</f>
        <v>0</v>
      </c>
    </row>
    <row r="2" spans="1:74" ht="22.8" x14ac:dyDescent="0.4">
      <c r="B2" s="4"/>
      <c r="C2" s="13"/>
      <c r="D2" s="12"/>
      <c r="E2" s="12"/>
      <c r="F2" s="14" t="s">
        <v>4</v>
      </c>
      <c r="G2" s="12"/>
      <c r="H2" s="12"/>
      <c r="I2" s="12"/>
      <c r="J2" s="43"/>
      <c r="K2" s="17"/>
    </row>
    <row r="3" spans="1:74" x14ac:dyDescent="0.25">
      <c r="B3" s="16" t="s">
        <v>11</v>
      </c>
      <c r="C3" s="23">
        <f>'mnt Data'!N5</f>
        <v>0</v>
      </c>
      <c r="D3" s="24"/>
      <c r="E3" s="24"/>
      <c r="I3" s="3" t="s">
        <v>7</v>
      </c>
      <c r="J3" s="26">
        <f>'mnt Data'!H5</f>
        <v>0</v>
      </c>
    </row>
    <row r="4" spans="1:74" x14ac:dyDescent="0.25">
      <c r="B4" s="16" t="s">
        <v>10</v>
      </c>
      <c r="C4" s="25">
        <f>'mnt Data'!Q5</f>
        <v>0</v>
      </c>
      <c r="D4" s="24"/>
      <c r="E4" s="24"/>
      <c r="I4" s="3" t="s">
        <v>8</v>
      </c>
      <c r="J4" s="21"/>
      <c r="K4" s="27"/>
    </row>
    <row r="5" spans="1:74" x14ac:dyDescent="0.25">
      <c r="B5" s="16" t="s">
        <v>3</v>
      </c>
      <c r="C5" s="23">
        <f>'mnt Data'!O5</f>
        <v>0</v>
      </c>
      <c r="D5" s="21"/>
      <c r="E5" s="21"/>
      <c r="I5" s="3" t="s">
        <v>5</v>
      </c>
      <c r="J5" s="21"/>
      <c r="K5" s="28"/>
      <c r="M5" s="2"/>
      <c r="N5" s="2"/>
    </row>
    <row r="6" spans="1:74" x14ac:dyDescent="0.25">
      <c r="B6" s="16" t="s">
        <v>12</v>
      </c>
      <c r="C6" s="18">
        <f>'mnt Data'!B3</f>
        <v>0</v>
      </c>
      <c r="I6" s="3" t="s">
        <v>9</v>
      </c>
      <c r="J6" s="21"/>
      <c r="K6" s="28"/>
    </row>
    <row r="7" spans="1:74" x14ac:dyDescent="0.25">
      <c r="B7" s="5" t="s">
        <v>33</v>
      </c>
      <c r="C7" s="21">
        <v>95</v>
      </c>
      <c r="D7" s="22" t="s">
        <v>34</v>
      </c>
      <c r="E7" s="24">
        <v>105</v>
      </c>
      <c r="F7" s="3"/>
      <c r="I7" s="3" t="s">
        <v>14</v>
      </c>
      <c r="J7" s="39" t="s">
        <v>32</v>
      </c>
      <c r="K7" s="28"/>
    </row>
    <row r="8" spans="1:74" x14ac:dyDescent="0.25">
      <c r="B8" s="38" t="s">
        <v>15</v>
      </c>
      <c r="C8" s="39" t="s">
        <v>32</v>
      </c>
      <c r="D8" s="38" t="s">
        <v>16</v>
      </c>
      <c r="E8" s="39" t="s">
        <v>32</v>
      </c>
      <c r="I8" s="41"/>
      <c r="K8" s="29"/>
    </row>
    <row r="9" spans="1:74" ht="27" customHeight="1" x14ac:dyDescent="0.3">
      <c r="B9" s="33" t="s">
        <v>6</v>
      </c>
      <c r="C9" s="33" t="s">
        <v>17</v>
      </c>
      <c r="D9" s="34" t="s">
        <v>1</v>
      </c>
      <c r="E9" s="34" t="s">
        <v>0</v>
      </c>
      <c r="F9" s="34" t="s">
        <v>31</v>
      </c>
      <c r="G9" s="34" t="s">
        <v>30</v>
      </c>
      <c r="H9" s="34" t="s">
        <v>2</v>
      </c>
      <c r="I9" s="34" t="s">
        <v>29</v>
      </c>
      <c r="J9" s="35" t="s">
        <v>13</v>
      </c>
      <c r="K9" s="30"/>
    </row>
    <row r="10" spans="1:74" ht="13.8" x14ac:dyDescent="0.3">
      <c r="A10" s="1">
        <f>IF('mnt Data'!A5=0,0,1)</f>
        <v>0</v>
      </c>
      <c r="B10" s="37">
        <f>IF($A10=0,,HLOOKUP(B$9,'Vol Calcs'!$1:$1048576,$A10+1,FALSE))</f>
        <v>0</v>
      </c>
      <c r="C10" s="40">
        <f>IF($A10=0,,HLOOKUP(C$9,'Vol Calcs'!$1:$1048576,$A10+1,FALSE))</f>
        <v>0</v>
      </c>
      <c r="D10" s="37">
        <f>IF($A10=0,,HLOOKUP(D$9,'Vol Calcs'!$1:$1048576,$A10+1,FALSE))</f>
        <v>0</v>
      </c>
      <c r="E10" s="40">
        <f>IF($A10=0,,HLOOKUP(E$9,'Vol Calcs'!$1:$1048576,$A10+1,FALSE))</f>
        <v>0</v>
      </c>
      <c r="F10" s="40">
        <f>IF($A10=0,,HLOOKUP(F$9,'Vol Calcs'!$1:$1048576,$A10+1,FALSE))</f>
        <v>0</v>
      </c>
      <c r="G10" s="40">
        <f>IF($A10=0,,HLOOKUP(G$9,'Vol Calcs'!$1:$1048576,$A10+1,FALSE))</f>
        <v>0</v>
      </c>
      <c r="H10" s="40">
        <f>IF($A10=0,,HLOOKUP(H$9,'Vol Calcs'!$1:$1048576,$A10+1,FALSE))</f>
        <v>0</v>
      </c>
      <c r="I10" s="40">
        <f>IF($A10=0,,HLOOKUP(I$9,'Vol Calcs'!$1:$1048576,$A10+1,FALSE))</f>
        <v>0</v>
      </c>
      <c r="J10" s="44">
        <f>IF($A10=0,,HLOOKUP(J$9,'Vol Calcs'!$1:$1048576,$A10+1,FALSE))</f>
        <v>0</v>
      </c>
    </row>
    <row r="11" spans="1:74" ht="13.8" x14ac:dyDescent="0.3">
      <c r="A11" s="1">
        <f>IF('mnt Data'!A6=0,0,A10+1)</f>
        <v>0</v>
      </c>
      <c r="B11" s="37">
        <f>IF($A11=0,,HLOOKUP(B$9,'Vol Calcs'!$1:$1048576,$A11+1,FALSE))</f>
        <v>0</v>
      </c>
      <c r="C11" s="40">
        <f>IF($A11=0,,HLOOKUP(C$9,'Vol Calcs'!$1:$1048576,$A11+1,FALSE))</f>
        <v>0</v>
      </c>
      <c r="D11" s="37">
        <f>IF($A11=0,,HLOOKUP(D$9,'Vol Calcs'!$1:$1048576,$A11+1,FALSE))</f>
        <v>0</v>
      </c>
      <c r="E11" s="40">
        <f>IF($A11=0,,HLOOKUP(E$9,'Vol Calcs'!$1:$1048576,$A11+1,FALSE))</f>
        <v>0</v>
      </c>
      <c r="F11" s="40">
        <f>IF($A11=0,,HLOOKUP(F$9,'Vol Calcs'!$1:$1048576,$A11+1,FALSE))</f>
        <v>0</v>
      </c>
      <c r="G11" s="40">
        <f>IF($A11=0,,HLOOKUP(G$9,'Vol Calcs'!$1:$1048576,$A11+1,FALSE))</f>
        <v>0</v>
      </c>
      <c r="H11" s="40">
        <f>IF($A11=0,,HLOOKUP(H$9,'Vol Calcs'!$1:$1048576,$A11+1,FALSE))</f>
        <v>0</v>
      </c>
      <c r="I11" s="40">
        <f>IF($A11=0,,HLOOKUP(I$9,'Vol Calcs'!$1:$1048576,$A11+1,FALSE))</f>
        <v>0</v>
      </c>
      <c r="J11" s="44">
        <f>IF($A11=0,,HLOOKUP(J$9,'Vol Calcs'!$1:$1048576,$A11+1,FALSE))</f>
        <v>0</v>
      </c>
    </row>
    <row r="12" spans="1:74" ht="13.8" x14ac:dyDescent="0.3">
      <c r="A12" s="1">
        <f>IF('mnt Data'!A7=0,0,A11+1)</f>
        <v>0</v>
      </c>
      <c r="B12" s="37">
        <f>IF($A12=0,,HLOOKUP(B$9,'Vol Calcs'!$1:$1048576,$A12+1,FALSE))</f>
        <v>0</v>
      </c>
      <c r="C12" s="37">
        <f>IF($A12=0,,HLOOKUP(C$9,'Vol Calcs'!$1:$1048576,$A12+1,FALSE))</f>
        <v>0</v>
      </c>
      <c r="D12" s="40">
        <f>IF($A12=0,,HLOOKUP(D$9,'Vol Calcs'!$1:$1048576,$A12+1,FALSE))</f>
        <v>0</v>
      </c>
      <c r="E12" s="37">
        <f>IF($A12=0,,HLOOKUP(E$9,'Vol Calcs'!$1:$1048576,$A12+1,FALSE))</f>
        <v>0</v>
      </c>
      <c r="F12" s="40">
        <f>IF($A12=0,,HLOOKUP(F$9,'Vol Calcs'!$1:$1048576,$A12+1,FALSE))</f>
        <v>0</v>
      </c>
      <c r="G12" s="40">
        <f>IF($A12=0,,HLOOKUP(G$9,'Vol Calcs'!$1:$1048576,$A12+1,FALSE))</f>
        <v>0</v>
      </c>
      <c r="H12" s="40">
        <f>IF($A12=0,,HLOOKUP(H$9,'Vol Calcs'!$1:$1048576,$A12+1,FALSE))</f>
        <v>0</v>
      </c>
      <c r="I12" s="40">
        <f>IF($A12=0,,HLOOKUP(I$9,'Vol Calcs'!$1:$1048576,$A12+1,FALSE))</f>
        <v>0</v>
      </c>
      <c r="J12" s="44">
        <f>IF($A12=0,,HLOOKUP(J$9,'Vol Calcs'!$1:$1048576,$A12+1,FALSE))</f>
        <v>0</v>
      </c>
    </row>
    <row r="13" spans="1:74" ht="13.8" x14ac:dyDescent="0.3">
      <c r="A13" s="1">
        <f>IF('mnt Data'!A8=0,0,A12+1)</f>
        <v>0</v>
      </c>
      <c r="B13" s="37">
        <f>IF($A13=0,,HLOOKUP(B$9,'Vol Calcs'!$1:$1048576,$A13+1,FALSE))</f>
        <v>0</v>
      </c>
      <c r="C13" s="36">
        <f>IF($A13=0,,HLOOKUP(C$9,'Vol Calcs'!$1:$1048576,$A13+1,FALSE))</f>
        <v>0</v>
      </c>
      <c r="D13" s="36">
        <f>IF($A13=0,,HLOOKUP(D$9,'Vol Calcs'!$1:$1048576,$A13+1,FALSE))</f>
        <v>0</v>
      </c>
      <c r="E13" s="36">
        <f>IF($A13=0,,HLOOKUP(E$9,'Vol Calcs'!$1:$1048576,$A13+1,FALSE))</f>
        <v>0</v>
      </c>
      <c r="F13" s="36">
        <f>IF($A13=0,,HLOOKUP(F$9,'Vol Calcs'!$1:$1048576,$A13+1,FALSE))</f>
        <v>0</v>
      </c>
      <c r="G13" s="36">
        <f>IF($A13=0,,HLOOKUP(G$9,'Vol Calcs'!$1:$1048576,$A13+1,FALSE))</f>
        <v>0</v>
      </c>
      <c r="H13" s="36">
        <f>IF($A13=0,,HLOOKUP(H$9,'Vol Calcs'!$1:$1048576,$A13+1,FALSE))</f>
        <v>0</v>
      </c>
      <c r="I13" s="36">
        <f>IF($A13=0,,HLOOKUP(I$9,'Vol Calcs'!$1:$1048576,$A13+1,FALSE))</f>
        <v>0</v>
      </c>
      <c r="J13" s="44">
        <f>IF($A13=0,,HLOOKUP(J$9,'Vol Calcs'!$1:$1048576,$A13+1,FALSE))</f>
        <v>0</v>
      </c>
    </row>
    <row r="14" spans="1:74" ht="13.8" x14ac:dyDescent="0.3">
      <c r="A14" s="1">
        <f>IF('mnt Data'!A9=0,0,A13+1)</f>
        <v>0</v>
      </c>
      <c r="B14" s="37">
        <f>IF($A14=0,,HLOOKUP(B$9,'Vol Calcs'!$1:$1048576,$A14+1,FALSE))</f>
        <v>0</v>
      </c>
      <c r="C14" s="36">
        <f>IF($A14=0,,HLOOKUP(C$9,'Vol Calcs'!$1:$1048576,$A14+1,FALSE))</f>
        <v>0</v>
      </c>
      <c r="D14" s="36">
        <f>IF($A14=0,,HLOOKUP(D$9,'Vol Calcs'!$1:$1048576,$A14+1,FALSE))</f>
        <v>0</v>
      </c>
      <c r="E14" s="36">
        <f>IF($A14=0,,HLOOKUP(E$9,'Vol Calcs'!$1:$1048576,$A14+1,FALSE))</f>
        <v>0</v>
      </c>
      <c r="F14" s="36">
        <f>IF($A14=0,,HLOOKUP(F$9,'Vol Calcs'!$1:$1048576,$A14+1,FALSE))</f>
        <v>0</v>
      </c>
      <c r="G14" s="36">
        <f>IF($A14=0,,HLOOKUP(G$9,'Vol Calcs'!$1:$1048576,$A14+1,FALSE))</f>
        <v>0</v>
      </c>
      <c r="H14" s="36">
        <f>IF($A14=0,,HLOOKUP(H$9,'Vol Calcs'!$1:$1048576,$A14+1,FALSE))</f>
        <v>0</v>
      </c>
      <c r="I14" s="36">
        <f>IF($A14=0,,HLOOKUP(I$9,'Vol Calcs'!$1:$1048576,$A14+1,FALSE))</f>
        <v>0</v>
      </c>
      <c r="J14" s="44">
        <f>IF($A14=0,,HLOOKUP(J$9,'Vol Calcs'!$1:$1048576,$A14+1,FALSE))</f>
        <v>0</v>
      </c>
    </row>
    <row r="15" spans="1:74" ht="13.8" x14ac:dyDescent="0.3">
      <c r="A15" s="1">
        <f>IF('mnt Data'!A10=0,0,A14+1)</f>
        <v>0</v>
      </c>
      <c r="B15" s="37">
        <f>IF($A15=0,,HLOOKUP(B$9,'Vol Calcs'!$1:$1048576,$A15+1,FALSE))</f>
        <v>0</v>
      </c>
      <c r="C15" s="36">
        <f>IF($A15=0,,HLOOKUP(C$9,'Vol Calcs'!$1:$1048576,$A15+1,FALSE))</f>
        <v>0</v>
      </c>
      <c r="D15" s="36">
        <f>IF($A15=0,,HLOOKUP(D$9,'Vol Calcs'!$1:$1048576,$A15+1,FALSE))</f>
        <v>0</v>
      </c>
      <c r="E15" s="36">
        <f>IF($A15=0,,HLOOKUP(E$9,'Vol Calcs'!$1:$1048576,$A15+1,FALSE))</f>
        <v>0</v>
      </c>
      <c r="F15" s="36">
        <f>IF($A15=0,,HLOOKUP(F$9,'Vol Calcs'!$1:$1048576,$A15+1,FALSE))</f>
        <v>0</v>
      </c>
      <c r="G15" s="36">
        <f>IF($A15=0,,HLOOKUP(G$9,'Vol Calcs'!$1:$1048576,$A15+1,FALSE))</f>
        <v>0</v>
      </c>
      <c r="H15" s="36">
        <f>IF($A15=0,,HLOOKUP(H$9,'Vol Calcs'!$1:$1048576,$A15+1,FALSE))</f>
        <v>0</v>
      </c>
      <c r="I15" s="36">
        <f>IF($A15=0,,HLOOKUP(I$9,'Vol Calcs'!$1:$1048576,$A15+1,FALSE))</f>
        <v>0</v>
      </c>
      <c r="J15" s="44">
        <f>IF($A15=0,,HLOOKUP(J$9,'Vol Calcs'!$1:$1048576,$A15+1,FALSE))</f>
        <v>0</v>
      </c>
    </row>
    <row r="16" spans="1:74" ht="13.8" x14ac:dyDescent="0.3">
      <c r="A16" s="1">
        <f>IF('mnt Data'!A11=0,0,A15+1)</f>
        <v>0</v>
      </c>
      <c r="B16" s="37">
        <f>IF($A16=0,,HLOOKUP(B$9,'Vol Calcs'!$1:$1048576,$A16+1,FALSE))</f>
        <v>0</v>
      </c>
      <c r="C16" s="36">
        <f>IF($A16=0,,HLOOKUP(C$9,'Vol Calcs'!$1:$1048576,$A16+1,FALSE))</f>
        <v>0</v>
      </c>
      <c r="D16" s="36">
        <f>IF($A16=0,,HLOOKUP(D$9,'Vol Calcs'!$1:$1048576,$A16+1,FALSE))</f>
        <v>0</v>
      </c>
      <c r="E16" s="36">
        <f>IF($A16=0,,HLOOKUP(E$9,'Vol Calcs'!$1:$1048576,$A16+1,FALSE))</f>
        <v>0</v>
      </c>
      <c r="F16" s="36">
        <f>IF($A16=0,,HLOOKUP(F$9,'Vol Calcs'!$1:$1048576,$A16+1,FALSE))</f>
        <v>0</v>
      </c>
      <c r="G16" s="36">
        <f>IF($A16=0,,HLOOKUP(G$9,'Vol Calcs'!$1:$1048576,$A16+1,FALSE))</f>
        <v>0</v>
      </c>
      <c r="H16" s="36">
        <f>IF($A16=0,,HLOOKUP(H$9,'Vol Calcs'!$1:$1048576,$A16+1,FALSE))</f>
        <v>0</v>
      </c>
      <c r="I16" s="36">
        <f>IF($A16=0,,HLOOKUP(I$9,'Vol Calcs'!$1:$1048576,$A16+1,FALSE))</f>
        <v>0</v>
      </c>
      <c r="J16" s="44">
        <f>IF($A16=0,,HLOOKUP(J$9,'Vol Calcs'!$1:$1048576,$A16+1,FALSE))</f>
        <v>0</v>
      </c>
    </row>
    <row r="17" spans="1:10" ht="13.8" x14ac:dyDescent="0.3">
      <c r="A17" s="1">
        <f>IF('mnt Data'!A12=0,0,A16+1)</f>
        <v>0</v>
      </c>
      <c r="B17" s="37">
        <f>IF($A17=0,,HLOOKUP(B$9,'Vol Calcs'!$1:$1048576,$A17+1,FALSE))</f>
        <v>0</v>
      </c>
      <c r="C17" s="36">
        <f>IF($A17=0,,HLOOKUP(C$9,'Vol Calcs'!$1:$1048576,$A17+1,FALSE))</f>
        <v>0</v>
      </c>
      <c r="D17" s="36">
        <f>IF($A17=0,,HLOOKUP(D$9,'Vol Calcs'!$1:$1048576,$A17+1,FALSE))</f>
        <v>0</v>
      </c>
      <c r="E17" s="36">
        <f>IF($A17=0,,HLOOKUP(E$9,'Vol Calcs'!$1:$1048576,$A17+1,FALSE))</f>
        <v>0</v>
      </c>
      <c r="F17" s="36">
        <f>IF($A17=0,,HLOOKUP(F$9,'Vol Calcs'!$1:$1048576,$A17+1,FALSE))</f>
        <v>0</v>
      </c>
      <c r="G17" s="36">
        <f>IF($A17=0,,HLOOKUP(G$9,'Vol Calcs'!$1:$1048576,$A17+1,FALSE))</f>
        <v>0</v>
      </c>
      <c r="H17" s="36">
        <f>IF($A17=0,,HLOOKUP(H$9,'Vol Calcs'!$1:$1048576,$A17+1,FALSE))</f>
        <v>0</v>
      </c>
      <c r="I17" s="36">
        <f>IF($A17=0,,HLOOKUP(I$9,'Vol Calcs'!$1:$1048576,$A17+1,FALSE))</f>
        <v>0</v>
      </c>
      <c r="J17" s="44">
        <f>IF($A17=0,,HLOOKUP(J$9,'Vol Calcs'!$1:$1048576,$A17+1,FALSE))</f>
        <v>0</v>
      </c>
    </row>
    <row r="18" spans="1:10" ht="13.8" x14ac:dyDescent="0.3">
      <c r="A18" s="1">
        <f>IF('mnt Data'!A13=0,0,A17+1)</f>
        <v>0</v>
      </c>
      <c r="B18" s="37">
        <f>IF($A18=0,,HLOOKUP(B$9,'Vol Calcs'!$1:$1048576,$A18+1,FALSE))</f>
        <v>0</v>
      </c>
      <c r="C18" s="36">
        <f>IF($A18=0,,HLOOKUP(C$9,'Vol Calcs'!$1:$1048576,$A18+1,FALSE))</f>
        <v>0</v>
      </c>
      <c r="D18" s="36">
        <f>IF($A18=0,,HLOOKUP(D$9,'Vol Calcs'!$1:$1048576,$A18+1,FALSE))</f>
        <v>0</v>
      </c>
      <c r="E18" s="36">
        <f>IF($A18=0,,HLOOKUP(E$9,'Vol Calcs'!$1:$1048576,$A18+1,FALSE))</f>
        <v>0</v>
      </c>
      <c r="F18" s="36">
        <f>IF($A18=0,,HLOOKUP(F$9,'Vol Calcs'!$1:$1048576,$A18+1,FALSE))</f>
        <v>0</v>
      </c>
      <c r="G18" s="36">
        <f>IF($A18=0,,HLOOKUP(G$9,'Vol Calcs'!$1:$1048576,$A18+1,FALSE))</f>
        <v>0</v>
      </c>
      <c r="H18" s="36">
        <f>IF($A18=0,,HLOOKUP(H$9,'Vol Calcs'!$1:$1048576,$A18+1,FALSE))</f>
        <v>0</v>
      </c>
      <c r="I18" s="36">
        <f>IF($A18=0,,HLOOKUP(I$9,'Vol Calcs'!$1:$1048576,$A18+1,FALSE))</f>
        <v>0</v>
      </c>
      <c r="J18" s="44">
        <f>IF($A18=0,,HLOOKUP(J$9,'Vol Calcs'!$1:$1048576,$A18+1,FALSE))</f>
        <v>0</v>
      </c>
    </row>
    <row r="19" spans="1:10" ht="13.8" x14ac:dyDescent="0.3">
      <c r="A19" s="1">
        <f>IF('mnt Data'!A14=0,0,A18+1)</f>
        <v>0</v>
      </c>
      <c r="B19" s="37">
        <f>IF($A19=0,,HLOOKUP(B$9,'Vol Calcs'!$1:$1048576,$A19+1,FALSE))</f>
        <v>0</v>
      </c>
      <c r="C19" s="36">
        <f>IF($A19=0,,HLOOKUP(C$9,'Vol Calcs'!$1:$1048576,$A19+1,FALSE))</f>
        <v>0</v>
      </c>
      <c r="D19" s="36">
        <f>IF($A19=0,,HLOOKUP(D$9,'Vol Calcs'!$1:$1048576,$A19+1,FALSE))</f>
        <v>0</v>
      </c>
      <c r="E19" s="36">
        <f>IF($A19=0,,HLOOKUP(E$9,'Vol Calcs'!$1:$1048576,$A19+1,FALSE))</f>
        <v>0</v>
      </c>
      <c r="F19" s="36">
        <f>IF($A19=0,,HLOOKUP(F$9,'Vol Calcs'!$1:$1048576,$A19+1,FALSE))</f>
        <v>0</v>
      </c>
      <c r="G19" s="36">
        <f>IF($A19=0,,HLOOKUP(G$9,'Vol Calcs'!$1:$1048576,$A19+1,FALSE))</f>
        <v>0</v>
      </c>
      <c r="H19" s="36">
        <f>IF($A19=0,,HLOOKUP(H$9,'Vol Calcs'!$1:$1048576,$A19+1,FALSE))</f>
        <v>0</v>
      </c>
      <c r="I19" s="36">
        <f>IF($A19=0,,HLOOKUP(I$9,'Vol Calcs'!$1:$1048576,$A19+1,FALSE))</f>
        <v>0</v>
      </c>
      <c r="J19" s="44">
        <f>IF($A19=0,,HLOOKUP(J$9,'Vol Calcs'!$1:$1048576,$A19+1,FALSE))</f>
        <v>0</v>
      </c>
    </row>
    <row r="20" spans="1:10" ht="13.8" x14ac:dyDescent="0.3">
      <c r="A20" s="1">
        <f>IF('mnt Data'!A15=0,0,A19+1)</f>
        <v>0</v>
      </c>
      <c r="B20" s="37">
        <f>IF($A20=0,,HLOOKUP(B$9,'Vol Calcs'!$1:$1048576,$A20+1,FALSE))</f>
        <v>0</v>
      </c>
      <c r="C20" s="36">
        <f>IF($A20=0,,HLOOKUP(C$9,'Vol Calcs'!$1:$1048576,$A20+1,FALSE))</f>
        <v>0</v>
      </c>
      <c r="D20" s="36">
        <f>IF($A20=0,,HLOOKUP(D$9,'Vol Calcs'!$1:$1048576,$A20+1,FALSE))</f>
        <v>0</v>
      </c>
      <c r="E20" s="36">
        <f>IF($A20=0,,HLOOKUP(E$9,'Vol Calcs'!$1:$1048576,$A20+1,FALSE))</f>
        <v>0</v>
      </c>
      <c r="F20" s="36">
        <f>IF($A20=0,,HLOOKUP(F$9,'Vol Calcs'!$1:$1048576,$A20+1,FALSE))</f>
        <v>0</v>
      </c>
      <c r="G20" s="36">
        <f>IF($A20=0,,HLOOKUP(G$9,'Vol Calcs'!$1:$1048576,$A20+1,FALSE))</f>
        <v>0</v>
      </c>
      <c r="H20" s="36">
        <f>IF($A20=0,,HLOOKUP(H$9,'Vol Calcs'!$1:$1048576,$A20+1,FALSE))</f>
        <v>0</v>
      </c>
      <c r="I20" s="36">
        <f>IF($A20=0,,HLOOKUP(I$9,'Vol Calcs'!$1:$1048576,$A20+1,FALSE))</f>
        <v>0</v>
      </c>
      <c r="J20" s="44">
        <f>IF($A20=0,,HLOOKUP(J$9,'Vol Calcs'!$1:$1048576,$A20+1,FALSE))</f>
        <v>0</v>
      </c>
    </row>
    <row r="21" spans="1:10" ht="13.8" x14ac:dyDescent="0.3">
      <c r="A21" s="1">
        <f>IF('mnt Data'!A16=0,0,A20+1)</f>
        <v>0</v>
      </c>
      <c r="B21" s="37">
        <f>IF($A21=0,,HLOOKUP(B$9,'Vol Calcs'!$1:$1048576,$A21+1,FALSE))</f>
        <v>0</v>
      </c>
      <c r="C21" s="36">
        <f>IF($A21=0,,HLOOKUP(C$9,'Vol Calcs'!$1:$1048576,$A21+1,FALSE))</f>
        <v>0</v>
      </c>
      <c r="D21" s="36">
        <f>IF($A21=0,,HLOOKUP(D$9,'Vol Calcs'!$1:$1048576,$A21+1,FALSE))</f>
        <v>0</v>
      </c>
      <c r="E21" s="36">
        <f>IF($A21=0,,HLOOKUP(E$9,'Vol Calcs'!$1:$1048576,$A21+1,FALSE))</f>
        <v>0</v>
      </c>
      <c r="F21" s="36">
        <f>IF($A21=0,,HLOOKUP(F$9,'Vol Calcs'!$1:$1048576,$A21+1,FALSE))</f>
        <v>0</v>
      </c>
      <c r="G21" s="36">
        <f>IF($A21=0,,HLOOKUP(G$9,'Vol Calcs'!$1:$1048576,$A21+1,FALSE))</f>
        <v>0</v>
      </c>
      <c r="H21" s="36">
        <f>IF($A21=0,,HLOOKUP(H$9,'Vol Calcs'!$1:$1048576,$A21+1,FALSE))</f>
        <v>0</v>
      </c>
      <c r="I21" s="36">
        <f>IF($A21=0,,HLOOKUP(I$9,'Vol Calcs'!$1:$1048576,$A21+1,FALSE))</f>
        <v>0</v>
      </c>
      <c r="J21" s="44">
        <f>IF($A21=0,,HLOOKUP(J$9,'Vol Calcs'!$1:$1048576,$A21+1,FALSE))</f>
        <v>0</v>
      </c>
    </row>
    <row r="22" spans="1:10" ht="13.8" x14ac:dyDescent="0.3">
      <c r="A22" s="1">
        <f>IF('mnt Data'!A17=0,0,A21+1)</f>
        <v>0</v>
      </c>
      <c r="B22" s="37">
        <f>IF($A22=0,,HLOOKUP(B$9,'Vol Calcs'!$1:$1048576,$A22+1,FALSE))</f>
        <v>0</v>
      </c>
      <c r="C22" s="36">
        <f>IF($A22=0,,HLOOKUP(C$9,'Vol Calcs'!$1:$1048576,$A22+1,FALSE))</f>
        <v>0</v>
      </c>
      <c r="D22" s="36">
        <f>IF($A22=0,,HLOOKUP(D$9,'Vol Calcs'!$1:$1048576,$A22+1,FALSE))</f>
        <v>0</v>
      </c>
      <c r="E22" s="36">
        <f>IF($A22=0,,HLOOKUP(E$9,'Vol Calcs'!$1:$1048576,$A22+1,FALSE))</f>
        <v>0</v>
      </c>
      <c r="F22" s="36">
        <f>IF($A22=0,,HLOOKUP(F$9,'Vol Calcs'!$1:$1048576,$A22+1,FALSE))</f>
        <v>0</v>
      </c>
      <c r="G22" s="36">
        <f>IF($A22=0,,HLOOKUP(G$9,'Vol Calcs'!$1:$1048576,$A22+1,FALSE))</f>
        <v>0</v>
      </c>
      <c r="H22" s="36">
        <f>IF($A22=0,,HLOOKUP(H$9,'Vol Calcs'!$1:$1048576,$A22+1,FALSE))</f>
        <v>0</v>
      </c>
      <c r="I22" s="36">
        <f>IF($A22=0,,HLOOKUP(I$9,'Vol Calcs'!$1:$1048576,$A22+1,FALSE))</f>
        <v>0</v>
      </c>
      <c r="J22" s="44">
        <f>IF($A22=0,,HLOOKUP(J$9,'Vol Calcs'!$1:$1048576,$A22+1,FALSE))</f>
        <v>0</v>
      </c>
    </row>
    <row r="23" spans="1:10" ht="13.8" x14ac:dyDescent="0.3">
      <c r="A23" s="1">
        <f>IF('mnt Data'!A18=0,0,A22+1)</f>
        <v>0</v>
      </c>
      <c r="B23" s="37">
        <f>IF($A23=0,,HLOOKUP(B$9,'Vol Calcs'!$1:$1048576,$A23+1,FALSE))</f>
        <v>0</v>
      </c>
      <c r="C23" s="36">
        <f>IF($A23=0,,HLOOKUP(C$9,'Vol Calcs'!$1:$1048576,$A23+1,FALSE))</f>
        <v>0</v>
      </c>
      <c r="D23" s="36">
        <f>IF($A23=0,,HLOOKUP(D$9,'Vol Calcs'!$1:$1048576,$A23+1,FALSE))</f>
        <v>0</v>
      </c>
      <c r="E23" s="36">
        <f>IF($A23=0,,HLOOKUP(E$9,'Vol Calcs'!$1:$1048576,$A23+1,FALSE))</f>
        <v>0</v>
      </c>
      <c r="F23" s="36">
        <f>IF($A23=0,,HLOOKUP(F$9,'Vol Calcs'!$1:$1048576,$A23+1,FALSE))</f>
        <v>0</v>
      </c>
      <c r="G23" s="36">
        <f>IF($A23=0,,HLOOKUP(G$9,'Vol Calcs'!$1:$1048576,$A23+1,FALSE))</f>
        <v>0</v>
      </c>
      <c r="H23" s="36">
        <f>IF($A23=0,,HLOOKUP(H$9,'Vol Calcs'!$1:$1048576,$A23+1,FALSE))</f>
        <v>0</v>
      </c>
      <c r="I23" s="36">
        <f>IF($A23=0,,HLOOKUP(I$9,'Vol Calcs'!$1:$1048576,$A23+1,FALSE))</f>
        <v>0</v>
      </c>
      <c r="J23" s="44">
        <f>IF($A23=0,,HLOOKUP(J$9,'Vol Calcs'!$1:$1048576,$A23+1,FALSE))</f>
        <v>0</v>
      </c>
    </row>
    <row r="24" spans="1:10" ht="13.8" x14ac:dyDescent="0.3">
      <c r="A24" s="1">
        <f>IF('mnt Data'!A19=0,0,A23+1)</f>
        <v>0</v>
      </c>
      <c r="B24" s="37">
        <f>IF($A24=0,,HLOOKUP(B$9,'Vol Calcs'!$1:$1048576,$A24+1,FALSE))</f>
        <v>0</v>
      </c>
      <c r="C24" s="36">
        <f>IF($A24=0,,HLOOKUP(C$9,'Vol Calcs'!$1:$1048576,$A24+1,FALSE))</f>
        <v>0</v>
      </c>
      <c r="D24" s="36">
        <f>IF($A24=0,,HLOOKUP(D$9,'Vol Calcs'!$1:$1048576,$A24+1,FALSE))</f>
        <v>0</v>
      </c>
      <c r="E24" s="36">
        <f>IF($A24=0,,HLOOKUP(E$9,'Vol Calcs'!$1:$1048576,$A24+1,FALSE))</f>
        <v>0</v>
      </c>
      <c r="F24" s="36">
        <f>IF($A24=0,,HLOOKUP(F$9,'Vol Calcs'!$1:$1048576,$A24+1,FALSE))</f>
        <v>0</v>
      </c>
      <c r="G24" s="36">
        <f>IF($A24=0,,HLOOKUP(G$9,'Vol Calcs'!$1:$1048576,$A24+1,FALSE))</f>
        <v>0</v>
      </c>
      <c r="H24" s="36">
        <f>IF($A24=0,,HLOOKUP(H$9,'Vol Calcs'!$1:$1048576,$A24+1,FALSE))</f>
        <v>0</v>
      </c>
      <c r="I24" s="36">
        <f>IF($A24=0,,HLOOKUP(I$9,'Vol Calcs'!$1:$1048576,$A24+1,FALSE))</f>
        <v>0</v>
      </c>
      <c r="J24" s="44">
        <f>IF($A24=0,,HLOOKUP(J$9,'Vol Calcs'!$1:$1048576,$A24+1,FALSE))</f>
        <v>0</v>
      </c>
    </row>
    <row r="25" spans="1:10" ht="13.8" x14ac:dyDescent="0.3">
      <c r="A25" s="1">
        <f>IF('mnt Data'!A20=0,0,A24+1)</f>
        <v>0</v>
      </c>
      <c r="B25" s="37">
        <f>IF($A25=0,,HLOOKUP(B$9,'Vol Calcs'!$1:$1048576,$A25+1,FALSE))</f>
        <v>0</v>
      </c>
      <c r="C25" s="36">
        <f>IF($A25=0,,HLOOKUP(C$9,'Vol Calcs'!$1:$1048576,$A25+1,FALSE))</f>
        <v>0</v>
      </c>
      <c r="D25" s="36">
        <f>IF($A25=0,,HLOOKUP(D$9,'Vol Calcs'!$1:$1048576,$A25+1,FALSE))</f>
        <v>0</v>
      </c>
      <c r="E25" s="36">
        <f>IF($A25=0,,HLOOKUP(E$9,'Vol Calcs'!$1:$1048576,$A25+1,FALSE))</f>
        <v>0</v>
      </c>
      <c r="F25" s="36">
        <f>IF($A25=0,,HLOOKUP(F$9,'Vol Calcs'!$1:$1048576,$A25+1,FALSE))</f>
        <v>0</v>
      </c>
      <c r="G25" s="36">
        <f>IF($A25=0,,HLOOKUP(G$9,'Vol Calcs'!$1:$1048576,$A25+1,FALSE))</f>
        <v>0</v>
      </c>
      <c r="H25" s="36">
        <f>IF($A25=0,,HLOOKUP(H$9,'Vol Calcs'!$1:$1048576,$A25+1,FALSE))</f>
        <v>0</v>
      </c>
      <c r="I25" s="36">
        <f>IF($A25=0,,HLOOKUP(I$9,'Vol Calcs'!$1:$1048576,$A25+1,FALSE))</f>
        <v>0</v>
      </c>
      <c r="J25" s="44">
        <f>IF($A25=0,,HLOOKUP(J$9,'Vol Calcs'!$1:$1048576,$A25+1,FALSE))</f>
        <v>0</v>
      </c>
    </row>
    <row r="26" spans="1:10" ht="13.8" x14ac:dyDescent="0.3">
      <c r="A26" s="1">
        <f>IF('mnt Data'!A21=0,0,A25+1)</f>
        <v>0</v>
      </c>
      <c r="B26" s="37">
        <f>IF($A26=0,,HLOOKUP(B$9,'Vol Calcs'!$1:$1048576,$A26+1,FALSE))</f>
        <v>0</v>
      </c>
      <c r="C26" s="36">
        <f>IF($A26=0,,HLOOKUP(C$9,'Vol Calcs'!$1:$1048576,$A26+1,FALSE))</f>
        <v>0</v>
      </c>
      <c r="D26" s="36">
        <f>IF($A26=0,,HLOOKUP(D$9,'Vol Calcs'!$1:$1048576,$A26+1,FALSE))</f>
        <v>0</v>
      </c>
      <c r="E26" s="36">
        <f>IF($A26=0,,HLOOKUP(E$9,'Vol Calcs'!$1:$1048576,$A26+1,FALSE))</f>
        <v>0</v>
      </c>
      <c r="F26" s="36">
        <f>IF($A26=0,,HLOOKUP(F$9,'Vol Calcs'!$1:$1048576,$A26+1,FALSE))</f>
        <v>0</v>
      </c>
      <c r="G26" s="36">
        <f>IF($A26=0,,HLOOKUP(G$9,'Vol Calcs'!$1:$1048576,$A26+1,FALSE))</f>
        <v>0</v>
      </c>
      <c r="H26" s="36">
        <f>IF($A26=0,,HLOOKUP(H$9,'Vol Calcs'!$1:$1048576,$A26+1,FALSE))</f>
        <v>0</v>
      </c>
      <c r="I26" s="36">
        <f>IF($A26=0,,HLOOKUP(I$9,'Vol Calcs'!$1:$1048576,$A26+1,FALSE))</f>
        <v>0</v>
      </c>
      <c r="J26" s="44">
        <f>IF($A26=0,,HLOOKUP(J$9,'Vol Calcs'!$1:$1048576,$A26+1,FALSE))</f>
        <v>0</v>
      </c>
    </row>
    <row r="27" spans="1:10" ht="13.8" x14ac:dyDescent="0.3">
      <c r="A27" s="1">
        <f>IF('mnt Data'!A22=0,0,A26+1)</f>
        <v>0</v>
      </c>
      <c r="B27" s="37">
        <f>IF($A27=0,,HLOOKUP(B$9,'Vol Calcs'!$1:$1048576,$A27+1,FALSE))</f>
        <v>0</v>
      </c>
      <c r="C27" s="36">
        <f>IF($A27=0,,HLOOKUP(C$9,'Vol Calcs'!$1:$1048576,$A27+1,FALSE))</f>
        <v>0</v>
      </c>
      <c r="D27" s="36">
        <f>IF($A27=0,,HLOOKUP(D$9,'Vol Calcs'!$1:$1048576,$A27+1,FALSE))</f>
        <v>0</v>
      </c>
      <c r="E27" s="36">
        <f>IF($A27=0,,HLOOKUP(E$9,'Vol Calcs'!$1:$1048576,$A27+1,FALSE))</f>
        <v>0</v>
      </c>
      <c r="F27" s="36">
        <f>IF($A27=0,,HLOOKUP(F$9,'Vol Calcs'!$1:$1048576,$A27+1,FALSE))</f>
        <v>0</v>
      </c>
      <c r="G27" s="36">
        <f>IF($A27=0,,HLOOKUP(G$9,'Vol Calcs'!$1:$1048576,$A27+1,FALSE))</f>
        <v>0</v>
      </c>
      <c r="H27" s="36">
        <f>IF($A27=0,,HLOOKUP(H$9,'Vol Calcs'!$1:$1048576,$A27+1,FALSE))</f>
        <v>0</v>
      </c>
      <c r="I27" s="36">
        <f>IF($A27=0,,HLOOKUP(I$9,'Vol Calcs'!$1:$1048576,$A27+1,FALSE))</f>
        <v>0</v>
      </c>
      <c r="J27" s="44">
        <f>IF($A27=0,,HLOOKUP(J$9,'Vol Calcs'!$1:$1048576,$A27+1,FALSE))</f>
        <v>0</v>
      </c>
    </row>
    <row r="28" spans="1:10" ht="13.8" x14ac:dyDescent="0.3">
      <c r="A28" s="1">
        <f>IF('mnt Data'!A23=0,0,A27+1)</f>
        <v>0</v>
      </c>
      <c r="B28" s="37">
        <f>IF($A28=0,,HLOOKUP(B$9,'Vol Calcs'!$1:$1048576,$A28+1,FALSE))</f>
        <v>0</v>
      </c>
      <c r="C28" s="36">
        <f>IF($A28=0,,HLOOKUP(C$9,'Vol Calcs'!$1:$1048576,$A28+1,FALSE))</f>
        <v>0</v>
      </c>
      <c r="D28" s="36">
        <f>IF($A28=0,,HLOOKUP(D$9,'Vol Calcs'!$1:$1048576,$A28+1,FALSE))</f>
        <v>0</v>
      </c>
      <c r="E28" s="36">
        <f>IF($A28=0,,HLOOKUP(E$9,'Vol Calcs'!$1:$1048576,$A28+1,FALSE))</f>
        <v>0</v>
      </c>
      <c r="F28" s="36">
        <f>IF($A28=0,,HLOOKUP(F$9,'Vol Calcs'!$1:$1048576,$A28+1,FALSE))</f>
        <v>0</v>
      </c>
      <c r="G28" s="36">
        <f>IF($A28=0,,HLOOKUP(G$9,'Vol Calcs'!$1:$1048576,$A28+1,FALSE))</f>
        <v>0</v>
      </c>
      <c r="H28" s="36">
        <f>IF($A28=0,,HLOOKUP(H$9,'Vol Calcs'!$1:$1048576,$A28+1,FALSE))</f>
        <v>0</v>
      </c>
      <c r="I28" s="36">
        <f>IF($A28=0,,HLOOKUP(I$9,'Vol Calcs'!$1:$1048576,$A28+1,FALSE))</f>
        <v>0</v>
      </c>
      <c r="J28" s="44">
        <f>IF($A28=0,,HLOOKUP(J$9,'Vol Calcs'!$1:$1048576,$A28+1,FALSE))</f>
        <v>0</v>
      </c>
    </row>
    <row r="29" spans="1:10" ht="13.8" x14ac:dyDescent="0.3">
      <c r="A29" s="1">
        <f>IF('mnt Data'!A24=0,0,A28+1)</f>
        <v>0</v>
      </c>
      <c r="B29" s="37">
        <f>IF($A29=0,,HLOOKUP(B$9,'Vol Calcs'!$1:$1048576,$A29+1,FALSE))</f>
        <v>0</v>
      </c>
      <c r="C29" s="36">
        <f>IF($A29=0,,HLOOKUP(C$9,'Vol Calcs'!$1:$1048576,$A29+1,FALSE))</f>
        <v>0</v>
      </c>
      <c r="D29" s="36">
        <f>IF($A29=0,,HLOOKUP(D$9,'Vol Calcs'!$1:$1048576,$A29+1,FALSE))</f>
        <v>0</v>
      </c>
      <c r="E29" s="36">
        <f>IF($A29=0,,HLOOKUP(E$9,'Vol Calcs'!$1:$1048576,$A29+1,FALSE))</f>
        <v>0</v>
      </c>
      <c r="F29" s="36">
        <f>IF($A29=0,,HLOOKUP(F$9,'Vol Calcs'!$1:$1048576,$A29+1,FALSE))</f>
        <v>0</v>
      </c>
      <c r="G29" s="36">
        <f>IF($A29=0,,HLOOKUP(G$9,'Vol Calcs'!$1:$1048576,$A29+1,FALSE))</f>
        <v>0</v>
      </c>
      <c r="H29" s="36">
        <f>IF($A29=0,,HLOOKUP(H$9,'Vol Calcs'!$1:$1048576,$A29+1,FALSE))</f>
        <v>0</v>
      </c>
      <c r="I29" s="36">
        <f>IF($A29=0,,HLOOKUP(I$9,'Vol Calcs'!$1:$1048576,$A29+1,FALSE))</f>
        <v>0</v>
      </c>
      <c r="J29" s="44">
        <f>IF($A29=0,,HLOOKUP(J$9,'Vol Calcs'!$1:$1048576,$A29+1,FALSE))</f>
        <v>0</v>
      </c>
    </row>
    <row r="30" spans="1:10" ht="13.8" x14ac:dyDescent="0.3">
      <c r="A30" s="1">
        <f>IF('mnt Data'!A25=0,0,A29+1)</f>
        <v>0</v>
      </c>
      <c r="B30" s="37">
        <f>IF($A30=0,,HLOOKUP(B$9,'Vol Calcs'!$1:$1048576,$A30+1,FALSE))</f>
        <v>0</v>
      </c>
      <c r="C30" s="36">
        <f>IF($A30=0,,HLOOKUP(C$9,'Vol Calcs'!$1:$1048576,$A30+1,FALSE))</f>
        <v>0</v>
      </c>
      <c r="D30" s="36">
        <f>IF($A30=0,,HLOOKUP(D$9,'Vol Calcs'!$1:$1048576,$A30+1,FALSE))</f>
        <v>0</v>
      </c>
      <c r="E30" s="36">
        <f>IF($A30=0,,HLOOKUP(E$9,'Vol Calcs'!$1:$1048576,$A30+1,FALSE))</f>
        <v>0</v>
      </c>
      <c r="F30" s="36">
        <f>IF($A30=0,,HLOOKUP(F$9,'Vol Calcs'!$1:$1048576,$A30+1,FALSE))</f>
        <v>0</v>
      </c>
      <c r="G30" s="36">
        <f>IF($A30=0,,HLOOKUP(G$9,'Vol Calcs'!$1:$1048576,$A30+1,FALSE))</f>
        <v>0</v>
      </c>
      <c r="H30" s="36">
        <f>IF($A30=0,,HLOOKUP(H$9,'Vol Calcs'!$1:$1048576,$A30+1,FALSE))</f>
        <v>0</v>
      </c>
      <c r="I30" s="36">
        <f>IF($A30=0,,HLOOKUP(I$9,'Vol Calcs'!$1:$1048576,$A30+1,FALSE))</f>
        <v>0</v>
      </c>
      <c r="J30" s="44">
        <f>IF($A30=0,,HLOOKUP(J$9,'Vol Calcs'!$1:$1048576,$A30+1,FALSE))</f>
        <v>0</v>
      </c>
    </row>
    <row r="31" spans="1:10" ht="13.8" x14ac:dyDescent="0.3">
      <c r="A31" s="1">
        <f>IF('mnt Data'!A26=0,0,A30+1)</f>
        <v>0</v>
      </c>
      <c r="B31" s="37">
        <f>IF($A31=0,,HLOOKUP(B$9,'Vol Calcs'!$1:$1048576,$A31+1,FALSE))</f>
        <v>0</v>
      </c>
      <c r="C31" s="36">
        <f>IF($A31=0,,HLOOKUP(C$9,'Vol Calcs'!$1:$1048576,$A31+1,FALSE))</f>
        <v>0</v>
      </c>
      <c r="D31" s="36">
        <f>IF($A31=0,,HLOOKUP(D$9,'Vol Calcs'!$1:$1048576,$A31+1,FALSE))</f>
        <v>0</v>
      </c>
      <c r="E31" s="36">
        <f>IF($A31=0,,HLOOKUP(E$9,'Vol Calcs'!$1:$1048576,$A31+1,FALSE))</f>
        <v>0</v>
      </c>
      <c r="F31" s="36">
        <f>IF($A31=0,,HLOOKUP(F$9,'Vol Calcs'!$1:$1048576,$A31+1,FALSE))</f>
        <v>0</v>
      </c>
      <c r="G31" s="36">
        <f>IF($A31=0,,HLOOKUP(G$9,'Vol Calcs'!$1:$1048576,$A31+1,FALSE))</f>
        <v>0</v>
      </c>
      <c r="H31" s="36">
        <f>IF($A31=0,,HLOOKUP(H$9,'Vol Calcs'!$1:$1048576,$A31+1,FALSE))</f>
        <v>0</v>
      </c>
      <c r="I31" s="36">
        <f>IF($A31=0,,HLOOKUP(I$9,'Vol Calcs'!$1:$1048576,$A31+1,FALSE))</f>
        <v>0</v>
      </c>
      <c r="J31" s="44">
        <f>IF($A31=0,,HLOOKUP(J$9,'Vol Calcs'!$1:$1048576,$A31+1,FALSE))</f>
        <v>0</v>
      </c>
    </row>
    <row r="32" spans="1:10" ht="13.8" x14ac:dyDescent="0.3">
      <c r="A32" s="1">
        <f>IF('mnt Data'!A27=0,0,A31+1)</f>
        <v>0</v>
      </c>
      <c r="B32" s="37">
        <f>IF($A32=0,,HLOOKUP(B$9,'Vol Calcs'!$1:$1048576,$A32+1,FALSE))</f>
        <v>0</v>
      </c>
      <c r="C32" s="36">
        <f>IF($A32=0,,HLOOKUP(C$9,'Vol Calcs'!$1:$1048576,$A32+1,FALSE))</f>
        <v>0</v>
      </c>
      <c r="D32" s="36">
        <f>IF($A32=0,,HLOOKUP(D$9,'Vol Calcs'!$1:$1048576,$A32+1,FALSE))</f>
        <v>0</v>
      </c>
      <c r="E32" s="36">
        <f>IF($A32=0,,HLOOKUP(E$9,'Vol Calcs'!$1:$1048576,$A32+1,FALSE))</f>
        <v>0</v>
      </c>
      <c r="F32" s="36">
        <f>IF($A32=0,,HLOOKUP(F$9,'Vol Calcs'!$1:$1048576,$A32+1,FALSE))</f>
        <v>0</v>
      </c>
      <c r="G32" s="36">
        <f>IF($A32=0,,HLOOKUP(G$9,'Vol Calcs'!$1:$1048576,$A32+1,FALSE))</f>
        <v>0</v>
      </c>
      <c r="H32" s="36">
        <f>IF($A32=0,,HLOOKUP(H$9,'Vol Calcs'!$1:$1048576,$A32+1,FALSE))</f>
        <v>0</v>
      </c>
      <c r="I32" s="36">
        <f>IF($A32=0,,HLOOKUP(I$9,'Vol Calcs'!$1:$1048576,$A32+1,FALSE))</f>
        <v>0</v>
      </c>
      <c r="J32" s="44">
        <f>IF($A32=0,,HLOOKUP(J$9,'Vol Calcs'!$1:$1048576,$A32+1,FALSE))</f>
        <v>0</v>
      </c>
    </row>
    <row r="33" spans="1:10" ht="13.8" x14ac:dyDescent="0.3">
      <c r="A33" s="1">
        <f>IF('mnt Data'!A28=0,0,A32+1)</f>
        <v>0</v>
      </c>
      <c r="B33" s="37">
        <f>IF($A33=0,,HLOOKUP(B$9,'Vol Calcs'!$1:$1048576,$A33+1,FALSE))</f>
        <v>0</v>
      </c>
      <c r="C33" s="36">
        <f>IF($A33=0,,HLOOKUP(C$9,'Vol Calcs'!$1:$1048576,$A33+1,FALSE))</f>
        <v>0</v>
      </c>
      <c r="D33" s="36">
        <f>IF($A33=0,,HLOOKUP(D$9,'Vol Calcs'!$1:$1048576,$A33+1,FALSE))</f>
        <v>0</v>
      </c>
      <c r="E33" s="36">
        <f>IF($A33=0,,HLOOKUP(E$9,'Vol Calcs'!$1:$1048576,$A33+1,FALSE))</f>
        <v>0</v>
      </c>
      <c r="F33" s="36">
        <f>IF($A33=0,,HLOOKUP(F$9,'Vol Calcs'!$1:$1048576,$A33+1,FALSE))</f>
        <v>0</v>
      </c>
      <c r="G33" s="36">
        <f>IF($A33=0,,HLOOKUP(G$9,'Vol Calcs'!$1:$1048576,$A33+1,FALSE))</f>
        <v>0</v>
      </c>
      <c r="H33" s="36">
        <f>IF($A33=0,,HLOOKUP(H$9,'Vol Calcs'!$1:$1048576,$A33+1,FALSE))</f>
        <v>0</v>
      </c>
      <c r="I33" s="36">
        <f>IF($A33=0,,HLOOKUP(I$9,'Vol Calcs'!$1:$1048576,$A33+1,FALSE))</f>
        <v>0</v>
      </c>
      <c r="J33" s="44">
        <f>IF($A33=0,,HLOOKUP(J$9,'Vol Calcs'!$1:$1048576,$A33+1,FALSE))</f>
        <v>0</v>
      </c>
    </row>
    <row r="34" spans="1:10" ht="13.8" x14ac:dyDescent="0.3">
      <c r="A34" s="1">
        <f>IF('mnt Data'!A29=0,0,A33+1)</f>
        <v>0</v>
      </c>
      <c r="B34" s="37">
        <f>IF($A34=0,,HLOOKUP(B$9,'Vol Calcs'!$1:$1048576,$A34+1,FALSE))</f>
        <v>0</v>
      </c>
      <c r="C34" s="36">
        <f>IF($A34=0,,HLOOKUP(C$9,'Vol Calcs'!$1:$1048576,$A34+1,FALSE))</f>
        <v>0</v>
      </c>
      <c r="D34" s="36">
        <f>IF($A34=0,,HLOOKUP(D$9,'Vol Calcs'!$1:$1048576,$A34+1,FALSE))</f>
        <v>0</v>
      </c>
      <c r="E34" s="36">
        <f>IF($A34=0,,HLOOKUP(E$9,'Vol Calcs'!$1:$1048576,$A34+1,FALSE))</f>
        <v>0</v>
      </c>
      <c r="F34" s="36">
        <f>IF($A34=0,,HLOOKUP(F$9,'Vol Calcs'!$1:$1048576,$A34+1,FALSE))</f>
        <v>0</v>
      </c>
      <c r="G34" s="36">
        <f>IF($A34=0,,HLOOKUP(G$9,'Vol Calcs'!$1:$1048576,$A34+1,FALSE))</f>
        <v>0</v>
      </c>
      <c r="H34" s="36">
        <f>IF($A34=0,,HLOOKUP(H$9,'Vol Calcs'!$1:$1048576,$A34+1,FALSE))</f>
        <v>0</v>
      </c>
      <c r="I34" s="36">
        <f>IF($A34=0,,HLOOKUP(I$9,'Vol Calcs'!$1:$1048576,$A34+1,FALSE))</f>
        <v>0</v>
      </c>
      <c r="J34" s="44">
        <f>IF($A34=0,,HLOOKUP(J$9,'Vol Calcs'!$1:$1048576,$A34+1,FALSE))</f>
        <v>0</v>
      </c>
    </row>
    <row r="35" spans="1:10" ht="13.8" x14ac:dyDescent="0.3">
      <c r="A35" s="1">
        <f>IF('mnt Data'!A30=0,0,A34+1)</f>
        <v>0</v>
      </c>
      <c r="B35" s="37">
        <f>IF($A35=0,,HLOOKUP(B$9,'Vol Calcs'!$1:$1048576,$A35+1,FALSE))</f>
        <v>0</v>
      </c>
      <c r="C35" s="36">
        <f>IF($A35=0,,HLOOKUP(C$9,'Vol Calcs'!$1:$1048576,$A35+1,FALSE))</f>
        <v>0</v>
      </c>
      <c r="D35" s="36">
        <f>IF($A35=0,,HLOOKUP(D$9,'Vol Calcs'!$1:$1048576,$A35+1,FALSE))</f>
        <v>0</v>
      </c>
      <c r="E35" s="36">
        <f>IF($A35=0,,HLOOKUP(E$9,'Vol Calcs'!$1:$1048576,$A35+1,FALSE))</f>
        <v>0</v>
      </c>
      <c r="F35" s="36">
        <f>IF($A35=0,,HLOOKUP(F$9,'Vol Calcs'!$1:$1048576,$A35+1,FALSE))</f>
        <v>0</v>
      </c>
      <c r="G35" s="36">
        <f>IF($A35=0,,HLOOKUP(G$9,'Vol Calcs'!$1:$1048576,$A35+1,FALSE))</f>
        <v>0</v>
      </c>
      <c r="H35" s="36">
        <f>IF($A35=0,,HLOOKUP(H$9,'Vol Calcs'!$1:$1048576,$A35+1,FALSE))</f>
        <v>0</v>
      </c>
      <c r="I35" s="36">
        <f>IF($A35=0,,HLOOKUP(I$9,'Vol Calcs'!$1:$1048576,$A35+1,FALSE))</f>
        <v>0</v>
      </c>
      <c r="J35" s="44">
        <f>IF($A35=0,,HLOOKUP(J$9,'Vol Calcs'!$1:$1048576,$A35+1,FALSE))</f>
        <v>0</v>
      </c>
    </row>
    <row r="36" spans="1:10" ht="13.8" x14ac:dyDescent="0.3">
      <c r="A36" s="1">
        <f>IF('mnt Data'!A31=0,0,A35+1)</f>
        <v>0</v>
      </c>
      <c r="B36" s="37">
        <f>IF($A36=0,,HLOOKUP(B$9,'Vol Calcs'!$1:$1048576,$A36+1,FALSE))</f>
        <v>0</v>
      </c>
      <c r="C36" s="36">
        <f>IF($A36=0,,HLOOKUP(C$9,'Vol Calcs'!$1:$1048576,$A36+1,FALSE))</f>
        <v>0</v>
      </c>
      <c r="D36" s="36">
        <f>IF($A36=0,,HLOOKUP(D$9,'Vol Calcs'!$1:$1048576,$A36+1,FALSE))</f>
        <v>0</v>
      </c>
      <c r="E36" s="36">
        <f>IF($A36=0,,HLOOKUP(E$9,'Vol Calcs'!$1:$1048576,$A36+1,FALSE))</f>
        <v>0</v>
      </c>
      <c r="F36" s="36">
        <f>IF($A36=0,,HLOOKUP(F$9,'Vol Calcs'!$1:$1048576,$A36+1,FALSE))</f>
        <v>0</v>
      </c>
      <c r="G36" s="36">
        <f>IF($A36=0,,HLOOKUP(G$9,'Vol Calcs'!$1:$1048576,$A36+1,FALSE))</f>
        <v>0</v>
      </c>
      <c r="H36" s="36">
        <f>IF($A36=0,,HLOOKUP(H$9,'Vol Calcs'!$1:$1048576,$A36+1,FALSE))</f>
        <v>0</v>
      </c>
      <c r="I36" s="36">
        <f>IF($A36=0,,HLOOKUP(I$9,'Vol Calcs'!$1:$1048576,$A36+1,FALSE))</f>
        <v>0</v>
      </c>
      <c r="J36" s="44">
        <f>IF($A36=0,,HLOOKUP(J$9,'Vol Calcs'!$1:$1048576,$A36+1,FALSE))</f>
        <v>0</v>
      </c>
    </row>
    <row r="37" spans="1:10" ht="13.8" x14ac:dyDescent="0.3">
      <c r="A37" s="1">
        <f>IF('mnt Data'!A32=0,0,A36+1)</f>
        <v>0</v>
      </c>
      <c r="B37" s="37">
        <f>IF($A37=0,,HLOOKUP(B$9,'Vol Calcs'!$1:$1048576,$A37+1,FALSE))</f>
        <v>0</v>
      </c>
      <c r="C37" s="36">
        <f>IF($A37=0,,HLOOKUP(C$9,'Vol Calcs'!$1:$1048576,$A37+1,FALSE))</f>
        <v>0</v>
      </c>
      <c r="D37" s="36">
        <f>IF($A37=0,,HLOOKUP(D$9,'Vol Calcs'!$1:$1048576,$A37+1,FALSE))</f>
        <v>0</v>
      </c>
      <c r="E37" s="36">
        <f>IF($A37=0,,HLOOKUP(E$9,'Vol Calcs'!$1:$1048576,$A37+1,FALSE))</f>
        <v>0</v>
      </c>
      <c r="F37" s="36">
        <f>IF($A37=0,,HLOOKUP(F$9,'Vol Calcs'!$1:$1048576,$A37+1,FALSE))</f>
        <v>0</v>
      </c>
      <c r="G37" s="36">
        <f>IF($A37=0,,HLOOKUP(G$9,'Vol Calcs'!$1:$1048576,$A37+1,FALSE))</f>
        <v>0</v>
      </c>
      <c r="H37" s="36">
        <f>IF($A37=0,,HLOOKUP(H$9,'Vol Calcs'!$1:$1048576,$A37+1,FALSE))</f>
        <v>0</v>
      </c>
      <c r="I37" s="36">
        <f>IF($A37=0,,HLOOKUP(I$9,'Vol Calcs'!$1:$1048576,$A37+1,FALSE))</f>
        <v>0</v>
      </c>
      <c r="J37" s="44">
        <f>IF($A37=0,,HLOOKUP(J$9,'Vol Calcs'!$1:$1048576,$A37+1,FALSE))</f>
        <v>0</v>
      </c>
    </row>
    <row r="38" spans="1:10" ht="13.8" x14ac:dyDescent="0.3">
      <c r="A38" s="1">
        <f>IF('mnt Data'!A33=0,0,A37+1)</f>
        <v>0</v>
      </c>
      <c r="B38" s="37">
        <f>IF($A38=0,,HLOOKUP(B$9,'Vol Calcs'!$1:$1048576,$A38+1,FALSE))</f>
        <v>0</v>
      </c>
      <c r="C38" s="36">
        <f>IF($A38=0,,HLOOKUP(C$9,'Vol Calcs'!$1:$1048576,$A38+1,FALSE))</f>
        <v>0</v>
      </c>
      <c r="D38" s="36">
        <f>IF($A38=0,,HLOOKUP(D$9,'Vol Calcs'!$1:$1048576,$A38+1,FALSE))</f>
        <v>0</v>
      </c>
      <c r="E38" s="36">
        <f>IF($A38=0,,HLOOKUP(E$9,'Vol Calcs'!$1:$1048576,$A38+1,FALSE))</f>
        <v>0</v>
      </c>
      <c r="F38" s="36">
        <f>IF($A38=0,,HLOOKUP(F$9,'Vol Calcs'!$1:$1048576,$A38+1,FALSE))</f>
        <v>0</v>
      </c>
      <c r="G38" s="36">
        <f>IF($A38=0,,HLOOKUP(G$9,'Vol Calcs'!$1:$1048576,$A38+1,FALSE))</f>
        <v>0</v>
      </c>
      <c r="H38" s="36">
        <f>IF($A38=0,,HLOOKUP(H$9,'Vol Calcs'!$1:$1048576,$A38+1,FALSE))</f>
        <v>0</v>
      </c>
      <c r="I38" s="36">
        <f>IF($A38=0,,HLOOKUP(I$9,'Vol Calcs'!$1:$1048576,$A38+1,FALSE))</f>
        <v>0</v>
      </c>
      <c r="J38" s="44">
        <f>IF($A38=0,,HLOOKUP(J$9,'Vol Calcs'!$1:$1048576,$A38+1,FALSE))</f>
        <v>0</v>
      </c>
    </row>
    <row r="39" spans="1:10" ht="13.8" x14ac:dyDescent="0.3">
      <c r="A39" s="1">
        <f>IF('mnt Data'!A34=0,0,A38+1)</f>
        <v>0</v>
      </c>
      <c r="B39" s="37">
        <f>IF($A39=0,,HLOOKUP(B$9,'Vol Calcs'!$1:$1048576,$A39+1,FALSE))</f>
        <v>0</v>
      </c>
      <c r="C39" s="36">
        <f>IF($A39=0,,HLOOKUP(C$9,'Vol Calcs'!$1:$1048576,$A39+1,FALSE))</f>
        <v>0</v>
      </c>
      <c r="D39" s="36">
        <f>IF($A39=0,,HLOOKUP(D$9,'Vol Calcs'!$1:$1048576,$A39+1,FALSE))</f>
        <v>0</v>
      </c>
      <c r="E39" s="36">
        <f>IF($A39=0,,HLOOKUP(E$9,'Vol Calcs'!$1:$1048576,$A39+1,FALSE))</f>
        <v>0</v>
      </c>
      <c r="F39" s="36">
        <f>IF($A39=0,,HLOOKUP(F$9,'Vol Calcs'!$1:$1048576,$A39+1,FALSE))</f>
        <v>0</v>
      </c>
      <c r="G39" s="36">
        <f>IF($A39=0,,HLOOKUP(G$9,'Vol Calcs'!$1:$1048576,$A39+1,FALSE))</f>
        <v>0</v>
      </c>
      <c r="H39" s="36">
        <f>IF($A39=0,,HLOOKUP(H$9,'Vol Calcs'!$1:$1048576,$A39+1,FALSE))</f>
        <v>0</v>
      </c>
      <c r="I39" s="36">
        <f>IF($A39=0,,HLOOKUP(I$9,'Vol Calcs'!$1:$1048576,$A39+1,FALSE))</f>
        <v>0</v>
      </c>
      <c r="J39" s="44">
        <f>IF($A39=0,,HLOOKUP(J$9,'Vol Calcs'!$1:$1048576,$A39+1,FALSE))</f>
        <v>0</v>
      </c>
    </row>
    <row r="40" spans="1:10" ht="13.8" x14ac:dyDescent="0.3">
      <c r="A40" s="1">
        <f>IF('mnt Data'!A35=0,0,A39+1)</f>
        <v>0</v>
      </c>
      <c r="B40" s="37">
        <f>IF($A40=0,,HLOOKUP(B$9,'Vol Calcs'!$1:$1048576,$A40+1,FALSE))</f>
        <v>0</v>
      </c>
      <c r="C40" s="36">
        <f>IF($A40=0,,HLOOKUP(C$9,'Vol Calcs'!$1:$1048576,$A40+1,FALSE))</f>
        <v>0</v>
      </c>
      <c r="D40" s="36">
        <f>IF($A40=0,,HLOOKUP(D$9,'Vol Calcs'!$1:$1048576,$A40+1,FALSE))</f>
        <v>0</v>
      </c>
      <c r="E40" s="36">
        <f>IF($A40=0,,HLOOKUP(E$9,'Vol Calcs'!$1:$1048576,$A40+1,FALSE))</f>
        <v>0</v>
      </c>
      <c r="F40" s="36">
        <f>IF($A40=0,,HLOOKUP(F$9,'Vol Calcs'!$1:$1048576,$A40+1,FALSE))</f>
        <v>0</v>
      </c>
      <c r="G40" s="36">
        <f>IF($A40=0,,HLOOKUP(G$9,'Vol Calcs'!$1:$1048576,$A40+1,FALSE))</f>
        <v>0</v>
      </c>
      <c r="H40" s="36">
        <f>IF($A40=0,,HLOOKUP(H$9,'Vol Calcs'!$1:$1048576,$A40+1,FALSE))</f>
        <v>0</v>
      </c>
      <c r="I40" s="36">
        <f>IF($A40=0,,HLOOKUP(I$9,'Vol Calcs'!$1:$1048576,$A40+1,FALSE))</f>
        <v>0</v>
      </c>
      <c r="J40" s="44">
        <f>IF($A40=0,,HLOOKUP(J$9,'Vol Calcs'!$1:$1048576,$A40+1,FALSE))</f>
        <v>0</v>
      </c>
    </row>
    <row r="41" spans="1:10" ht="13.8" x14ac:dyDescent="0.3">
      <c r="A41" s="1">
        <f>IF('mnt Data'!A36=0,0,A40+1)</f>
        <v>0</v>
      </c>
      <c r="B41" s="37">
        <f>IF($A41=0,,HLOOKUP(B$9,'Vol Calcs'!$1:$1048576,$A41+1,FALSE))</f>
        <v>0</v>
      </c>
      <c r="C41" s="36">
        <f>IF($A41=0,,HLOOKUP(C$9,'Vol Calcs'!$1:$1048576,$A41+1,FALSE))</f>
        <v>0</v>
      </c>
      <c r="D41" s="36">
        <f>IF($A41=0,,HLOOKUP(D$9,'Vol Calcs'!$1:$1048576,$A41+1,FALSE))</f>
        <v>0</v>
      </c>
      <c r="E41" s="36">
        <f>IF($A41=0,,HLOOKUP(E$9,'Vol Calcs'!$1:$1048576,$A41+1,FALSE))</f>
        <v>0</v>
      </c>
      <c r="F41" s="36">
        <f>IF($A41=0,,HLOOKUP(F$9,'Vol Calcs'!$1:$1048576,$A41+1,FALSE))</f>
        <v>0</v>
      </c>
      <c r="G41" s="36">
        <f>IF($A41=0,,HLOOKUP(G$9,'Vol Calcs'!$1:$1048576,$A41+1,FALSE))</f>
        <v>0</v>
      </c>
      <c r="H41" s="36">
        <f>IF($A41=0,,HLOOKUP(H$9,'Vol Calcs'!$1:$1048576,$A41+1,FALSE))</f>
        <v>0</v>
      </c>
      <c r="I41" s="36">
        <f>IF($A41=0,,HLOOKUP(I$9,'Vol Calcs'!$1:$1048576,$A41+1,FALSE))</f>
        <v>0</v>
      </c>
      <c r="J41" s="44">
        <f>IF($A41=0,,HLOOKUP(J$9,'Vol Calcs'!$1:$1048576,$A41+1,FALSE))</f>
        <v>0</v>
      </c>
    </row>
    <row r="42" spans="1:10" ht="13.8" x14ac:dyDescent="0.3">
      <c r="A42" s="1">
        <f>IF('mnt Data'!A37=0,0,A41+1)</f>
        <v>0</v>
      </c>
      <c r="B42" s="37">
        <f>IF($A42=0,,HLOOKUP(B$9,'Vol Calcs'!$1:$1048576,$A42+1,FALSE))</f>
        <v>0</v>
      </c>
      <c r="C42" s="36">
        <f>IF($A42=0,,HLOOKUP(C$9,'Vol Calcs'!$1:$1048576,$A42+1,FALSE))</f>
        <v>0</v>
      </c>
      <c r="D42" s="36">
        <f>IF($A42=0,,HLOOKUP(D$9,'Vol Calcs'!$1:$1048576,$A42+1,FALSE))</f>
        <v>0</v>
      </c>
      <c r="E42" s="36">
        <f>IF($A42=0,,HLOOKUP(E$9,'Vol Calcs'!$1:$1048576,$A42+1,FALSE))</f>
        <v>0</v>
      </c>
      <c r="F42" s="36">
        <f>IF($A42=0,,HLOOKUP(F$9,'Vol Calcs'!$1:$1048576,$A42+1,FALSE))</f>
        <v>0</v>
      </c>
      <c r="G42" s="36">
        <f>IF($A42=0,,HLOOKUP(G$9,'Vol Calcs'!$1:$1048576,$A42+1,FALSE))</f>
        <v>0</v>
      </c>
      <c r="H42" s="36">
        <f>IF($A42=0,,HLOOKUP(H$9,'Vol Calcs'!$1:$1048576,$A42+1,FALSE))</f>
        <v>0</v>
      </c>
      <c r="I42" s="36">
        <f>IF($A42=0,,HLOOKUP(I$9,'Vol Calcs'!$1:$1048576,$A42+1,FALSE))</f>
        <v>0</v>
      </c>
      <c r="J42" s="44">
        <f>IF($A42=0,,HLOOKUP(J$9,'Vol Calcs'!$1:$1048576,$A42+1,FALSE))</f>
        <v>0</v>
      </c>
    </row>
    <row r="43" spans="1:10" ht="13.8" x14ac:dyDescent="0.3">
      <c r="A43" s="1">
        <f>IF('mnt Data'!A38=0,0,A42+1)</f>
        <v>0</v>
      </c>
      <c r="B43" s="37">
        <f>IF($A43=0,,HLOOKUP(B$9,'Vol Calcs'!$1:$1048576,$A43+1,FALSE))</f>
        <v>0</v>
      </c>
      <c r="C43" s="36">
        <f>IF($A43=0,,HLOOKUP(C$9,'Vol Calcs'!$1:$1048576,$A43+1,FALSE))</f>
        <v>0</v>
      </c>
      <c r="D43" s="36">
        <f>IF($A43=0,,HLOOKUP(D$9,'Vol Calcs'!$1:$1048576,$A43+1,FALSE))</f>
        <v>0</v>
      </c>
      <c r="E43" s="36">
        <f>IF($A43=0,,HLOOKUP(E$9,'Vol Calcs'!$1:$1048576,$A43+1,FALSE))</f>
        <v>0</v>
      </c>
      <c r="F43" s="36">
        <f>IF($A43=0,,HLOOKUP(F$9,'Vol Calcs'!$1:$1048576,$A43+1,FALSE))</f>
        <v>0</v>
      </c>
      <c r="G43" s="36">
        <f>IF($A43=0,,HLOOKUP(G$9,'Vol Calcs'!$1:$1048576,$A43+1,FALSE))</f>
        <v>0</v>
      </c>
      <c r="H43" s="36">
        <f>IF($A43=0,,HLOOKUP(H$9,'Vol Calcs'!$1:$1048576,$A43+1,FALSE))</f>
        <v>0</v>
      </c>
      <c r="I43" s="36">
        <f>IF($A43=0,,HLOOKUP(I$9,'Vol Calcs'!$1:$1048576,$A43+1,FALSE))</f>
        <v>0</v>
      </c>
      <c r="J43" s="44">
        <f>IF($A43=0,,HLOOKUP(J$9,'Vol Calcs'!$1:$1048576,$A43+1,FALSE))</f>
        <v>0</v>
      </c>
    </row>
    <row r="44" spans="1:10" ht="13.8" x14ac:dyDescent="0.3">
      <c r="A44" s="1">
        <f>IF('mnt Data'!A39=0,0,A43+1)</f>
        <v>0</v>
      </c>
      <c r="B44" s="37">
        <f>IF($A44=0,,HLOOKUP(B$9,'Vol Calcs'!$1:$1048576,$A44+1,FALSE))</f>
        <v>0</v>
      </c>
      <c r="C44" s="36">
        <f>IF($A44=0,,HLOOKUP(C$9,'Vol Calcs'!$1:$1048576,$A44+1,FALSE))</f>
        <v>0</v>
      </c>
      <c r="D44" s="36">
        <f>IF($A44=0,,HLOOKUP(D$9,'Vol Calcs'!$1:$1048576,$A44+1,FALSE))</f>
        <v>0</v>
      </c>
      <c r="E44" s="36">
        <f>IF($A44=0,,HLOOKUP(E$9,'Vol Calcs'!$1:$1048576,$A44+1,FALSE))</f>
        <v>0</v>
      </c>
      <c r="F44" s="36">
        <f>IF($A44=0,,HLOOKUP(F$9,'Vol Calcs'!$1:$1048576,$A44+1,FALSE))</f>
        <v>0</v>
      </c>
      <c r="G44" s="36">
        <f>IF($A44=0,,HLOOKUP(G$9,'Vol Calcs'!$1:$1048576,$A44+1,FALSE))</f>
        <v>0</v>
      </c>
      <c r="H44" s="36">
        <f>IF($A44=0,,HLOOKUP(H$9,'Vol Calcs'!$1:$1048576,$A44+1,FALSE))</f>
        <v>0</v>
      </c>
      <c r="I44" s="36">
        <f>IF($A44=0,,HLOOKUP(I$9,'Vol Calcs'!$1:$1048576,$A44+1,FALSE))</f>
        <v>0</v>
      </c>
      <c r="J44" s="44">
        <f>IF($A44=0,,HLOOKUP(J$9,'Vol Calcs'!$1:$1048576,$A44+1,FALSE))</f>
        <v>0</v>
      </c>
    </row>
    <row r="45" spans="1:10" ht="13.8" x14ac:dyDescent="0.3">
      <c r="A45" s="1">
        <f>IF('mnt Data'!A40=0,0,A44+1)</f>
        <v>0</v>
      </c>
      <c r="B45" s="37">
        <f>IF($A45=0,,HLOOKUP(B$9,'Vol Calcs'!$1:$1048576,$A45+1,FALSE))</f>
        <v>0</v>
      </c>
      <c r="C45" s="36">
        <f>IF($A45=0,,HLOOKUP(C$9,'Vol Calcs'!$1:$1048576,$A45+1,FALSE))</f>
        <v>0</v>
      </c>
      <c r="D45" s="36">
        <f>IF($A45=0,,HLOOKUP(D$9,'Vol Calcs'!$1:$1048576,$A45+1,FALSE))</f>
        <v>0</v>
      </c>
      <c r="E45" s="36">
        <f>IF($A45=0,,HLOOKUP(E$9,'Vol Calcs'!$1:$1048576,$A45+1,FALSE))</f>
        <v>0</v>
      </c>
      <c r="F45" s="36">
        <f>IF($A45=0,,HLOOKUP(F$9,'Vol Calcs'!$1:$1048576,$A45+1,FALSE))</f>
        <v>0</v>
      </c>
      <c r="G45" s="36">
        <f>IF($A45=0,,HLOOKUP(G$9,'Vol Calcs'!$1:$1048576,$A45+1,FALSE))</f>
        <v>0</v>
      </c>
      <c r="H45" s="36">
        <f>IF($A45=0,,HLOOKUP(H$9,'Vol Calcs'!$1:$1048576,$A45+1,FALSE))</f>
        <v>0</v>
      </c>
      <c r="I45" s="36">
        <f>IF($A45=0,,HLOOKUP(I$9,'Vol Calcs'!$1:$1048576,$A45+1,FALSE))</f>
        <v>0</v>
      </c>
      <c r="J45" s="44">
        <f>IF($A45=0,,HLOOKUP(J$9,'Vol Calcs'!$1:$1048576,$A45+1,FALSE))</f>
        <v>0</v>
      </c>
    </row>
    <row r="46" spans="1:10" ht="13.8" x14ac:dyDescent="0.3">
      <c r="A46" s="1">
        <f>IF('mnt Data'!A41=0,0,A45+1)</f>
        <v>0</v>
      </c>
      <c r="B46" s="37">
        <f>IF($A46=0,,HLOOKUP(B$9,'Vol Calcs'!$1:$1048576,$A46+1,FALSE))</f>
        <v>0</v>
      </c>
      <c r="C46" s="36">
        <f>IF($A46=0,,HLOOKUP(C$9,'Vol Calcs'!$1:$1048576,$A46+1,FALSE))</f>
        <v>0</v>
      </c>
      <c r="D46" s="36">
        <f>IF($A46=0,,HLOOKUP(D$9,'Vol Calcs'!$1:$1048576,$A46+1,FALSE))</f>
        <v>0</v>
      </c>
      <c r="E46" s="36">
        <f>IF($A46=0,,HLOOKUP(E$9,'Vol Calcs'!$1:$1048576,$A46+1,FALSE))</f>
        <v>0</v>
      </c>
      <c r="F46" s="36">
        <f>IF($A46=0,,HLOOKUP(F$9,'Vol Calcs'!$1:$1048576,$A46+1,FALSE))</f>
        <v>0</v>
      </c>
      <c r="G46" s="36">
        <f>IF($A46=0,,HLOOKUP(G$9,'Vol Calcs'!$1:$1048576,$A46+1,FALSE))</f>
        <v>0</v>
      </c>
      <c r="H46" s="36">
        <f>IF($A46=0,,HLOOKUP(H$9,'Vol Calcs'!$1:$1048576,$A46+1,FALSE))</f>
        <v>0</v>
      </c>
      <c r="I46" s="36">
        <f>IF($A46=0,,HLOOKUP(I$9,'Vol Calcs'!$1:$1048576,$A46+1,FALSE))</f>
        <v>0</v>
      </c>
      <c r="J46" s="44">
        <f>IF($A46=0,,HLOOKUP(J$9,'Vol Calcs'!$1:$1048576,$A46+1,FALSE))</f>
        <v>0</v>
      </c>
    </row>
    <row r="47" spans="1:10" ht="13.8" x14ac:dyDescent="0.3">
      <c r="A47" s="1">
        <f>IF('mnt Data'!A42=0,0,A46+1)</f>
        <v>0</v>
      </c>
      <c r="B47" s="37">
        <f>IF($A47=0,,HLOOKUP(B$9,'Vol Calcs'!$1:$1048576,$A47+1,FALSE))</f>
        <v>0</v>
      </c>
      <c r="C47" s="36">
        <f>IF($A47=0,,HLOOKUP(C$9,'Vol Calcs'!$1:$1048576,$A47+1,FALSE))</f>
        <v>0</v>
      </c>
      <c r="D47" s="36">
        <f>IF($A47=0,,HLOOKUP(D$9,'Vol Calcs'!$1:$1048576,$A47+1,FALSE))</f>
        <v>0</v>
      </c>
      <c r="E47" s="36">
        <f>IF($A47=0,,HLOOKUP(E$9,'Vol Calcs'!$1:$1048576,$A47+1,FALSE))</f>
        <v>0</v>
      </c>
      <c r="F47" s="36">
        <f>IF($A47=0,,HLOOKUP(F$9,'Vol Calcs'!$1:$1048576,$A47+1,FALSE))</f>
        <v>0</v>
      </c>
      <c r="G47" s="36">
        <f>IF($A47=0,,HLOOKUP(G$9,'Vol Calcs'!$1:$1048576,$A47+1,FALSE))</f>
        <v>0</v>
      </c>
      <c r="H47" s="36">
        <f>IF($A47=0,,HLOOKUP(H$9,'Vol Calcs'!$1:$1048576,$A47+1,FALSE))</f>
        <v>0</v>
      </c>
      <c r="I47" s="36">
        <f>IF($A47=0,,HLOOKUP(I$9,'Vol Calcs'!$1:$1048576,$A47+1,FALSE))</f>
        <v>0</v>
      </c>
      <c r="J47" s="44">
        <f>IF($A47=0,,HLOOKUP(J$9,'Vol Calcs'!$1:$1048576,$A47+1,FALSE))</f>
        <v>0</v>
      </c>
    </row>
    <row r="48" spans="1:10" ht="13.8" x14ac:dyDescent="0.3">
      <c r="A48" s="1">
        <f>IF('mnt Data'!A43=0,0,A47+1)</f>
        <v>0</v>
      </c>
      <c r="B48" s="37">
        <f>IF($A48=0,,HLOOKUP(B$9,'Vol Calcs'!$1:$1048576,$A48+1,FALSE))</f>
        <v>0</v>
      </c>
      <c r="C48" s="36">
        <f>IF($A48=0,,HLOOKUP(C$9,'Vol Calcs'!$1:$1048576,$A48+1,FALSE))</f>
        <v>0</v>
      </c>
      <c r="D48" s="36">
        <f>IF($A48=0,,HLOOKUP(D$9,'Vol Calcs'!$1:$1048576,$A48+1,FALSE))</f>
        <v>0</v>
      </c>
      <c r="E48" s="36">
        <f>IF($A48=0,,HLOOKUP(E$9,'Vol Calcs'!$1:$1048576,$A48+1,FALSE))</f>
        <v>0</v>
      </c>
      <c r="F48" s="36">
        <f>IF($A48=0,,HLOOKUP(F$9,'Vol Calcs'!$1:$1048576,$A48+1,FALSE))</f>
        <v>0</v>
      </c>
      <c r="G48" s="36">
        <f>IF($A48=0,,HLOOKUP(G$9,'Vol Calcs'!$1:$1048576,$A48+1,FALSE))</f>
        <v>0</v>
      </c>
      <c r="H48" s="36">
        <f>IF($A48=0,,HLOOKUP(H$9,'Vol Calcs'!$1:$1048576,$A48+1,FALSE))</f>
        <v>0</v>
      </c>
      <c r="I48" s="36">
        <f>IF($A48=0,,HLOOKUP(I$9,'Vol Calcs'!$1:$1048576,$A48+1,FALSE))</f>
        <v>0</v>
      </c>
      <c r="J48" s="44">
        <f>IF($A48=0,,HLOOKUP(J$9,'Vol Calcs'!$1:$1048576,$A48+1,FALSE))</f>
        <v>0</v>
      </c>
    </row>
    <row r="49" spans="1:10" ht="13.8" x14ac:dyDescent="0.3">
      <c r="A49" s="1">
        <f>IF('mnt Data'!A44=0,0,A48+1)</f>
        <v>0</v>
      </c>
      <c r="B49" s="37">
        <f>IF($A49=0,,HLOOKUP(B$9,'Vol Calcs'!$1:$1048576,$A49+1,FALSE))</f>
        <v>0</v>
      </c>
      <c r="C49" s="36">
        <f>IF($A49=0,,HLOOKUP(C$9,'Vol Calcs'!$1:$1048576,$A49+1,FALSE))</f>
        <v>0</v>
      </c>
      <c r="D49" s="36">
        <f>IF($A49=0,,HLOOKUP(D$9,'Vol Calcs'!$1:$1048576,$A49+1,FALSE))</f>
        <v>0</v>
      </c>
      <c r="E49" s="36">
        <f>IF($A49=0,,HLOOKUP(E$9,'Vol Calcs'!$1:$1048576,$A49+1,FALSE))</f>
        <v>0</v>
      </c>
      <c r="F49" s="36">
        <f>IF($A49=0,,HLOOKUP(F$9,'Vol Calcs'!$1:$1048576,$A49+1,FALSE))</f>
        <v>0</v>
      </c>
      <c r="G49" s="36">
        <f>IF($A49=0,,HLOOKUP(G$9,'Vol Calcs'!$1:$1048576,$A49+1,FALSE))</f>
        <v>0</v>
      </c>
      <c r="H49" s="36">
        <f>IF($A49=0,,HLOOKUP(H$9,'Vol Calcs'!$1:$1048576,$A49+1,FALSE))</f>
        <v>0</v>
      </c>
      <c r="I49" s="36">
        <f>IF($A49=0,,HLOOKUP(I$9,'Vol Calcs'!$1:$1048576,$A49+1,FALSE))</f>
        <v>0</v>
      </c>
      <c r="J49" s="44">
        <f>IF($A49=0,,HLOOKUP(J$9,'Vol Calcs'!$1:$1048576,$A49+1,FALSE))</f>
        <v>0</v>
      </c>
    </row>
    <row r="50" spans="1:10" ht="13.8" x14ac:dyDescent="0.3">
      <c r="A50" s="1">
        <f>IF('mnt Data'!A45=0,0,A49+1)</f>
        <v>0</v>
      </c>
      <c r="B50" s="37">
        <f>IF($A50=0,,HLOOKUP(B$9,'Vol Calcs'!$1:$1048576,$A50+1,FALSE))</f>
        <v>0</v>
      </c>
      <c r="C50" s="36">
        <f>IF($A50=0,,HLOOKUP(C$9,'Vol Calcs'!$1:$1048576,$A50+1,FALSE))</f>
        <v>0</v>
      </c>
      <c r="D50" s="36">
        <f>IF($A50=0,,HLOOKUP(D$9,'Vol Calcs'!$1:$1048576,$A50+1,FALSE))</f>
        <v>0</v>
      </c>
      <c r="E50" s="36">
        <f>IF($A50=0,,HLOOKUP(E$9,'Vol Calcs'!$1:$1048576,$A50+1,FALSE))</f>
        <v>0</v>
      </c>
      <c r="F50" s="36">
        <f>IF($A50=0,,HLOOKUP(F$9,'Vol Calcs'!$1:$1048576,$A50+1,FALSE))</f>
        <v>0</v>
      </c>
      <c r="G50" s="36">
        <f>IF($A50=0,,HLOOKUP(G$9,'Vol Calcs'!$1:$1048576,$A50+1,FALSE))</f>
        <v>0</v>
      </c>
      <c r="H50" s="36">
        <f>IF($A50=0,,HLOOKUP(H$9,'Vol Calcs'!$1:$1048576,$A50+1,FALSE))</f>
        <v>0</v>
      </c>
      <c r="I50" s="36">
        <f>IF($A50=0,,HLOOKUP(I$9,'Vol Calcs'!$1:$1048576,$A50+1,FALSE))</f>
        <v>0</v>
      </c>
      <c r="J50" s="44">
        <f>IF($A50=0,,HLOOKUP(J$9,'Vol Calcs'!$1:$1048576,$A50+1,FALSE))</f>
        <v>0</v>
      </c>
    </row>
    <row r="51" spans="1:10" ht="13.8" x14ac:dyDescent="0.3">
      <c r="A51" s="1">
        <f>IF('mnt Data'!A46=0,0,A50+1)</f>
        <v>0</v>
      </c>
      <c r="B51" s="37">
        <f>IF($A51=0,,HLOOKUP(B$9,'Vol Calcs'!$1:$1048576,$A51+1,FALSE))</f>
        <v>0</v>
      </c>
      <c r="C51" s="36">
        <f>IF($A51=0,,HLOOKUP(C$9,'Vol Calcs'!$1:$1048576,$A51+1,FALSE))</f>
        <v>0</v>
      </c>
      <c r="D51" s="36">
        <f>IF($A51=0,,HLOOKUP(D$9,'Vol Calcs'!$1:$1048576,$A51+1,FALSE))</f>
        <v>0</v>
      </c>
      <c r="E51" s="36">
        <f>IF($A51=0,,HLOOKUP(E$9,'Vol Calcs'!$1:$1048576,$A51+1,FALSE))</f>
        <v>0</v>
      </c>
      <c r="F51" s="36">
        <f>IF($A51=0,,HLOOKUP(F$9,'Vol Calcs'!$1:$1048576,$A51+1,FALSE))</f>
        <v>0</v>
      </c>
      <c r="G51" s="36">
        <f>IF($A51=0,,HLOOKUP(G$9,'Vol Calcs'!$1:$1048576,$A51+1,FALSE))</f>
        <v>0</v>
      </c>
      <c r="H51" s="36">
        <f>IF($A51=0,,HLOOKUP(H$9,'Vol Calcs'!$1:$1048576,$A51+1,FALSE))</f>
        <v>0</v>
      </c>
      <c r="I51" s="36">
        <f>IF($A51=0,,HLOOKUP(I$9,'Vol Calcs'!$1:$1048576,$A51+1,FALSE))</f>
        <v>0</v>
      </c>
      <c r="J51" s="44">
        <f>IF($A51=0,,HLOOKUP(J$9,'Vol Calcs'!$1:$1048576,$A51+1,FALSE))</f>
        <v>0</v>
      </c>
    </row>
    <row r="52" spans="1:10" ht="13.8" x14ac:dyDescent="0.3">
      <c r="A52" s="1">
        <f>IF('mnt Data'!A47=0,0,A51+1)</f>
        <v>0</v>
      </c>
      <c r="B52" s="37">
        <f>IF($A52=0,,HLOOKUP(B$9,'Vol Calcs'!$1:$1048576,$A52+1,FALSE))</f>
        <v>0</v>
      </c>
      <c r="C52" s="36">
        <f>IF($A52=0,,HLOOKUP(C$9,'Vol Calcs'!$1:$1048576,$A52+1,FALSE))</f>
        <v>0</v>
      </c>
      <c r="D52" s="36">
        <f>IF($A52=0,,HLOOKUP(D$9,'Vol Calcs'!$1:$1048576,$A52+1,FALSE))</f>
        <v>0</v>
      </c>
      <c r="E52" s="36">
        <f>IF($A52=0,,HLOOKUP(E$9,'Vol Calcs'!$1:$1048576,$A52+1,FALSE))</f>
        <v>0</v>
      </c>
      <c r="F52" s="36">
        <f>IF($A52=0,,HLOOKUP(F$9,'Vol Calcs'!$1:$1048576,$A52+1,FALSE))</f>
        <v>0</v>
      </c>
      <c r="G52" s="36">
        <f>IF($A52=0,,HLOOKUP(G$9,'Vol Calcs'!$1:$1048576,$A52+1,FALSE))</f>
        <v>0</v>
      </c>
      <c r="H52" s="36">
        <f>IF($A52=0,,HLOOKUP(H$9,'Vol Calcs'!$1:$1048576,$A52+1,FALSE))</f>
        <v>0</v>
      </c>
      <c r="I52" s="36">
        <f>IF($A52=0,,HLOOKUP(I$9,'Vol Calcs'!$1:$1048576,$A52+1,FALSE))</f>
        <v>0</v>
      </c>
      <c r="J52" s="44">
        <f>IF($A52=0,,HLOOKUP(J$9,'Vol Calcs'!$1:$1048576,$A52+1,FALSE))</f>
        <v>0</v>
      </c>
    </row>
    <row r="53" spans="1:10" ht="13.8" x14ac:dyDescent="0.3">
      <c r="A53" s="1">
        <f>IF('mnt Data'!A48=0,0,A52+1)</f>
        <v>0</v>
      </c>
      <c r="B53" s="37">
        <f>IF($A53=0,,HLOOKUP(B$9,'Vol Calcs'!$1:$1048576,$A53+1,FALSE))</f>
        <v>0</v>
      </c>
      <c r="C53" s="36">
        <f>IF($A53=0,,HLOOKUP(C$9,'Vol Calcs'!$1:$1048576,$A53+1,FALSE))</f>
        <v>0</v>
      </c>
      <c r="D53" s="36">
        <f>IF($A53=0,,HLOOKUP(D$9,'Vol Calcs'!$1:$1048576,$A53+1,FALSE))</f>
        <v>0</v>
      </c>
      <c r="E53" s="36">
        <f>IF($A53=0,,HLOOKUP(E$9,'Vol Calcs'!$1:$1048576,$A53+1,FALSE))</f>
        <v>0</v>
      </c>
      <c r="F53" s="36">
        <f>IF($A53=0,,HLOOKUP(F$9,'Vol Calcs'!$1:$1048576,$A53+1,FALSE))</f>
        <v>0</v>
      </c>
      <c r="G53" s="36">
        <f>IF($A53=0,,HLOOKUP(G$9,'Vol Calcs'!$1:$1048576,$A53+1,FALSE))</f>
        <v>0</v>
      </c>
      <c r="H53" s="36">
        <f>IF($A53=0,,HLOOKUP(H$9,'Vol Calcs'!$1:$1048576,$A53+1,FALSE))</f>
        <v>0</v>
      </c>
      <c r="I53" s="36">
        <f>IF($A53=0,,HLOOKUP(I$9,'Vol Calcs'!$1:$1048576,$A53+1,FALSE))</f>
        <v>0</v>
      </c>
      <c r="J53" s="44">
        <f>IF($A53=0,,HLOOKUP(J$9,'Vol Calcs'!$1:$1048576,$A53+1,FALSE))</f>
        <v>0</v>
      </c>
    </row>
    <row r="54" spans="1:10" ht="13.8" x14ac:dyDescent="0.3">
      <c r="A54" s="1">
        <f>IF('mnt Data'!A49=0,0,A53+1)</f>
        <v>0</v>
      </c>
      <c r="B54" s="37">
        <f>IF($A54=0,,HLOOKUP(B$9,'Vol Calcs'!$1:$1048576,$A54+1,FALSE))</f>
        <v>0</v>
      </c>
      <c r="C54" s="36">
        <f>IF($A54=0,,HLOOKUP(C$9,'Vol Calcs'!$1:$1048576,$A54+1,FALSE))</f>
        <v>0</v>
      </c>
      <c r="D54" s="36">
        <f>IF($A54=0,,HLOOKUP(D$9,'Vol Calcs'!$1:$1048576,$A54+1,FALSE))</f>
        <v>0</v>
      </c>
      <c r="E54" s="36">
        <f>IF($A54=0,,HLOOKUP(E$9,'Vol Calcs'!$1:$1048576,$A54+1,FALSE))</f>
        <v>0</v>
      </c>
      <c r="F54" s="36">
        <f>IF($A54=0,,HLOOKUP(F$9,'Vol Calcs'!$1:$1048576,$A54+1,FALSE))</f>
        <v>0</v>
      </c>
      <c r="G54" s="36">
        <f>IF($A54=0,,HLOOKUP(G$9,'Vol Calcs'!$1:$1048576,$A54+1,FALSE))</f>
        <v>0</v>
      </c>
      <c r="H54" s="36">
        <f>IF($A54=0,,HLOOKUP(H$9,'Vol Calcs'!$1:$1048576,$A54+1,FALSE))</f>
        <v>0</v>
      </c>
      <c r="I54" s="36">
        <f>IF($A54=0,,HLOOKUP(I$9,'Vol Calcs'!$1:$1048576,$A54+1,FALSE))</f>
        <v>0</v>
      </c>
      <c r="J54" s="44">
        <f>IF($A54=0,,HLOOKUP(J$9,'Vol Calcs'!$1:$1048576,$A54+1,FALSE))</f>
        <v>0</v>
      </c>
    </row>
    <row r="55" spans="1:10" ht="13.8" x14ac:dyDescent="0.3">
      <c r="A55" s="1">
        <f>IF('mnt Data'!A50=0,0,A54+1)</f>
        <v>0</v>
      </c>
      <c r="B55" s="37">
        <f>IF($A55=0,,HLOOKUP(B$9,'Vol Calcs'!$1:$1048576,$A55+1,FALSE))</f>
        <v>0</v>
      </c>
      <c r="C55" s="36">
        <f>IF($A55=0,,HLOOKUP(C$9,'Vol Calcs'!$1:$1048576,$A55+1,FALSE))</f>
        <v>0</v>
      </c>
      <c r="D55" s="36">
        <f>IF($A55=0,,HLOOKUP(D$9,'Vol Calcs'!$1:$1048576,$A55+1,FALSE))</f>
        <v>0</v>
      </c>
      <c r="E55" s="36">
        <f>IF($A55=0,,HLOOKUP(E$9,'Vol Calcs'!$1:$1048576,$A55+1,FALSE))</f>
        <v>0</v>
      </c>
      <c r="F55" s="36">
        <f>IF($A55=0,,HLOOKUP(F$9,'Vol Calcs'!$1:$1048576,$A55+1,FALSE))</f>
        <v>0</v>
      </c>
      <c r="G55" s="36">
        <f>IF($A55=0,,HLOOKUP(G$9,'Vol Calcs'!$1:$1048576,$A55+1,FALSE))</f>
        <v>0</v>
      </c>
      <c r="H55" s="36">
        <f>IF($A55=0,,HLOOKUP(H$9,'Vol Calcs'!$1:$1048576,$A55+1,FALSE))</f>
        <v>0</v>
      </c>
      <c r="I55" s="36">
        <f>IF($A55=0,,HLOOKUP(I$9,'Vol Calcs'!$1:$1048576,$A55+1,FALSE))</f>
        <v>0</v>
      </c>
      <c r="J55" s="44">
        <f>IF($A55=0,,HLOOKUP(J$9,'Vol Calcs'!$1:$1048576,$A55+1,FALSE))</f>
        <v>0</v>
      </c>
    </row>
    <row r="56" spans="1:10" ht="13.8" x14ac:dyDescent="0.3">
      <c r="B56" s="37"/>
      <c r="C56" s="36"/>
      <c r="D56" s="36"/>
      <c r="E56" s="36"/>
      <c r="F56" s="36"/>
      <c r="G56" s="36"/>
      <c r="H56" s="36"/>
      <c r="I56" s="36"/>
      <c r="J56" s="44"/>
    </row>
    <row r="57" spans="1:10" ht="13.8" x14ac:dyDescent="0.3">
      <c r="B57" s="37"/>
      <c r="C57" s="36"/>
      <c r="D57" s="36"/>
      <c r="E57" s="36"/>
      <c r="F57" s="36"/>
      <c r="G57" s="36"/>
      <c r="H57" s="36"/>
      <c r="I57" s="36"/>
      <c r="J57" s="44"/>
    </row>
    <row r="58" spans="1:10" ht="13.8" x14ac:dyDescent="0.3">
      <c r="B58" s="37"/>
      <c r="C58" s="36"/>
      <c r="D58" s="36"/>
      <c r="E58" s="36"/>
      <c r="F58" s="36"/>
      <c r="G58" s="36"/>
      <c r="H58" s="36"/>
      <c r="I58" s="36"/>
      <c r="J58" s="44"/>
    </row>
    <row r="59" spans="1:10" ht="13.8" x14ac:dyDescent="0.3">
      <c r="B59" s="37"/>
      <c r="C59" s="36"/>
      <c r="D59" s="36"/>
      <c r="E59" s="36"/>
      <c r="F59" s="36"/>
      <c r="G59" s="36"/>
      <c r="H59" s="36"/>
      <c r="I59" s="36"/>
      <c r="J59" s="44"/>
    </row>
    <row r="60" spans="1:10" ht="13.8" x14ac:dyDescent="0.3">
      <c r="B60" s="37"/>
      <c r="C60" s="36"/>
      <c r="D60" s="36"/>
      <c r="E60" s="36"/>
      <c r="F60" s="36"/>
      <c r="G60" s="36"/>
      <c r="H60" s="36"/>
      <c r="I60" s="36"/>
      <c r="J60" s="44"/>
    </row>
    <row r="61" spans="1:10" ht="13.8" x14ac:dyDescent="0.3">
      <c r="B61" s="37"/>
      <c r="C61" s="36"/>
      <c r="D61" s="36"/>
      <c r="E61" s="36"/>
      <c r="F61" s="36"/>
      <c r="G61" s="36"/>
      <c r="H61" s="36"/>
      <c r="I61" s="36"/>
      <c r="J61" s="44"/>
    </row>
    <row r="62" spans="1:10" ht="13.8" x14ac:dyDescent="0.3">
      <c r="B62" s="37"/>
      <c r="C62" s="36"/>
      <c r="D62" s="36"/>
      <c r="E62" s="36"/>
      <c r="F62" s="36"/>
      <c r="G62" s="36"/>
      <c r="H62" s="36"/>
      <c r="I62" s="36"/>
      <c r="J62" s="44"/>
    </row>
    <row r="63" spans="1:10" ht="13.8" x14ac:dyDescent="0.3">
      <c r="B63" s="37"/>
      <c r="C63" s="36"/>
      <c r="D63" s="36"/>
      <c r="E63" s="36"/>
      <c r="F63" s="36"/>
      <c r="G63" s="36"/>
      <c r="H63" s="36"/>
      <c r="I63" s="36"/>
      <c r="J63" s="44"/>
    </row>
    <row r="64" spans="1:10" ht="13.8" x14ac:dyDescent="0.3">
      <c r="B64" s="37"/>
      <c r="C64" s="36"/>
      <c r="D64" s="36"/>
      <c r="E64" s="36"/>
      <c r="F64" s="36"/>
      <c r="G64" s="36"/>
      <c r="H64" s="36"/>
      <c r="I64" s="36"/>
      <c r="J64" s="44"/>
    </row>
    <row r="65" spans="2:10" ht="13.8" x14ac:dyDescent="0.3">
      <c r="B65" s="37"/>
      <c r="C65" s="36"/>
      <c r="D65" s="36"/>
      <c r="E65" s="36"/>
      <c r="F65" s="36"/>
      <c r="G65" s="36"/>
      <c r="H65" s="36"/>
      <c r="I65" s="36"/>
      <c r="J65" s="44"/>
    </row>
    <row r="66" spans="2:10" ht="13.8" x14ac:dyDescent="0.3">
      <c r="B66" s="37"/>
      <c r="C66" s="36"/>
      <c r="D66" s="36"/>
      <c r="E66" s="36"/>
      <c r="F66" s="36"/>
      <c r="G66" s="36"/>
      <c r="H66" s="36"/>
      <c r="I66" s="36"/>
      <c r="J66" s="44"/>
    </row>
    <row r="67" spans="2:10" ht="13.8" x14ac:dyDescent="0.3">
      <c r="B67" s="37"/>
      <c r="C67" s="36"/>
      <c r="D67" s="36"/>
      <c r="E67" s="36"/>
      <c r="F67" s="36"/>
      <c r="G67" s="36"/>
      <c r="H67" s="36"/>
      <c r="I67" s="36"/>
      <c r="J67" s="44"/>
    </row>
    <row r="68" spans="2:10" ht="13.8" x14ac:dyDescent="0.3">
      <c r="B68" s="37"/>
      <c r="C68" s="36"/>
      <c r="D68" s="36"/>
      <c r="E68" s="36"/>
      <c r="F68" s="36"/>
      <c r="G68" s="36"/>
      <c r="H68" s="36"/>
      <c r="I68" s="36"/>
      <c r="J68" s="44"/>
    </row>
    <row r="69" spans="2:10" ht="13.8" x14ac:dyDescent="0.3">
      <c r="B69" s="37"/>
      <c r="C69" s="36"/>
      <c r="D69" s="36"/>
      <c r="E69" s="36"/>
      <c r="F69" s="36"/>
      <c r="G69" s="36"/>
      <c r="H69" s="36"/>
      <c r="I69" s="36"/>
      <c r="J69" s="44"/>
    </row>
    <row r="70" spans="2:10" ht="13.8" x14ac:dyDescent="0.3">
      <c r="B70" s="37"/>
      <c r="C70" s="36"/>
      <c r="D70" s="36"/>
      <c r="E70" s="36"/>
      <c r="F70" s="36"/>
      <c r="G70" s="36"/>
      <c r="H70" s="36"/>
      <c r="I70" s="36"/>
      <c r="J70" s="44"/>
    </row>
    <row r="71" spans="2:10" ht="13.8" x14ac:dyDescent="0.3">
      <c r="B71" s="37"/>
      <c r="C71" s="36"/>
      <c r="D71" s="36"/>
      <c r="E71" s="36"/>
      <c r="F71" s="36"/>
      <c r="G71" s="36"/>
      <c r="H71" s="36"/>
      <c r="I71" s="36"/>
      <c r="J71" s="44"/>
    </row>
    <row r="72" spans="2:10" ht="13.8" x14ac:dyDescent="0.3">
      <c r="B72" s="37"/>
      <c r="C72" s="36"/>
      <c r="D72" s="36"/>
      <c r="E72" s="36"/>
      <c r="F72" s="36"/>
      <c r="G72" s="36"/>
      <c r="H72" s="36"/>
      <c r="I72" s="36"/>
      <c r="J72" s="44"/>
    </row>
    <row r="73" spans="2:10" ht="13.8" x14ac:dyDescent="0.3">
      <c r="B73" s="37"/>
      <c r="C73" s="36"/>
      <c r="D73" s="36"/>
      <c r="E73" s="36"/>
      <c r="F73" s="36"/>
      <c r="G73" s="36"/>
      <c r="H73" s="36"/>
      <c r="I73" s="36"/>
      <c r="J73" s="44"/>
    </row>
    <row r="74" spans="2:10" ht="13.8" x14ac:dyDescent="0.3">
      <c r="B74" s="37"/>
      <c r="C74" s="36"/>
      <c r="D74" s="36"/>
      <c r="E74" s="36"/>
      <c r="F74" s="36"/>
      <c r="G74" s="36"/>
      <c r="H74" s="36"/>
      <c r="I74" s="36"/>
      <c r="J74" s="44"/>
    </row>
    <row r="75" spans="2:10" ht="13.8" x14ac:dyDescent="0.3">
      <c r="B75" s="37"/>
      <c r="C75" s="36"/>
      <c r="D75" s="36"/>
      <c r="E75" s="36"/>
      <c r="F75" s="36"/>
      <c r="G75" s="36"/>
      <c r="H75" s="36"/>
      <c r="I75" s="36"/>
      <c r="J75" s="44"/>
    </row>
    <row r="76" spans="2:10" ht="13.8" x14ac:dyDescent="0.3">
      <c r="B76" s="37"/>
      <c r="C76" s="36"/>
      <c r="D76" s="36"/>
      <c r="E76" s="36"/>
      <c r="F76" s="36"/>
      <c r="G76" s="36"/>
      <c r="H76" s="36"/>
      <c r="I76" s="36"/>
      <c r="J76" s="44"/>
    </row>
    <row r="77" spans="2:10" ht="13.8" x14ac:dyDescent="0.3">
      <c r="B77" s="37"/>
      <c r="C77" s="36"/>
      <c r="D77" s="36"/>
      <c r="E77" s="36"/>
      <c r="F77" s="36"/>
      <c r="G77" s="36"/>
      <c r="H77" s="36"/>
      <c r="I77" s="36"/>
      <c r="J77" s="44"/>
    </row>
    <row r="78" spans="2:10" ht="13.8" x14ac:dyDescent="0.3">
      <c r="B78" s="37"/>
      <c r="C78" s="36"/>
      <c r="D78" s="36"/>
      <c r="E78" s="36"/>
      <c r="F78" s="36"/>
      <c r="G78" s="36"/>
      <c r="H78" s="36"/>
      <c r="I78" s="36"/>
      <c r="J78" s="44"/>
    </row>
    <row r="79" spans="2:10" ht="13.8" x14ac:dyDescent="0.3">
      <c r="B79" s="37"/>
      <c r="C79" s="36"/>
      <c r="D79" s="36"/>
      <c r="E79" s="36"/>
      <c r="F79" s="36"/>
      <c r="G79" s="36"/>
      <c r="H79" s="36"/>
      <c r="I79" s="36"/>
      <c r="J79" s="44"/>
    </row>
    <row r="80" spans="2:10" ht="13.8" x14ac:dyDescent="0.3">
      <c r="B80" s="37"/>
      <c r="C80" s="36"/>
      <c r="D80" s="36"/>
      <c r="E80" s="36"/>
      <c r="F80" s="36"/>
      <c r="G80" s="36"/>
      <c r="H80" s="36"/>
      <c r="I80" s="36"/>
      <c r="J80" s="44"/>
    </row>
    <row r="81" spans="2:10" ht="13.8" x14ac:dyDescent="0.3">
      <c r="B81" s="37"/>
      <c r="C81" s="36"/>
      <c r="D81" s="36"/>
      <c r="E81" s="36"/>
      <c r="F81" s="36"/>
      <c r="G81" s="36"/>
      <c r="H81" s="36"/>
      <c r="I81" s="36"/>
      <c r="J81" s="44"/>
    </row>
    <row r="82" spans="2:10" ht="13.8" x14ac:dyDescent="0.3">
      <c r="B82" s="37"/>
      <c r="C82" s="36"/>
      <c r="D82" s="36"/>
      <c r="E82" s="36"/>
      <c r="F82" s="36"/>
      <c r="G82" s="36"/>
      <c r="H82" s="36"/>
      <c r="I82" s="36"/>
      <c r="J82" s="44"/>
    </row>
    <row r="83" spans="2:10" ht="13.8" x14ac:dyDescent="0.3">
      <c r="B83" s="37"/>
      <c r="C83" s="36"/>
      <c r="D83" s="36"/>
      <c r="E83" s="36"/>
      <c r="F83" s="36"/>
      <c r="G83" s="36"/>
      <c r="H83" s="36"/>
      <c r="I83" s="36"/>
      <c r="J83" s="44"/>
    </row>
    <row r="84" spans="2:10" ht="13.8" x14ac:dyDescent="0.3">
      <c r="B84" s="37"/>
      <c r="C84" s="36"/>
      <c r="D84" s="36"/>
      <c r="E84" s="36"/>
      <c r="F84" s="36"/>
      <c r="G84" s="36"/>
      <c r="H84" s="36"/>
      <c r="I84" s="36"/>
      <c r="J84" s="44"/>
    </row>
    <row r="85" spans="2:10" ht="13.8" x14ac:dyDescent="0.3">
      <c r="B85" s="37"/>
      <c r="C85" s="36"/>
      <c r="D85" s="36"/>
      <c r="E85" s="36"/>
      <c r="F85" s="36"/>
      <c r="G85" s="36"/>
      <c r="H85" s="36"/>
      <c r="I85" s="36"/>
      <c r="J85" s="44"/>
    </row>
    <row r="86" spans="2:10" ht="13.8" x14ac:dyDescent="0.3">
      <c r="B86" s="37"/>
      <c r="C86" s="36"/>
      <c r="D86" s="36"/>
      <c r="E86" s="36"/>
      <c r="F86" s="36"/>
      <c r="G86" s="36"/>
      <c r="H86" s="36"/>
      <c r="I86" s="36"/>
      <c r="J86" s="44"/>
    </row>
    <row r="87" spans="2:10" ht="13.8" x14ac:dyDescent="0.3">
      <c r="B87" s="37"/>
      <c r="C87" s="36"/>
      <c r="D87" s="36"/>
      <c r="E87" s="36"/>
      <c r="F87" s="36"/>
      <c r="G87" s="36"/>
      <c r="H87" s="36"/>
      <c r="I87" s="36"/>
      <c r="J87" s="44"/>
    </row>
    <row r="88" spans="2:10" ht="13.8" x14ac:dyDescent="0.3">
      <c r="B88" s="37"/>
      <c r="C88" s="36"/>
      <c r="D88" s="36"/>
      <c r="E88" s="36"/>
      <c r="F88" s="36"/>
      <c r="G88" s="36"/>
      <c r="H88" s="36"/>
      <c r="I88" s="36"/>
      <c r="J88" s="44"/>
    </row>
    <row r="89" spans="2:10" ht="13.8" x14ac:dyDescent="0.3">
      <c r="B89" s="37"/>
      <c r="C89" s="36"/>
      <c r="D89" s="36"/>
      <c r="E89" s="36"/>
      <c r="F89" s="36"/>
      <c r="G89" s="36"/>
      <c r="H89" s="36"/>
      <c r="I89" s="36"/>
      <c r="J89" s="44"/>
    </row>
    <row r="90" spans="2:10" ht="13.8" x14ac:dyDescent="0.3">
      <c r="B90" s="37"/>
      <c r="C90" s="36"/>
      <c r="D90" s="36"/>
      <c r="E90" s="36"/>
      <c r="F90" s="36"/>
      <c r="G90" s="36"/>
      <c r="H90" s="36"/>
      <c r="I90" s="36"/>
      <c r="J90" s="44"/>
    </row>
    <row r="91" spans="2:10" ht="13.8" x14ac:dyDescent="0.3">
      <c r="B91" s="37"/>
      <c r="C91" s="36"/>
      <c r="D91" s="36"/>
      <c r="E91" s="36"/>
      <c r="F91" s="36"/>
      <c r="G91" s="36"/>
      <c r="H91" s="36"/>
      <c r="I91" s="36"/>
      <c r="J91" s="44"/>
    </row>
    <row r="92" spans="2:10" ht="13.8" x14ac:dyDescent="0.3">
      <c r="B92" s="37"/>
      <c r="C92" s="36"/>
      <c r="D92" s="36"/>
      <c r="E92" s="36"/>
      <c r="F92" s="36"/>
      <c r="G92" s="36"/>
      <c r="H92" s="36"/>
      <c r="I92" s="36"/>
      <c r="J92" s="44"/>
    </row>
    <row r="93" spans="2:10" ht="13.8" x14ac:dyDescent="0.3">
      <c r="B93" s="37"/>
      <c r="C93" s="36"/>
      <c r="D93" s="36"/>
      <c r="E93" s="36"/>
      <c r="F93" s="36"/>
      <c r="G93" s="36"/>
      <c r="H93" s="36"/>
      <c r="I93" s="36"/>
      <c r="J93" s="44"/>
    </row>
    <row r="94" spans="2:10" ht="13.8" x14ac:dyDescent="0.3">
      <c r="B94" s="37"/>
      <c r="C94" s="36"/>
      <c r="D94" s="36"/>
      <c r="E94" s="36"/>
      <c r="F94" s="36"/>
      <c r="G94" s="36"/>
      <c r="H94" s="36"/>
      <c r="I94" s="36"/>
      <c r="J94" s="44"/>
    </row>
    <row r="95" spans="2:10" ht="13.8" x14ac:dyDescent="0.3">
      <c r="B95" s="37"/>
      <c r="C95" s="36"/>
      <c r="D95" s="36"/>
      <c r="E95" s="36"/>
      <c r="F95" s="36"/>
      <c r="G95" s="36"/>
      <c r="H95" s="36"/>
      <c r="I95" s="36"/>
      <c r="J95" s="44"/>
    </row>
    <row r="96" spans="2:10" ht="13.8" x14ac:dyDescent="0.3">
      <c r="B96" s="37"/>
      <c r="C96" s="36"/>
      <c r="D96" s="36"/>
      <c r="E96" s="36"/>
      <c r="F96" s="36"/>
      <c r="G96" s="36"/>
      <c r="H96" s="36"/>
      <c r="I96" s="36"/>
      <c r="J96" s="44"/>
    </row>
    <row r="97" spans="2:10" ht="13.8" x14ac:dyDescent="0.3">
      <c r="B97" s="37"/>
      <c r="C97" s="36"/>
      <c r="D97" s="36"/>
      <c r="E97" s="36"/>
      <c r="F97" s="36"/>
      <c r="G97" s="36"/>
      <c r="H97" s="36"/>
      <c r="I97" s="36"/>
      <c r="J97" s="44"/>
    </row>
    <row r="98" spans="2:10" ht="13.8" x14ac:dyDescent="0.3">
      <c r="B98" s="37"/>
      <c r="C98" s="36"/>
      <c r="D98" s="36"/>
      <c r="E98" s="36"/>
      <c r="F98" s="36"/>
      <c r="G98" s="36"/>
      <c r="H98" s="36"/>
      <c r="I98" s="36"/>
      <c r="J98" s="44"/>
    </row>
    <row r="99" spans="2:10" ht="13.8" x14ac:dyDescent="0.3">
      <c r="B99" s="37"/>
      <c r="C99" s="36"/>
      <c r="D99" s="36"/>
      <c r="E99" s="36"/>
      <c r="F99" s="36"/>
      <c r="G99" s="36"/>
      <c r="H99" s="36"/>
      <c r="I99" s="36"/>
      <c r="J99" s="44"/>
    </row>
    <row r="100" spans="2:10" ht="13.8" x14ac:dyDescent="0.3">
      <c r="B100" s="37"/>
      <c r="C100" s="36"/>
      <c r="D100" s="36"/>
      <c r="E100" s="36"/>
      <c r="F100" s="36"/>
      <c r="G100" s="36"/>
      <c r="H100" s="36"/>
      <c r="I100" s="36"/>
      <c r="J100" s="44"/>
    </row>
    <row r="101" spans="2:10" ht="13.8" x14ac:dyDescent="0.3">
      <c r="B101" s="37"/>
      <c r="C101" s="36"/>
      <c r="D101" s="36"/>
      <c r="E101" s="36"/>
      <c r="F101" s="36"/>
      <c r="G101" s="36"/>
      <c r="H101" s="36"/>
      <c r="I101" s="36"/>
      <c r="J101" s="44"/>
    </row>
    <row r="102" spans="2:10" ht="13.8" x14ac:dyDescent="0.3">
      <c r="B102" s="37"/>
      <c r="C102" s="36"/>
      <c r="D102" s="36"/>
      <c r="E102" s="36"/>
      <c r="F102" s="36"/>
      <c r="G102" s="36"/>
      <c r="H102" s="36"/>
      <c r="I102" s="36"/>
      <c r="J102" s="44"/>
    </row>
    <row r="103" spans="2:10" ht="13.8" x14ac:dyDescent="0.3">
      <c r="B103" s="37"/>
      <c r="C103" s="36"/>
      <c r="D103" s="36"/>
      <c r="E103" s="36"/>
      <c r="F103" s="36"/>
      <c r="G103" s="36"/>
      <c r="H103" s="36"/>
      <c r="I103" s="36"/>
      <c r="J103" s="44"/>
    </row>
    <row r="104" spans="2:10" ht="13.8" x14ac:dyDescent="0.3">
      <c r="B104" s="37"/>
      <c r="C104" s="36"/>
      <c r="D104" s="36"/>
      <c r="E104" s="36"/>
      <c r="F104" s="36"/>
      <c r="G104" s="36"/>
      <c r="H104" s="36"/>
      <c r="I104" s="36"/>
      <c r="J104" s="44"/>
    </row>
    <row r="105" spans="2:10" ht="13.8" x14ac:dyDescent="0.3">
      <c r="B105" s="37"/>
      <c r="C105" s="36"/>
      <c r="D105" s="36"/>
      <c r="E105" s="36"/>
      <c r="F105" s="36"/>
      <c r="G105" s="36"/>
      <c r="H105" s="36"/>
      <c r="I105" s="36"/>
      <c r="J105" s="44"/>
    </row>
    <row r="106" spans="2:10" ht="13.8" x14ac:dyDescent="0.3">
      <c r="B106" s="37"/>
      <c r="C106" s="36"/>
      <c r="D106" s="36"/>
      <c r="E106" s="36"/>
      <c r="F106" s="36"/>
      <c r="G106" s="36"/>
      <c r="H106" s="36"/>
      <c r="I106" s="36"/>
      <c r="J106" s="44"/>
    </row>
    <row r="107" spans="2:10" ht="13.8" x14ac:dyDescent="0.3">
      <c r="B107" s="37"/>
      <c r="C107" s="36"/>
      <c r="D107" s="36"/>
      <c r="E107" s="36"/>
      <c r="F107" s="36"/>
      <c r="G107" s="36"/>
      <c r="H107" s="36"/>
      <c r="I107" s="36"/>
      <c r="J107" s="44"/>
    </row>
    <row r="108" spans="2:10" ht="13.8" x14ac:dyDescent="0.3">
      <c r="B108" s="37"/>
      <c r="C108" s="36"/>
      <c r="D108" s="36"/>
      <c r="E108" s="36"/>
      <c r="F108" s="36"/>
      <c r="G108" s="36"/>
      <c r="H108" s="36"/>
      <c r="I108" s="36"/>
      <c r="J108" s="44"/>
    </row>
    <row r="109" spans="2:10" ht="13.8" x14ac:dyDescent="0.3">
      <c r="B109" s="37"/>
      <c r="C109" s="36"/>
      <c r="D109" s="36"/>
      <c r="E109" s="36"/>
      <c r="F109" s="36"/>
      <c r="G109" s="36"/>
      <c r="H109" s="36"/>
      <c r="I109" s="36"/>
      <c r="J109" s="44"/>
    </row>
    <row r="110" spans="2:10" ht="13.8" x14ac:dyDescent="0.3">
      <c r="B110" s="37"/>
      <c r="C110" s="36"/>
      <c r="D110" s="36"/>
      <c r="E110" s="36"/>
      <c r="F110" s="36"/>
      <c r="G110" s="36"/>
      <c r="H110" s="36"/>
      <c r="I110" s="36"/>
      <c r="J110" s="44"/>
    </row>
    <row r="111" spans="2:10" ht="13.8" x14ac:dyDescent="0.3">
      <c r="B111" s="37"/>
      <c r="C111" s="36"/>
      <c r="D111" s="36"/>
      <c r="E111" s="36"/>
      <c r="F111" s="36"/>
      <c r="G111" s="36"/>
      <c r="H111" s="36"/>
      <c r="I111" s="36"/>
      <c r="J111" s="44"/>
    </row>
    <row r="112" spans="2:10" ht="13.8" x14ac:dyDescent="0.3">
      <c r="B112" s="37"/>
      <c r="C112" s="36"/>
      <c r="D112" s="36"/>
      <c r="E112" s="36"/>
      <c r="F112" s="36"/>
      <c r="G112" s="36"/>
      <c r="H112" s="36"/>
      <c r="I112" s="36"/>
      <c r="J112" s="44"/>
    </row>
    <row r="113" spans="2:10" ht="13.8" x14ac:dyDescent="0.3">
      <c r="B113" s="37"/>
      <c r="C113" s="36"/>
      <c r="D113" s="36"/>
      <c r="E113" s="36"/>
      <c r="F113" s="36"/>
      <c r="G113" s="36"/>
      <c r="H113" s="36"/>
      <c r="I113" s="36"/>
      <c r="J113" s="44"/>
    </row>
    <row r="114" spans="2:10" ht="13.8" x14ac:dyDescent="0.3">
      <c r="B114" s="37"/>
      <c r="C114" s="36"/>
      <c r="D114" s="36"/>
      <c r="E114" s="36"/>
      <c r="F114" s="36"/>
      <c r="G114" s="36"/>
      <c r="H114" s="36"/>
      <c r="I114" s="36"/>
      <c r="J114" s="44"/>
    </row>
    <row r="115" spans="2:10" ht="13.8" x14ac:dyDescent="0.3">
      <c r="B115" s="37"/>
      <c r="C115" s="36"/>
      <c r="D115" s="36"/>
      <c r="E115" s="36"/>
      <c r="F115" s="36"/>
      <c r="G115" s="36"/>
      <c r="H115" s="36"/>
      <c r="I115" s="36"/>
      <c r="J115" s="44"/>
    </row>
    <row r="116" spans="2:10" ht="13.8" x14ac:dyDescent="0.3">
      <c r="B116" s="37"/>
      <c r="C116" s="36"/>
      <c r="D116" s="36"/>
      <c r="E116" s="36"/>
      <c r="F116" s="36"/>
      <c r="G116" s="36"/>
      <c r="H116" s="36"/>
      <c r="I116" s="36"/>
      <c r="J116" s="44"/>
    </row>
    <row r="117" spans="2:10" ht="13.8" x14ac:dyDescent="0.3">
      <c r="B117" s="37"/>
      <c r="C117" s="36"/>
      <c r="D117" s="36"/>
      <c r="E117" s="36"/>
      <c r="F117" s="36"/>
      <c r="G117" s="36"/>
      <c r="H117" s="36"/>
      <c r="I117" s="36"/>
      <c r="J117" s="44"/>
    </row>
    <row r="118" spans="2:10" ht="13.8" x14ac:dyDescent="0.3">
      <c r="B118" s="37"/>
      <c r="C118" s="36"/>
      <c r="D118" s="36"/>
      <c r="E118" s="36"/>
      <c r="F118" s="36"/>
      <c r="G118" s="36"/>
      <c r="H118" s="36"/>
      <c r="I118" s="36"/>
      <c r="J118" s="44"/>
    </row>
    <row r="119" spans="2:10" ht="13.8" x14ac:dyDescent="0.3">
      <c r="B119" s="37"/>
      <c r="C119" s="36"/>
      <c r="D119" s="36"/>
      <c r="E119" s="36"/>
      <c r="F119" s="36"/>
      <c r="G119" s="36"/>
      <c r="H119" s="36"/>
      <c r="I119" s="36"/>
      <c r="J119" s="44"/>
    </row>
    <row r="120" spans="2:10" ht="13.8" x14ac:dyDescent="0.3">
      <c r="B120" s="37"/>
      <c r="C120" s="36"/>
      <c r="D120" s="36"/>
      <c r="E120" s="36"/>
      <c r="F120" s="36"/>
      <c r="G120" s="36"/>
      <c r="H120" s="36"/>
      <c r="I120" s="36"/>
      <c r="J120" s="44"/>
    </row>
    <row r="121" spans="2:10" ht="13.8" x14ac:dyDescent="0.3">
      <c r="B121" s="37"/>
      <c r="C121" s="36"/>
      <c r="D121" s="36"/>
      <c r="E121" s="36"/>
      <c r="F121" s="36"/>
      <c r="G121" s="36"/>
      <c r="H121" s="36"/>
      <c r="I121" s="36"/>
      <c r="J121" s="44"/>
    </row>
    <row r="122" spans="2:10" ht="13.8" x14ac:dyDescent="0.3">
      <c r="B122" s="37"/>
      <c r="C122" s="36"/>
      <c r="D122" s="36"/>
      <c r="E122" s="36"/>
      <c r="F122" s="36"/>
      <c r="G122" s="36"/>
      <c r="H122" s="36"/>
      <c r="I122" s="36"/>
      <c r="J122" s="44"/>
    </row>
    <row r="123" spans="2:10" ht="13.8" x14ac:dyDescent="0.3">
      <c r="B123" s="37"/>
      <c r="C123" s="36"/>
      <c r="D123" s="36"/>
      <c r="E123" s="36"/>
      <c r="F123" s="36"/>
      <c r="G123" s="36"/>
      <c r="H123" s="36"/>
      <c r="I123" s="36"/>
      <c r="J123" s="44"/>
    </row>
    <row r="124" spans="2:10" ht="13.8" x14ac:dyDescent="0.3">
      <c r="B124" s="37"/>
      <c r="C124" s="36"/>
      <c r="D124" s="36"/>
      <c r="E124" s="36"/>
      <c r="F124" s="36"/>
      <c r="G124" s="36"/>
      <c r="H124" s="36"/>
      <c r="I124" s="36"/>
      <c r="J124" s="44"/>
    </row>
    <row r="125" spans="2:10" ht="13.8" x14ac:dyDescent="0.3">
      <c r="B125" s="37"/>
      <c r="C125" s="36"/>
      <c r="D125" s="36"/>
      <c r="E125" s="36"/>
      <c r="F125" s="36"/>
      <c r="G125" s="36"/>
      <c r="H125" s="36"/>
      <c r="I125" s="36"/>
      <c r="J125" s="44"/>
    </row>
    <row r="126" spans="2:10" ht="13.8" x14ac:dyDescent="0.3">
      <c r="B126" s="37"/>
      <c r="C126" s="36"/>
      <c r="D126" s="36"/>
      <c r="E126" s="36"/>
      <c r="F126" s="36"/>
      <c r="G126" s="36"/>
      <c r="H126" s="36"/>
      <c r="I126" s="36"/>
      <c r="J126" s="44"/>
    </row>
    <row r="127" spans="2:10" ht="13.8" x14ac:dyDescent="0.3">
      <c r="B127" s="37"/>
      <c r="C127" s="36"/>
      <c r="D127" s="36"/>
      <c r="E127" s="36"/>
      <c r="F127" s="36"/>
      <c r="G127" s="36"/>
      <c r="H127" s="36"/>
      <c r="I127" s="36"/>
      <c r="J127" s="44"/>
    </row>
    <row r="128" spans="2:10" ht="13.8" x14ac:dyDescent="0.3">
      <c r="B128" s="37"/>
      <c r="C128" s="36"/>
      <c r="D128" s="36"/>
      <c r="E128" s="36"/>
      <c r="F128" s="36"/>
      <c r="G128" s="36"/>
      <c r="H128" s="36"/>
      <c r="I128" s="36"/>
      <c r="J128" s="44"/>
    </row>
    <row r="129" spans="2:10" ht="13.8" x14ac:dyDescent="0.3">
      <c r="B129" s="37"/>
      <c r="C129" s="36"/>
      <c r="D129" s="36"/>
      <c r="E129" s="36"/>
      <c r="F129" s="36"/>
      <c r="G129" s="36"/>
      <c r="H129" s="36"/>
      <c r="I129" s="36"/>
      <c r="J129" s="44"/>
    </row>
    <row r="130" spans="2:10" ht="13.8" x14ac:dyDescent="0.3">
      <c r="B130" s="37"/>
      <c r="C130" s="36"/>
      <c r="D130" s="36"/>
      <c r="E130" s="36"/>
      <c r="F130" s="36"/>
      <c r="G130" s="36"/>
      <c r="H130" s="36"/>
      <c r="I130" s="36"/>
      <c r="J130" s="44"/>
    </row>
    <row r="131" spans="2:10" ht="13.8" x14ac:dyDescent="0.3">
      <c r="B131" s="37"/>
      <c r="C131" s="36"/>
      <c r="D131" s="36"/>
      <c r="E131" s="36"/>
      <c r="F131" s="36"/>
      <c r="G131" s="36"/>
      <c r="H131" s="36"/>
      <c r="I131" s="36"/>
      <c r="J131" s="44"/>
    </row>
    <row r="132" spans="2:10" ht="13.8" x14ac:dyDescent="0.3">
      <c r="B132" s="37"/>
      <c r="C132" s="36"/>
      <c r="D132" s="36"/>
      <c r="E132" s="36"/>
      <c r="F132" s="36"/>
      <c r="G132" s="36"/>
      <c r="H132" s="36"/>
      <c r="I132" s="36"/>
      <c r="J132" s="44"/>
    </row>
    <row r="133" spans="2:10" ht="13.8" x14ac:dyDescent="0.3">
      <c r="B133" s="37"/>
      <c r="C133" s="36"/>
      <c r="D133" s="36"/>
      <c r="E133" s="36"/>
      <c r="F133" s="36"/>
      <c r="G133" s="36"/>
      <c r="H133" s="36"/>
      <c r="I133" s="36"/>
      <c r="J133" s="44"/>
    </row>
    <row r="134" spans="2:10" ht="13.8" x14ac:dyDescent="0.3">
      <c r="B134" s="37"/>
      <c r="C134" s="36"/>
      <c r="D134" s="36"/>
      <c r="E134" s="36"/>
      <c r="F134" s="36"/>
      <c r="G134" s="36"/>
      <c r="H134" s="36"/>
      <c r="I134" s="36"/>
      <c r="J134" s="44"/>
    </row>
    <row r="135" spans="2:10" ht="13.8" x14ac:dyDescent="0.3">
      <c r="B135" s="37"/>
      <c r="C135" s="36"/>
      <c r="D135" s="36"/>
      <c r="E135" s="36"/>
      <c r="F135" s="36"/>
      <c r="G135" s="36"/>
      <c r="H135" s="36"/>
      <c r="I135" s="36"/>
      <c r="J135" s="44"/>
    </row>
    <row r="136" spans="2:10" ht="13.8" x14ac:dyDescent="0.3">
      <c r="B136" s="37"/>
      <c r="C136" s="36"/>
      <c r="D136" s="36"/>
      <c r="E136" s="36"/>
      <c r="F136" s="36"/>
      <c r="G136" s="36"/>
      <c r="H136" s="36"/>
      <c r="I136" s="36"/>
      <c r="J136" s="44"/>
    </row>
    <row r="137" spans="2:10" ht="13.8" x14ac:dyDescent="0.3">
      <c r="B137" s="37"/>
      <c r="C137" s="36"/>
      <c r="D137" s="36"/>
      <c r="E137" s="36"/>
      <c r="F137" s="36"/>
      <c r="G137" s="36"/>
      <c r="H137" s="36"/>
      <c r="I137" s="36"/>
      <c r="J137" s="44"/>
    </row>
    <row r="138" spans="2:10" ht="13.8" x14ac:dyDescent="0.3">
      <c r="B138" s="37"/>
      <c r="C138" s="36"/>
      <c r="D138" s="36"/>
      <c r="E138" s="36"/>
      <c r="F138" s="36"/>
      <c r="G138" s="36"/>
      <c r="H138" s="36"/>
      <c r="I138" s="36"/>
      <c r="J138" s="44"/>
    </row>
    <row r="139" spans="2:10" ht="13.8" x14ac:dyDescent="0.3">
      <c r="B139" s="37"/>
      <c r="C139" s="36"/>
      <c r="D139" s="36"/>
      <c r="E139" s="36"/>
      <c r="F139" s="36"/>
      <c r="G139" s="36"/>
      <c r="H139" s="36"/>
      <c r="I139" s="36"/>
      <c r="J139" s="44"/>
    </row>
    <row r="140" spans="2:10" ht="13.8" x14ac:dyDescent="0.3">
      <c r="B140" s="37"/>
      <c r="C140" s="36"/>
      <c r="D140" s="36"/>
      <c r="E140" s="36"/>
      <c r="F140" s="36"/>
      <c r="G140" s="36"/>
      <c r="H140" s="36"/>
      <c r="I140" s="36"/>
      <c r="J140" s="44"/>
    </row>
    <row r="141" spans="2:10" ht="13.8" x14ac:dyDescent="0.3">
      <c r="B141" s="37"/>
      <c r="C141" s="36"/>
      <c r="D141" s="36"/>
      <c r="E141" s="36"/>
      <c r="F141" s="36"/>
      <c r="G141" s="36"/>
      <c r="H141" s="36"/>
      <c r="I141" s="36"/>
      <c r="J141" s="44"/>
    </row>
    <row r="142" spans="2:10" ht="13.8" x14ac:dyDescent="0.3">
      <c r="B142" s="37"/>
      <c r="C142" s="36"/>
      <c r="D142" s="36"/>
      <c r="E142" s="36"/>
      <c r="F142" s="36"/>
      <c r="G142" s="36"/>
      <c r="H142" s="36"/>
      <c r="I142" s="36"/>
      <c r="J142" s="44"/>
    </row>
    <row r="143" spans="2:10" ht="13.8" x14ac:dyDescent="0.3">
      <c r="B143" s="37"/>
      <c r="C143" s="36"/>
      <c r="D143" s="36"/>
      <c r="E143" s="36"/>
      <c r="F143" s="36"/>
      <c r="G143" s="36"/>
      <c r="H143" s="36"/>
      <c r="I143" s="36"/>
      <c r="J143" s="44"/>
    </row>
    <row r="144" spans="2:10" ht="13.8" x14ac:dyDescent="0.3">
      <c r="B144" s="37"/>
      <c r="C144" s="36"/>
      <c r="D144" s="36"/>
      <c r="E144" s="36"/>
      <c r="F144" s="36"/>
      <c r="G144" s="36"/>
      <c r="H144" s="36"/>
      <c r="I144" s="36"/>
      <c r="J144" s="44"/>
    </row>
    <row r="145" spans="2:10" ht="13.8" x14ac:dyDescent="0.3">
      <c r="B145" s="37"/>
      <c r="C145" s="36"/>
      <c r="D145" s="36"/>
      <c r="E145" s="36"/>
      <c r="F145" s="36"/>
      <c r="G145" s="36"/>
      <c r="H145" s="36"/>
      <c r="I145" s="36"/>
      <c r="J145" s="44"/>
    </row>
    <row r="146" spans="2:10" ht="13.8" x14ac:dyDescent="0.3">
      <c r="B146" s="37"/>
      <c r="C146" s="36"/>
      <c r="D146" s="36"/>
      <c r="E146" s="36"/>
      <c r="F146" s="36"/>
      <c r="G146" s="36"/>
      <c r="H146" s="36"/>
      <c r="I146" s="36"/>
      <c r="J146" s="44"/>
    </row>
    <row r="147" spans="2:10" ht="13.8" x14ac:dyDescent="0.3">
      <c r="B147" s="37"/>
      <c r="C147" s="36"/>
      <c r="D147" s="36"/>
      <c r="E147" s="36"/>
      <c r="F147" s="36"/>
      <c r="G147" s="36"/>
      <c r="H147" s="36"/>
      <c r="I147" s="36"/>
      <c r="J147" s="44"/>
    </row>
    <row r="148" spans="2:10" ht="13.8" x14ac:dyDescent="0.3">
      <c r="B148" s="37"/>
      <c r="C148" s="36"/>
      <c r="D148" s="36"/>
      <c r="E148" s="36"/>
      <c r="F148" s="36"/>
      <c r="G148" s="36"/>
      <c r="H148" s="36"/>
      <c r="I148" s="36"/>
      <c r="J148" s="44"/>
    </row>
    <row r="149" spans="2:10" ht="13.8" x14ac:dyDescent="0.3">
      <c r="B149" s="37"/>
      <c r="C149" s="36"/>
      <c r="D149" s="36"/>
      <c r="E149" s="36"/>
      <c r="F149" s="36"/>
      <c r="G149" s="36"/>
      <c r="H149" s="36"/>
      <c r="I149" s="36"/>
      <c r="J149" s="44"/>
    </row>
    <row r="150" spans="2:10" ht="13.8" x14ac:dyDescent="0.3">
      <c r="B150" s="37"/>
      <c r="C150" s="36"/>
      <c r="D150" s="36"/>
      <c r="E150" s="36"/>
      <c r="F150" s="36"/>
      <c r="G150" s="36"/>
      <c r="H150" s="36"/>
      <c r="I150" s="36"/>
      <c r="J150" s="44"/>
    </row>
    <row r="151" spans="2:10" ht="13.8" x14ac:dyDescent="0.3">
      <c r="B151" s="37"/>
      <c r="C151" s="36"/>
      <c r="D151" s="36"/>
      <c r="E151" s="36"/>
      <c r="F151" s="36"/>
      <c r="G151" s="36"/>
      <c r="H151" s="36"/>
      <c r="I151" s="36"/>
      <c r="J151" s="44"/>
    </row>
    <row r="152" spans="2:10" ht="13.8" x14ac:dyDescent="0.3">
      <c r="B152" s="37"/>
      <c r="C152" s="36"/>
      <c r="D152" s="36"/>
      <c r="E152" s="36"/>
      <c r="F152" s="36"/>
      <c r="G152" s="36"/>
      <c r="H152" s="36"/>
      <c r="I152" s="36"/>
      <c r="J152" s="44"/>
    </row>
    <row r="153" spans="2:10" ht="13.8" x14ac:dyDescent="0.3">
      <c r="B153" s="37"/>
      <c r="C153" s="36"/>
      <c r="D153" s="36"/>
      <c r="E153" s="36"/>
      <c r="F153" s="36"/>
      <c r="G153" s="36"/>
      <c r="H153" s="36"/>
      <c r="I153" s="36"/>
      <c r="J153" s="44"/>
    </row>
    <row r="154" spans="2:10" ht="13.8" x14ac:dyDescent="0.3">
      <c r="B154" s="37"/>
      <c r="C154" s="36"/>
      <c r="D154" s="36"/>
      <c r="E154" s="36"/>
      <c r="F154" s="36"/>
      <c r="G154" s="36"/>
      <c r="H154" s="36"/>
      <c r="I154" s="36"/>
      <c r="J154" s="44"/>
    </row>
    <row r="155" spans="2:10" ht="13.8" x14ac:dyDescent="0.3">
      <c r="B155" s="37"/>
      <c r="C155" s="36"/>
      <c r="D155" s="36"/>
      <c r="E155" s="36"/>
      <c r="F155" s="36"/>
      <c r="G155" s="36"/>
      <c r="H155" s="36"/>
      <c r="I155" s="36"/>
      <c r="J155" s="44"/>
    </row>
    <row r="156" spans="2:10" ht="13.8" x14ac:dyDescent="0.3">
      <c r="B156" s="37"/>
      <c r="C156" s="36"/>
      <c r="D156" s="36"/>
      <c r="E156" s="36"/>
      <c r="F156" s="36"/>
      <c r="G156" s="36"/>
      <c r="H156" s="36"/>
      <c r="I156" s="36"/>
      <c r="J156" s="44"/>
    </row>
    <row r="157" spans="2:10" ht="13.8" x14ac:dyDescent="0.3">
      <c r="B157" s="37"/>
      <c r="C157" s="36"/>
      <c r="D157" s="36"/>
      <c r="E157" s="36"/>
      <c r="F157" s="36"/>
      <c r="G157" s="36"/>
      <c r="H157" s="36"/>
      <c r="I157" s="36"/>
      <c r="J157" s="44"/>
    </row>
    <row r="158" spans="2:10" ht="13.8" x14ac:dyDescent="0.3">
      <c r="B158" s="37"/>
      <c r="C158" s="36"/>
      <c r="D158" s="36"/>
      <c r="E158" s="36"/>
      <c r="F158" s="36"/>
      <c r="G158" s="36"/>
      <c r="H158" s="36"/>
      <c r="I158" s="36"/>
      <c r="J158" s="44"/>
    </row>
    <row r="159" spans="2:10" ht="13.8" x14ac:dyDescent="0.3">
      <c r="B159" s="37"/>
      <c r="C159" s="36"/>
      <c r="D159" s="36"/>
      <c r="E159" s="36"/>
      <c r="F159" s="36"/>
      <c r="G159" s="36"/>
      <c r="H159" s="36"/>
      <c r="I159" s="36"/>
      <c r="J159" s="44"/>
    </row>
    <row r="160" spans="2:10" ht="13.8" x14ac:dyDescent="0.3">
      <c r="B160" s="37"/>
      <c r="C160" s="36"/>
      <c r="D160" s="36"/>
      <c r="E160" s="36"/>
      <c r="F160" s="36"/>
      <c r="G160" s="36"/>
      <c r="H160" s="36"/>
      <c r="I160" s="36"/>
      <c r="J160" s="44"/>
    </row>
    <row r="161" spans="2:10" ht="13.8" x14ac:dyDescent="0.3">
      <c r="B161" s="37"/>
      <c r="C161" s="36"/>
      <c r="D161" s="36"/>
      <c r="E161" s="36"/>
      <c r="F161" s="36"/>
      <c r="G161" s="36"/>
      <c r="H161" s="36"/>
      <c r="I161" s="36"/>
      <c r="J161" s="44"/>
    </row>
    <row r="162" spans="2:10" ht="13.8" x14ac:dyDescent="0.3">
      <c r="B162" s="37"/>
      <c r="C162" s="36"/>
      <c r="D162" s="36"/>
      <c r="E162" s="36"/>
      <c r="F162" s="36"/>
      <c r="G162" s="36"/>
      <c r="H162" s="36"/>
      <c r="I162" s="36"/>
      <c r="J162" s="44"/>
    </row>
    <row r="163" spans="2:10" ht="13.8" x14ac:dyDescent="0.3">
      <c r="B163" s="37"/>
      <c r="C163" s="36"/>
      <c r="D163" s="36"/>
      <c r="E163" s="36"/>
      <c r="F163" s="36"/>
      <c r="G163" s="36"/>
      <c r="H163" s="36"/>
      <c r="I163" s="36"/>
      <c r="J163" s="44"/>
    </row>
    <row r="164" spans="2:10" ht="13.8" x14ac:dyDescent="0.3">
      <c r="B164" s="37"/>
      <c r="C164" s="36"/>
      <c r="D164" s="36"/>
      <c r="E164" s="36"/>
      <c r="F164" s="36"/>
      <c r="G164" s="36"/>
      <c r="H164" s="36"/>
      <c r="I164" s="36"/>
      <c r="J164" s="44"/>
    </row>
    <row r="165" spans="2:10" ht="13.8" x14ac:dyDescent="0.3">
      <c r="B165" s="37"/>
      <c r="C165" s="36"/>
      <c r="D165" s="36"/>
      <c r="E165" s="36"/>
      <c r="F165" s="36"/>
      <c r="G165" s="36"/>
      <c r="H165" s="36"/>
      <c r="I165" s="36"/>
      <c r="J165" s="44"/>
    </row>
    <row r="166" spans="2:10" ht="13.8" x14ac:dyDescent="0.3">
      <c r="B166" s="37"/>
      <c r="C166" s="36"/>
      <c r="D166" s="36"/>
      <c r="E166" s="36"/>
      <c r="F166" s="36"/>
      <c r="G166" s="36"/>
      <c r="H166" s="36"/>
      <c r="I166" s="36"/>
      <c r="J166" s="44"/>
    </row>
    <row r="167" spans="2:10" ht="13.8" x14ac:dyDescent="0.3">
      <c r="B167" s="37"/>
      <c r="C167" s="36"/>
      <c r="D167" s="36"/>
      <c r="E167" s="36"/>
      <c r="F167" s="36"/>
      <c r="G167" s="36"/>
      <c r="H167" s="36"/>
      <c r="I167" s="36"/>
      <c r="J167" s="44"/>
    </row>
    <row r="168" spans="2:10" ht="13.8" x14ac:dyDescent="0.3">
      <c r="B168" s="37"/>
      <c r="C168" s="36"/>
      <c r="D168" s="36"/>
      <c r="E168" s="36"/>
      <c r="F168" s="36"/>
      <c r="G168" s="36"/>
      <c r="H168" s="36"/>
      <c r="I168" s="36"/>
      <c r="J168" s="44"/>
    </row>
    <row r="169" spans="2:10" ht="13.8" x14ac:dyDescent="0.3">
      <c r="B169" s="37"/>
      <c r="C169" s="36"/>
      <c r="D169" s="36"/>
      <c r="E169" s="36"/>
      <c r="F169" s="36"/>
      <c r="G169" s="36"/>
      <c r="H169" s="36"/>
      <c r="I169" s="36"/>
      <c r="J169" s="44"/>
    </row>
    <row r="170" spans="2:10" ht="13.8" x14ac:dyDescent="0.3">
      <c r="B170" s="37"/>
      <c r="C170" s="36"/>
      <c r="D170" s="36"/>
      <c r="E170" s="36"/>
      <c r="F170" s="36"/>
      <c r="G170" s="36"/>
      <c r="H170" s="36"/>
      <c r="I170" s="36"/>
      <c r="J170" s="44"/>
    </row>
    <row r="171" spans="2:10" ht="13.8" x14ac:dyDescent="0.3">
      <c r="B171" s="37"/>
      <c r="C171" s="36"/>
      <c r="D171" s="36"/>
      <c r="E171" s="36"/>
      <c r="F171" s="36"/>
      <c r="G171" s="36"/>
      <c r="H171" s="36"/>
      <c r="I171" s="36"/>
      <c r="J171" s="44"/>
    </row>
    <row r="172" spans="2:10" ht="13.8" x14ac:dyDescent="0.3">
      <c r="B172" s="37"/>
      <c r="C172" s="36"/>
      <c r="D172" s="36"/>
      <c r="E172" s="36"/>
      <c r="F172" s="36"/>
      <c r="G172" s="36"/>
      <c r="H172" s="36"/>
      <c r="I172" s="36"/>
      <c r="J172" s="44"/>
    </row>
    <row r="173" spans="2:10" ht="13.8" x14ac:dyDescent="0.3">
      <c r="B173" s="37"/>
      <c r="C173" s="36"/>
      <c r="D173" s="36"/>
      <c r="E173" s="36"/>
      <c r="F173" s="36"/>
      <c r="G173" s="36"/>
      <c r="H173" s="36"/>
      <c r="I173" s="36"/>
      <c r="J173" s="44"/>
    </row>
    <row r="174" spans="2:10" ht="13.8" x14ac:dyDescent="0.3">
      <c r="B174" s="37"/>
      <c r="C174" s="36"/>
      <c r="D174" s="36"/>
      <c r="E174" s="36"/>
      <c r="F174" s="36"/>
      <c r="G174" s="36"/>
      <c r="H174" s="36"/>
      <c r="I174" s="36"/>
      <c r="J174" s="44"/>
    </row>
    <row r="175" spans="2:10" ht="13.8" x14ac:dyDescent="0.3">
      <c r="B175" s="37"/>
      <c r="C175" s="36"/>
      <c r="D175" s="36"/>
      <c r="E175" s="36"/>
      <c r="F175" s="36"/>
      <c r="G175" s="36"/>
      <c r="H175" s="36"/>
      <c r="I175" s="36"/>
      <c r="J175" s="44"/>
    </row>
    <row r="176" spans="2:10" ht="13.8" x14ac:dyDescent="0.3">
      <c r="B176" s="37"/>
      <c r="C176" s="36"/>
      <c r="D176" s="36"/>
      <c r="E176" s="36"/>
      <c r="F176" s="36"/>
      <c r="G176" s="36"/>
      <c r="H176" s="36"/>
      <c r="I176" s="36"/>
      <c r="J176" s="44"/>
    </row>
    <row r="177" spans="2:10" ht="13.8" x14ac:dyDescent="0.3">
      <c r="B177" s="37"/>
      <c r="C177" s="36"/>
      <c r="D177" s="36"/>
      <c r="E177" s="36"/>
      <c r="F177" s="36"/>
      <c r="G177" s="36"/>
      <c r="H177" s="36"/>
      <c r="I177" s="36"/>
      <c r="J177" s="44"/>
    </row>
    <row r="178" spans="2:10" ht="13.8" x14ac:dyDescent="0.3">
      <c r="B178" s="36"/>
      <c r="C178" s="36"/>
      <c r="D178" s="36"/>
      <c r="E178" s="36"/>
      <c r="F178" s="36"/>
      <c r="G178" s="36"/>
      <c r="H178" s="36"/>
      <c r="I178" s="36"/>
      <c r="J178" s="44"/>
    </row>
    <row r="179" spans="2:10" ht="13.8" x14ac:dyDescent="0.3">
      <c r="B179" s="36"/>
      <c r="C179" s="36"/>
      <c r="D179" s="36"/>
      <c r="E179" s="36"/>
      <c r="F179" s="36"/>
      <c r="G179" s="36"/>
      <c r="H179" s="36"/>
      <c r="I179" s="36"/>
      <c r="J179" s="44"/>
    </row>
    <row r="180" spans="2:10" ht="13.8" x14ac:dyDescent="0.3">
      <c r="B180" s="36"/>
      <c r="C180" s="36"/>
      <c r="D180" s="36"/>
      <c r="E180" s="36"/>
      <c r="F180" s="36"/>
      <c r="G180" s="36"/>
      <c r="H180" s="36"/>
      <c r="I180" s="36"/>
      <c r="J180" s="44"/>
    </row>
    <row r="181" spans="2:10" ht="13.8" x14ac:dyDescent="0.3">
      <c r="B181" s="36"/>
      <c r="C181" s="36"/>
      <c r="D181" s="36"/>
      <c r="E181" s="36"/>
      <c r="F181" s="36"/>
      <c r="G181" s="36"/>
      <c r="H181" s="36"/>
      <c r="I181" s="36"/>
      <c r="J181" s="44"/>
    </row>
    <row r="182" spans="2:10" ht="13.8" x14ac:dyDescent="0.3">
      <c r="B182" s="36"/>
      <c r="C182" s="36"/>
      <c r="D182" s="36"/>
      <c r="E182" s="36"/>
      <c r="F182" s="36"/>
      <c r="G182" s="36"/>
      <c r="H182" s="36"/>
      <c r="I182" s="36"/>
      <c r="J182" s="44"/>
    </row>
    <row r="183" spans="2:10" ht="13.8" x14ac:dyDescent="0.3">
      <c r="B183" s="36"/>
      <c r="C183" s="36"/>
      <c r="D183" s="36"/>
      <c r="E183" s="36"/>
      <c r="F183" s="36"/>
      <c r="G183" s="36"/>
      <c r="H183" s="36"/>
      <c r="I183" s="36"/>
      <c r="J183" s="44"/>
    </row>
    <row r="184" spans="2:10" ht="13.8" x14ac:dyDescent="0.3">
      <c r="B184" s="36"/>
      <c r="C184" s="36"/>
      <c r="D184" s="36"/>
      <c r="E184" s="36"/>
      <c r="F184" s="36"/>
      <c r="G184" s="36"/>
      <c r="H184" s="36"/>
      <c r="I184" s="36"/>
      <c r="J184" s="44"/>
    </row>
    <row r="185" spans="2:10" ht="13.8" x14ac:dyDescent="0.3">
      <c r="B185" s="36"/>
      <c r="C185" s="36"/>
      <c r="D185" s="36"/>
      <c r="E185" s="36"/>
      <c r="F185" s="36"/>
      <c r="G185" s="36"/>
      <c r="H185" s="36"/>
      <c r="I185" s="36"/>
      <c r="J185" s="44"/>
    </row>
    <row r="186" spans="2:10" ht="13.8" x14ac:dyDescent="0.3">
      <c r="B186" s="36"/>
      <c r="C186" s="36"/>
      <c r="D186" s="36"/>
      <c r="E186" s="36"/>
      <c r="F186" s="36"/>
      <c r="G186" s="36"/>
      <c r="H186" s="36"/>
      <c r="I186" s="36"/>
      <c r="J186" s="44"/>
    </row>
    <row r="187" spans="2:10" ht="13.8" x14ac:dyDescent="0.3">
      <c r="B187" s="36"/>
      <c r="C187" s="36"/>
      <c r="D187" s="36"/>
      <c r="E187" s="36"/>
      <c r="F187" s="36"/>
      <c r="G187" s="36"/>
      <c r="H187" s="36"/>
      <c r="I187" s="36"/>
      <c r="J187" s="44"/>
    </row>
    <row r="188" spans="2:10" ht="13.8" x14ac:dyDescent="0.3">
      <c r="B188" s="36"/>
      <c r="C188" s="36"/>
      <c r="D188" s="36"/>
      <c r="E188" s="36"/>
      <c r="F188" s="36"/>
      <c r="G188" s="36"/>
      <c r="H188" s="36"/>
      <c r="I188" s="36"/>
      <c r="J188" s="44"/>
    </row>
    <row r="189" spans="2:10" ht="13.8" x14ac:dyDescent="0.3">
      <c r="B189" s="36"/>
      <c r="C189" s="36"/>
      <c r="D189" s="36"/>
      <c r="E189" s="36"/>
      <c r="F189" s="36"/>
      <c r="G189" s="36"/>
      <c r="H189" s="36"/>
      <c r="I189" s="36"/>
      <c r="J189" s="44"/>
    </row>
    <row r="190" spans="2:10" ht="13.8" x14ac:dyDescent="0.3">
      <c r="B190" s="36"/>
      <c r="C190" s="36"/>
      <c r="D190" s="36"/>
      <c r="E190" s="36"/>
      <c r="F190" s="36"/>
      <c r="G190" s="36"/>
      <c r="H190" s="36"/>
      <c r="I190" s="36"/>
      <c r="J190" s="44"/>
    </row>
    <row r="191" spans="2:10" ht="13.8" x14ac:dyDescent="0.3">
      <c r="B191" s="36"/>
      <c r="C191" s="36"/>
      <c r="D191" s="36"/>
      <c r="E191" s="36"/>
      <c r="F191" s="36"/>
      <c r="G191" s="36"/>
      <c r="H191" s="36"/>
      <c r="I191" s="36"/>
      <c r="J191" s="44"/>
    </row>
    <row r="192" spans="2:10" ht="13.8" x14ac:dyDescent="0.3">
      <c r="B192" s="36"/>
      <c r="C192" s="36"/>
      <c r="D192" s="36"/>
      <c r="E192" s="36"/>
      <c r="F192" s="36"/>
      <c r="G192" s="36"/>
      <c r="H192" s="36"/>
      <c r="I192" s="36"/>
      <c r="J192" s="44"/>
    </row>
    <row r="193" spans="2:10" ht="13.8" x14ac:dyDescent="0.3">
      <c r="B193" s="36"/>
      <c r="C193" s="36"/>
      <c r="D193" s="36"/>
      <c r="E193" s="36"/>
      <c r="F193" s="36"/>
      <c r="G193" s="36"/>
      <c r="H193" s="36"/>
      <c r="I193" s="36"/>
      <c r="J193" s="44"/>
    </row>
    <row r="194" spans="2:10" ht="13.8" x14ac:dyDescent="0.3">
      <c r="B194" s="36"/>
      <c r="C194" s="36"/>
      <c r="D194" s="36"/>
      <c r="E194" s="36"/>
      <c r="F194" s="36"/>
      <c r="G194" s="36"/>
      <c r="H194" s="36"/>
      <c r="I194" s="36"/>
      <c r="J194" s="44"/>
    </row>
    <row r="195" spans="2:10" ht="13.8" x14ac:dyDescent="0.3">
      <c r="B195" s="36"/>
      <c r="C195" s="36"/>
      <c r="D195" s="36"/>
      <c r="E195" s="36"/>
      <c r="F195" s="36"/>
      <c r="G195" s="36"/>
      <c r="H195" s="36"/>
      <c r="I195" s="36"/>
      <c r="J195" s="44"/>
    </row>
    <row r="196" spans="2:10" ht="13.8" x14ac:dyDescent="0.3">
      <c r="B196" s="36"/>
      <c r="C196" s="36"/>
      <c r="D196" s="36"/>
      <c r="E196" s="36"/>
      <c r="F196" s="36"/>
      <c r="G196" s="36"/>
      <c r="H196" s="36"/>
      <c r="I196" s="36"/>
      <c r="J196" s="44"/>
    </row>
    <row r="197" spans="2:10" ht="13.8" x14ac:dyDescent="0.3">
      <c r="B197" s="36"/>
      <c r="C197" s="36"/>
      <c r="D197" s="36"/>
      <c r="E197" s="36"/>
      <c r="F197" s="36"/>
      <c r="G197" s="36"/>
      <c r="H197" s="36"/>
      <c r="I197" s="36"/>
      <c r="J197" s="44"/>
    </row>
    <row r="198" spans="2:10" ht="13.8" x14ac:dyDescent="0.3">
      <c r="B198" s="36"/>
      <c r="C198" s="36"/>
      <c r="D198" s="36"/>
      <c r="E198" s="36"/>
      <c r="F198" s="36"/>
      <c r="G198" s="36"/>
      <c r="H198" s="36"/>
      <c r="I198" s="36"/>
      <c r="J198" s="44"/>
    </row>
    <row r="199" spans="2:10" ht="13.8" x14ac:dyDescent="0.3">
      <c r="B199" s="36"/>
      <c r="C199" s="36"/>
      <c r="D199" s="36"/>
      <c r="E199" s="36"/>
      <c r="F199" s="36"/>
      <c r="G199" s="36"/>
      <c r="H199" s="36"/>
      <c r="I199" s="36"/>
      <c r="J199" s="44"/>
    </row>
    <row r="200" spans="2:10" ht="13.8" x14ac:dyDescent="0.3">
      <c r="B200" s="36"/>
      <c r="C200" s="36"/>
      <c r="D200" s="36"/>
      <c r="E200" s="36"/>
      <c r="F200" s="36"/>
      <c r="G200" s="36"/>
      <c r="H200" s="36"/>
      <c r="I200" s="36"/>
      <c r="J200" s="44"/>
    </row>
    <row r="201" spans="2:10" ht="13.8" x14ac:dyDescent="0.3">
      <c r="B201" s="36"/>
      <c r="C201" s="36"/>
      <c r="D201" s="36"/>
      <c r="E201" s="36"/>
      <c r="F201" s="36"/>
      <c r="G201" s="36"/>
      <c r="H201" s="36"/>
      <c r="I201" s="36"/>
      <c r="J201" s="44"/>
    </row>
    <row r="202" spans="2:10" ht="13.8" x14ac:dyDescent="0.3">
      <c r="B202" s="36"/>
      <c r="C202" s="36"/>
      <c r="D202" s="36"/>
      <c r="E202" s="36"/>
      <c r="F202" s="36"/>
      <c r="G202" s="36"/>
      <c r="H202" s="36"/>
      <c r="I202" s="36"/>
      <c r="J202" s="44"/>
    </row>
    <row r="203" spans="2:10" ht="13.8" x14ac:dyDescent="0.3">
      <c r="B203" s="36"/>
      <c r="C203" s="36"/>
      <c r="D203" s="36"/>
      <c r="E203" s="36"/>
      <c r="F203" s="36"/>
      <c r="G203" s="36"/>
      <c r="H203" s="36"/>
      <c r="I203" s="36"/>
      <c r="J203" s="44"/>
    </row>
    <row r="204" spans="2:10" ht="13.8" x14ac:dyDescent="0.3">
      <c r="B204" s="36"/>
      <c r="C204" s="36"/>
      <c r="D204" s="36"/>
      <c r="E204" s="36"/>
      <c r="F204" s="36"/>
      <c r="G204" s="36"/>
      <c r="H204" s="36"/>
      <c r="I204" s="36"/>
      <c r="J204" s="44"/>
    </row>
    <row r="205" spans="2:10" ht="13.8" x14ac:dyDescent="0.3">
      <c r="B205" s="36"/>
      <c r="C205" s="36"/>
      <c r="D205" s="36"/>
      <c r="E205" s="36"/>
      <c r="F205" s="36"/>
      <c r="G205" s="36"/>
      <c r="H205" s="36"/>
      <c r="I205" s="36"/>
      <c r="J205" s="44"/>
    </row>
    <row r="206" spans="2:10" ht="13.8" x14ac:dyDescent="0.3">
      <c r="B206" s="36"/>
      <c r="C206" s="36"/>
      <c r="D206" s="36"/>
      <c r="E206" s="36"/>
      <c r="F206" s="36"/>
      <c r="G206" s="36"/>
      <c r="H206" s="36"/>
      <c r="I206" s="36"/>
      <c r="J206" s="44"/>
    </row>
    <row r="207" spans="2:10" ht="13.8" x14ac:dyDescent="0.3">
      <c r="B207" s="36"/>
      <c r="C207" s="36"/>
      <c r="D207" s="36"/>
      <c r="E207" s="36"/>
      <c r="F207" s="36"/>
      <c r="G207" s="36"/>
      <c r="H207" s="36"/>
      <c r="I207" s="36"/>
      <c r="J207" s="44"/>
    </row>
    <row r="208" spans="2:10" ht="13.8" x14ac:dyDescent="0.3">
      <c r="B208" s="36"/>
      <c r="C208" s="36"/>
      <c r="D208" s="36"/>
      <c r="E208" s="36"/>
      <c r="F208" s="36"/>
      <c r="G208" s="36"/>
      <c r="H208" s="36"/>
      <c r="I208" s="36"/>
      <c r="J208" s="44"/>
    </row>
    <row r="209" spans="2:10" ht="13.8" x14ac:dyDescent="0.3">
      <c r="B209" s="36"/>
      <c r="C209" s="36"/>
      <c r="D209" s="36"/>
      <c r="E209" s="36"/>
      <c r="F209" s="36"/>
      <c r="G209" s="36"/>
      <c r="H209" s="36"/>
      <c r="I209" s="36"/>
      <c r="J209" s="44"/>
    </row>
    <row r="210" spans="2:10" ht="13.8" x14ac:dyDescent="0.3">
      <c r="B210" s="36"/>
      <c r="C210" s="36"/>
      <c r="D210" s="36"/>
      <c r="E210" s="36"/>
      <c r="F210" s="36"/>
      <c r="G210" s="36"/>
      <c r="H210" s="36"/>
      <c r="I210" s="36"/>
      <c r="J210" s="44"/>
    </row>
    <row r="211" spans="2:10" ht="13.8" x14ac:dyDescent="0.3">
      <c r="B211" s="36"/>
      <c r="C211" s="36"/>
      <c r="D211" s="36"/>
      <c r="E211" s="36"/>
      <c r="F211" s="36"/>
      <c r="G211" s="36"/>
      <c r="H211" s="36"/>
      <c r="I211" s="36"/>
      <c r="J211" s="44"/>
    </row>
    <row r="212" spans="2:10" ht="13.8" x14ac:dyDescent="0.3">
      <c r="B212" s="36"/>
      <c r="C212" s="36"/>
      <c r="D212" s="36"/>
      <c r="E212" s="36"/>
      <c r="F212" s="36"/>
      <c r="G212" s="36"/>
      <c r="H212" s="36"/>
      <c r="I212" s="36"/>
      <c r="J212" s="44"/>
    </row>
    <row r="213" spans="2:10" ht="13.8" x14ac:dyDescent="0.3">
      <c r="B213" s="36"/>
      <c r="C213" s="36"/>
      <c r="D213" s="36"/>
      <c r="E213" s="36"/>
      <c r="F213" s="36"/>
      <c r="G213" s="36"/>
      <c r="H213" s="36"/>
      <c r="I213" s="36"/>
      <c r="J213" s="44"/>
    </row>
    <row r="214" spans="2:10" ht="13.8" x14ac:dyDescent="0.3">
      <c r="B214" s="36"/>
      <c r="C214" s="36"/>
      <c r="D214" s="36"/>
      <c r="E214" s="36"/>
      <c r="F214" s="36"/>
      <c r="G214" s="36"/>
      <c r="H214" s="36"/>
      <c r="I214" s="36"/>
      <c r="J214" s="44"/>
    </row>
    <row r="215" spans="2:10" ht="13.8" x14ac:dyDescent="0.3">
      <c r="B215" s="36"/>
      <c r="C215" s="36"/>
      <c r="D215" s="36"/>
      <c r="E215" s="36"/>
      <c r="F215" s="36"/>
      <c r="G215" s="36"/>
      <c r="H215" s="36"/>
      <c r="I215" s="36"/>
      <c r="J215" s="44"/>
    </row>
    <row r="216" spans="2:10" ht="13.8" x14ac:dyDescent="0.3">
      <c r="B216" s="36"/>
      <c r="C216" s="36"/>
      <c r="D216" s="36"/>
      <c r="E216" s="36"/>
      <c r="F216" s="36"/>
      <c r="G216" s="36"/>
      <c r="H216" s="36"/>
      <c r="I216" s="36"/>
      <c r="J216" s="44"/>
    </row>
    <row r="217" spans="2:10" ht="13.8" x14ac:dyDescent="0.3">
      <c r="B217" s="36"/>
      <c r="C217" s="36"/>
      <c r="D217" s="36"/>
      <c r="E217" s="36"/>
      <c r="F217" s="36"/>
      <c r="G217" s="36"/>
      <c r="H217" s="36"/>
      <c r="I217" s="36"/>
      <c r="J217" s="44"/>
    </row>
    <row r="218" spans="2:10" ht="13.8" x14ac:dyDescent="0.3">
      <c r="B218" s="36"/>
      <c r="C218" s="36"/>
      <c r="D218" s="36"/>
      <c r="E218" s="36"/>
      <c r="F218" s="36"/>
      <c r="G218" s="36"/>
      <c r="H218" s="36"/>
      <c r="I218" s="36"/>
      <c r="J218" s="44"/>
    </row>
    <row r="219" spans="2:10" ht="13.8" x14ac:dyDescent="0.3">
      <c r="B219" s="36"/>
      <c r="C219" s="36"/>
      <c r="D219" s="36"/>
      <c r="E219" s="36"/>
      <c r="F219" s="36"/>
      <c r="G219" s="36"/>
      <c r="H219" s="36"/>
      <c r="I219" s="36"/>
      <c r="J219" s="44"/>
    </row>
    <row r="220" spans="2:10" ht="13.8" x14ac:dyDescent="0.3">
      <c r="B220" s="36"/>
      <c r="C220" s="36"/>
      <c r="D220" s="36"/>
      <c r="E220" s="36"/>
      <c r="F220" s="36"/>
      <c r="G220" s="36"/>
      <c r="H220" s="36"/>
      <c r="I220" s="36"/>
      <c r="J220" s="44"/>
    </row>
    <row r="221" spans="2:10" ht="13.8" x14ac:dyDescent="0.3">
      <c r="B221" s="36"/>
      <c r="C221" s="36"/>
      <c r="D221" s="36"/>
      <c r="E221" s="36"/>
      <c r="F221" s="36"/>
      <c r="G221" s="36"/>
      <c r="H221" s="36"/>
      <c r="I221" s="36"/>
      <c r="J221" s="44"/>
    </row>
    <row r="222" spans="2:10" ht="13.8" x14ac:dyDescent="0.3">
      <c r="B222" s="36"/>
      <c r="C222" s="36"/>
      <c r="D222" s="36"/>
      <c r="E222" s="36"/>
      <c r="F222" s="36"/>
      <c r="G222" s="36"/>
      <c r="H222" s="36"/>
      <c r="I222" s="36"/>
      <c r="J222" s="44"/>
    </row>
    <row r="223" spans="2:10" ht="13.8" x14ac:dyDescent="0.3">
      <c r="B223" s="36"/>
      <c r="C223" s="36"/>
      <c r="D223" s="36"/>
      <c r="E223" s="36"/>
      <c r="F223" s="36"/>
      <c r="G223" s="36"/>
      <c r="H223" s="36"/>
      <c r="I223" s="36"/>
      <c r="J223" s="44"/>
    </row>
    <row r="224" spans="2:10" ht="13.8" x14ac:dyDescent="0.3">
      <c r="B224" s="36"/>
      <c r="C224" s="36"/>
      <c r="D224" s="36"/>
      <c r="E224" s="36"/>
      <c r="F224" s="36"/>
      <c r="G224" s="36"/>
      <c r="H224" s="36"/>
      <c r="I224" s="36"/>
      <c r="J224" s="44"/>
    </row>
    <row r="225" spans="2:10" ht="13.8" x14ac:dyDescent="0.3">
      <c r="B225" s="36"/>
      <c r="C225" s="36"/>
      <c r="D225" s="36"/>
      <c r="E225" s="36"/>
      <c r="F225" s="36"/>
      <c r="G225" s="36"/>
      <c r="H225" s="36"/>
      <c r="I225" s="36"/>
      <c r="J225" s="44"/>
    </row>
    <row r="226" spans="2:10" ht="13.8" x14ac:dyDescent="0.3">
      <c r="B226" s="36"/>
      <c r="C226" s="36"/>
      <c r="D226" s="36"/>
      <c r="E226" s="36"/>
      <c r="F226" s="36"/>
      <c r="G226" s="36"/>
      <c r="H226" s="36"/>
      <c r="I226" s="36"/>
      <c r="J226" s="44"/>
    </row>
    <row r="227" spans="2:10" ht="13.8" x14ac:dyDescent="0.3">
      <c r="B227" s="36"/>
      <c r="C227" s="36"/>
      <c r="D227" s="36"/>
      <c r="E227" s="36"/>
      <c r="F227" s="36"/>
      <c r="G227" s="36"/>
      <c r="H227" s="36"/>
      <c r="I227" s="36"/>
      <c r="J227" s="44"/>
    </row>
    <row r="228" spans="2:10" ht="13.8" x14ac:dyDescent="0.3">
      <c r="B228" s="36"/>
      <c r="C228" s="36"/>
      <c r="D228" s="36"/>
      <c r="E228" s="36"/>
      <c r="F228" s="36"/>
      <c r="G228" s="36"/>
      <c r="H228" s="36"/>
      <c r="I228" s="36"/>
      <c r="J228" s="44"/>
    </row>
    <row r="229" spans="2:10" ht="13.8" x14ac:dyDescent="0.3">
      <c r="B229" s="36"/>
      <c r="C229" s="36"/>
      <c r="D229" s="36"/>
      <c r="E229" s="36"/>
      <c r="F229" s="36"/>
      <c r="G229" s="36"/>
      <c r="H229" s="36"/>
      <c r="I229" s="36"/>
      <c r="J229" s="44"/>
    </row>
    <row r="230" spans="2:10" ht="13.8" x14ac:dyDescent="0.3">
      <c r="B230" s="36"/>
      <c r="C230" s="36"/>
      <c r="D230" s="36"/>
      <c r="E230" s="36"/>
      <c r="F230" s="36"/>
      <c r="G230" s="36"/>
      <c r="H230" s="36"/>
      <c r="I230" s="36"/>
      <c r="J230" s="44"/>
    </row>
    <row r="231" spans="2:10" ht="13.8" x14ac:dyDescent="0.3">
      <c r="B231" s="36"/>
      <c r="C231" s="36"/>
      <c r="D231" s="36"/>
      <c r="E231" s="36"/>
      <c r="F231" s="36"/>
      <c r="G231" s="36"/>
      <c r="H231" s="36"/>
      <c r="I231" s="36"/>
      <c r="J231" s="44"/>
    </row>
    <row r="232" spans="2:10" ht="13.8" x14ac:dyDescent="0.3">
      <c r="B232" s="36"/>
      <c r="C232" s="36"/>
      <c r="D232" s="36"/>
      <c r="E232" s="36"/>
      <c r="F232" s="36"/>
      <c r="G232" s="36"/>
      <c r="H232" s="36"/>
      <c r="I232" s="36"/>
      <c r="J232" s="44"/>
    </row>
    <row r="233" spans="2:10" ht="13.8" x14ac:dyDescent="0.3">
      <c r="B233" s="36"/>
      <c r="C233" s="36"/>
      <c r="D233" s="36"/>
      <c r="E233" s="36"/>
      <c r="F233" s="36"/>
      <c r="G233" s="36"/>
      <c r="H233" s="36"/>
      <c r="I233" s="36"/>
      <c r="J233" s="44"/>
    </row>
    <row r="234" spans="2:10" ht="13.8" x14ac:dyDescent="0.3">
      <c r="B234" s="36"/>
      <c r="C234" s="36"/>
      <c r="D234" s="36"/>
      <c r="E234" s="36"/>
      <c r="F234" s="36"/>
      <c r="G234" s="36"/>
      <c r="H234" s="36"/>
      <c r="I234" s="36"/>
      <c r="J234" s="44"/>
    </row>
    <row r="235" spans="2:10" ht="13.8" x14ac:dyDescent="0.3">
      <c r="B235" s="36"/>
      <c r="C235" s="36"/>
      <c r="D235" s="36"/>
      <c r="E235" s="36"/>
      <c r="F235" s="36"/>
      <c r="G235" s="36"/>
      <c r="H235" s="36"/>
      <c r="I235" s="36"/>
      <c r="J235" s="44"/>
    </row>
    <row r="236" spans="2:10" ht="13.8" x14ac:dyDescent="0.3">
      <c r="B236" s="36"/>
      <c r="C236" s="36"/>
      <c r="D236" s="36"/>
      <c r="E236" s="36"/>
      <c r="F236" s="36"/>
      <c r="G236" s="36"/>
      <c r="H236" s="36"/>
      <c r="I236" s="36"/>
      <c r="J236" s="44"/>
    </row>
    <row r="237" spans="2:10" ht="13.8" x14ac:dyDescent="0.3">
      <c r="B237" s="36"/>
      <c r="C237" s="36"/>
      <c r="D237" s="36"/>
      <c r="E237" s="36"/>
      <c r="F237" s="36"/>
      <c r="G237" s="36"/>
      <c r="H237" s="36"/>
      <c r="I237" s="36"/>
      <c r="J237" s="44"/>
    </row>
    <row r="238" spans="2:10" ht="13.8" x14ac:dyDescent="0.3">
      <c r="B238" s="36"/>
      <c r="C238" s="36"/>
      <c r="D238" s="36"/>
      <c r="E238" s="36"/>
      <c r="F238" s="36"/>
      <c r="G238" s="36"/>
      <c r="H238" s="36"/>
      <c r="I238" s="36"/>
      <c r="J238" s="44"/>
    </row>
    <row r="239" spans="2:10" ht="13.8" x14ac:dyDescent="0.3">
      <c r="B239" s="36"/>
      <c r="C239" s="36"/>
      <c r="D239" s="36"/>
      <c r="E239" s="36"/>
      <c r="F239" s="36"/>
      <c r="G239" s="36"/>
      <c r="H239" s="36"/>
      <c r="I239" s="36"/>
      <c r="J239" s="44"/>
    </row>
    <row r="240" spans="2:10" ht="13.8" x14ac:dyDescent="0.3">
      <c r="B240" s="36"/>
      <c r="C240" s="36"/>
      <c r="D240" s="36"/>
      <c r="E240" s="36"/>
      <c r="F240" s="36"/>
      <c r="G240" s="36"/>
      <c r="H240" s="36"/>
      <c r="I240" s="36"/>
      <c r="J240" s="44"/>
    </row>
    <row r="241" spans="2:10" ht="13.8" x14ac:dyDescent="0.3">
      <c r="B241" s="36"/>
      <c r="C241" s="36"/>
      <c r="D241" s="36"/>
      <c r="E241" s="36"/>
      <c r="F241" s="36"/>
      <c r="G241" s="36"/>
      <c r="H241" s="36"/>
      <c r="I241" s="36"/>
      <c r="J241" s="44"/>
    </row>
    <row r="242" spans="2:10" ht="13.8" x14ac:dyDescent="0.3">
      <c r="B242" s="36"/>
      <c r="C242" s="36"/>
      <c r="D242" s="36"/>
      <c r="E242" s="36"/>
      <c r="F242" s="36"/>
      <c r="G242" s="36"/>
      <c r="H242" s="36"/>
      <c r="I242" s="36"/>
      <c r="J242" s="44"/>
    </row>
    <row r="243" spans="2:10" ht="13.8" x14ac:dyDescent="0.3">
      <c r="B243" s="36"/>
      <c r="C243" s="36"/>
      <c r="D243" s="36"/>
      <c r="E243" s="36"/>
      <c r="F243" s="36"/>
      <c r="G243" s="36"/>
      <c r="H243" s="36"/>
      <c r="I243" s="36"/>
      <c r="J243" s="44"/>
    </row>
    <row r="244" spans="2:10" ht="13.8" x14ac:dyDescent="0.3">
      <c r="B244" s="36"/>
      <c r="C244" s="36"/>
      <c r="D244" s="36"/>
      <c r="E244" s="36"/>
      <c r="F244" s="36"/>
      <c r="G244" s="36"/>
      <c r="H244" s="36"/>
      <c r="I244" s="36"/>
      <c r="J244" s="44"/>
    </row>
    <row r="245" spans="2:10" ht="13.8" x14ac:dyDescent="0.3">
      <c r="B245" s="36"/>
      <c r="C245" s="36"/>
      <c r="D245" s="36"/>
      <c r="E245" s="36"/>
      <c r="F245" s="36"/>
      <c r="G245" s="36"/>
      <c r="H245" s="36"/>
      <c r="I245" s="36"/>
      <c r="J245" s="44"/>
    </row>
    <row r="246" spans="2:10" ht="13.8" x14ac:dyDescent="0.3">
      <c r="B246" s="36"/>
      <c r="C246" s="36"/>
      <c r="D246" s="36"/>
      <c r="E246" s="36"/>
      <c r="F246" s="36"/>
      <c r="G246" s="36"/>
      <c r="H246" s="36"/>
      <c r="I246" s="36"/>
      <c r="J246" s="44"/>
    </row>
    <row r="247" spans="2:10" ht="13.8" x14ac:dyDescent="0.3">
      <c r="B247" s="36"/>
      <c r="C247" s="36"/>
      <c r="D247" s="36"/>
      <c r="E247" s="36"/>
      <c r="F247" s="36"/>
      <c r="G247" s="36"/>
      <c r="H247" s="36"/>
      <c r="I247" s="36"/>
      <c r="J247" s="44"/>
    </row>
    <row r="248" spans="2:10" ht="13.8" x14ac:dyDescent="0.3">
      <c r="B248" s="36"/>
      <c r="C248" s="36"/>
      <c r="D248" s="36"/>
      <c r="E248" s="36"/>
      <c r="F248" s="36"/>
      <c r="G248" s="36"/>
      <c r="H248" s="36"/>
      <c r="I248" s="36"/>
      <c r="J248" s="44"/>
    </row>
    <row r="249" spans="2:10" ht="13.8" x14ac:dyDescent="0.3">
      <c r="B249" s="36"/>
      <c r="C249" s="36"/>
      <c r="D249" s="36"/>
      <c r="E249" s="36"/>
      <c r="F249" s="36"/>
      <c r="G249" s="36"/>
      <c r="H249" s="36"/>
      <c r="I249" s="36"/>
      <c r="J249" s="44"/>
    </row>
    <row r="250" spans="2:10" ht="13.8" x14ac:dyDescent="0.3">
      <c r="B250" s="36"/>
      <c r="C250" s="36"/>
      <c r="D250" s="36"/>
      <c r="E250" s="36"/>
      <c r="F250" s="36"/>
      <c r="G250" s="36"/>
      <c r="H250" s="36"/>
      <c r="I250" s="36"/>
      <c r="J250" s="44"/>
    </row>
    <row r="251" spans="2:10" ht="13.8" x14ac:dyDescent="0.3">
      <c r="B251" s="36"/>
      <c r="C251" s="36"/>
      <c r="D251" s="36"/>
      <c r="E251" s="36"/>
      <c r="F251" s="36"/>
      <c r="G251" s="36"/>
      <c r="H251" s="36"/>
      <c r="I251" s="36"/>
      <c r="J251" s="44"/>
    </row>
    <row r="252" spans="2:10" ht="13.8" x14ac:dyDescent="0.3">
      <c r="B252" s="36"/>
      <c r="C252" s="36"/>
      <c r="D252" s="36"/>
      <c r="E252" s="36"/>
      <c r="F252" s="36"/>
      <c r="G252" s="36"/>
      <c r="H252" s="36"/>
      <c r="I252" s="36"/>
      <c r="J252" s="44"/>
    </row>
    <row r="253" spans="2:10" ht="13.8" x14ac:dyDescent="0.3">
      <c r="B253" s="36"/>
      <c r="C253" s="36"/>
      <c r="D253" s="36"/>
      <c r="E253" s="36"/>
      <c r="F253" s="36"/>
      <c r="G253" s="36"/>
      <c r="H253" s="36"/>
      <c r="I253" s="36"/>
      <c r="J253" s="44"/>
    </row>
    <row r="254" spans="2:10" ht="13.8" x14ac:dyDescent="0.3">
      <c r="B254" s="36"/>
      <c r="C254" s="36"/>
      <c r="D254" s="36"/>
      <c r="E254" s="36"/>
      <c r="F254" s="36"/>
      <c r="G254" s="36"/>
      <c r="H254" s="36"/>
      <c r="I254" s="36"/>
      <c r="J254" s="44"/>
    </row>
    <row r="255" spans="2:10" ht="13.8" x14ac:dyDescent="0.3">
      <c r="B255" s="36"/>
      <c r="C255" s="36"/>
      <c r="D255" s="36"/>
      <c r="E255" s="36"/>
      <c r="F255" s="36"/>
      <c r="G255" s="36"/>
      <c r="H255" s="36"/>
      <c r="I255" s="36"/>
      <c r="J255" s="44"/>
    </row>
    <row r="256" spans="2:10" ht="13.8" x14ac:dyDescent="0.3">
      <c r="B256" s="36"/>
      <c r="C256" s="36"/>
      <c r="D256" s="36"/>
      <c r="E256" s="36"/>
      <c r="F256" s="36"/>
      <c r="G256" s="36"/>
      <c r="H256" s="36"/>
      <c r="I256" s="36"/>
      <c r="J256" s="44"/>
    </row>
    <row r="257" spans="2:10" ht="13.8" x14ac:dyDescent="0.3">
      <c r="B257" s="36"/>
      <c r="C257" s="36"/>
      <c r="D257" s="36"/>
      <c r="E257" s="36"/>
      <c r="F257" s="36"/>
      <c r="G257" s="36"/>
      <c r="H257" s="36"/>
      <c r="I257" s="36"/>
      <c r="J257" s="44"/>
    </row>
    <row r="258" spans="2:10" ht="13.8" x14ac:dyDescent="0.3">
      <c r="B258" s="36"/>
      <c r="C258" s="36"/>
      <c r="D258" s="36"/>
      <c r="E258" s="36"/>
      <c r="F258" s="36"/>
      <c r="G258" s="36"/>
      <c r="H258" s="36"/>
      <c r="I258" s="36"/>
      <c r="J258" s="44"/>
    </row>
    <row r="259" spans="2:10" ht="13.8" x14ac:dyDescent="0.3">
      <c r="B259" s="36"/>
      <c r="C259" s="36"/>
      <c r="D259" s="36"/>
      <c r="E259" s="36"/>
      <c r="F259" s="36"/>
      <c r="G259" s="36"/>
      <c r="H259" s="36"/>
      <c r="I259" s="36"/>
      <c r="J259" s="44"/>
    </row>
    <row r="260" spans="2:10" ht="13.8" x14ac:dyDescent="0.3">
      <c r="B260" s="36"/>
      <c r="C260" s="36"/>
      <c r="D260" s="36"/>
      <c r="E260" s="36"/>
      <c r="F260" s="36"/>
      <c r="G260" s="36"/>
      <c r="H260" s="36"/>
      <c r="I260" s="36"/>
      <c r="J260" s="44"/>
    </row>
    <row r="261" spans="2:10" ht="13.8" x14ac:dyDescent="0.3">
      <c r="B261" s="36"/>
      <c r="C261" s="36"/>
      <c r="D261" s="36"/>
      <c r="E261" s="36"/>
      <c r="F261" s="36"/>
      <c r="G261" s="36"/>
      <c r="H261" s="36"/>
      <c r="I261" s="36"/>
      <c r="J261" s="44"/>
    </row>
    <row r="262" spans="2:10" ht="13.8" x14ac:dyDescent="0.3">
      <c r="B262" s="36"/>
      <c r="C262" s="36"/>
      <c r="D262" s="36"/>
      <c r="E262" s="36"/>
      <c r="F262" s="36"/>
      <c r="G262" s="36"/>
      <c r="H262" s="36"/>
      <c r="I262" s="36"/>
      <c r="J262" s="44"/>
    </row>
    <row r="263" spans="2:10" ht="13.8" x14ac:dyDescent="0.3">
      <c r="B263" s="36"/>
      <c r="C263" s="36"/>
      <c r="D263" s="36"/>
      <c r="E263" s="36"/>
      <c r="F263" s="36"/>
      <c r="G263" s="36"/>
      <c r="H263" s="36"/>
      <c r="I263" s="36"/>
      <c r="J263" s="44"/>
    </row>
    <row r="264" spans="2:10" ht="13.8" x14ac:dyDescent="0.3">
      <c r="B264" s="36"/>
      <c r="C264" s="36"/>
      <c r="D264" s="36"/>
      <c r="E264" s="36"/>
      <c r="F264" s="36"/>
      <c r="G264" s="36"/>
      <c r="H264" s="36"/>
      <c r="I264" s="36"/>
      <c r="J264" s="44"/>
    </row>
    <row r="265" spans="2:10" ht="13.8" x14ac:dyDescent="0.3">
      <c r="B265" s="36"/>
      <c r="C265" s="36"/>
      <c r="D265" s="36"/>
      <c r="E265" s="36"/>
      <c r="F265" s="36"/>
      <c r="G265" s="36"/>
      <c r="H265" s="36"/>
      <c r="I265" s="36"/>
      <c r="J265" s="44"/>
    </row>
    <row r="266" spans="2:10" ht="13.8" x14ac:dyDescent="0.3">
      <c r="B266" s="36"/>
      <c r="C266" s="36"/>
      <c r="D266" s="36"/>
      <c r="E266" s="36"/>
      <c r="F266" s="36"/>
      <c r="G266" s="36"/>
      <c r="H266" s="36"/>
      <c r="I266" s="36"/>
      <c r="J266" s="44"/>
    </row>
    <row r="267" spans="2:10" ht="13.8" x14ac:dyDescent="0.3">
      <c r="B267" s="36"/>
      <c r="C267" s="36"/>
      <c r="D267" s="36"/>
      <c r="E267" s="36"/>
      <c r="F267" s="36"/>
      <c r="G267" s="36"/>
      <c r="H267" s="36"/>
      <c r="I267" s="36"/>
      <c r="J267" s="44"/>
    </row>
    <row r="268" spans="2:10" ht="13.8" x14ac:dyDescent="0.3">
      <c r="B268" s="36"/>
      <c r="C268" s="36"/>
      <c r="D268" s="36"/>
      <c r="E268" s="36"/>
      <c r="F268" s="36"/>
      <c r="G268" s="36"/>
      <c r="H268" s="36"/>
      <c r="I268" s="36"/>
      <c r="J268" s="44"/>
    </row>
    <row r="269" spans="2:10" ht="13.8" x14ac:dyDescent="0.3">
      <c r="B269" s="36"/>
      <c r="C269" s="36"/>
      <c r="D269" s="36"/>
      <c r="E269" s="36"/>
      <c r="F269" s="36"/>
      <c r="G269" s="36"/>
      <c r="H269" s="36"/>
      <c r="I269" s="36"/>
      <c r="J269" s="44"/>
    </row>
    <row r="270" spans="2:10" ht="13.8" x14ac:dyDescent="0.3">
      <c r="B270" s="36"/>
      <c r="C270" s="36"/>
      <c r="D270" s="36"/>
      <c r="E270" s="36"/>
      <c r="F270" s="36"/>
      <c r="G270" s="36"/>
      <c r="H270" s="36"/>
      <c r="I270" s="36"/>
      <c r="J270" s="44"/>
    </row>
    <row r="271" spans="2:10" ht="13.8" x14ac:dyDescent="0.3">
      <c r="B271" s="36"/>
      <c r="C271" s="36"/>
      <c r="D271" s="36"/>
      <c r="E271" s="36"/>
      <c r="F271" s="36"/>
      <c r="G271" s="36"/>
      <c r="H271" s="36"/>
      <c r="I271" s="36"/>
      <c r="J271" s="44"/>
    </row>
    <row r="272" spans="2:10" ht="13.8" x14ac:dyDescent="0.3">
      <c r="B272" s="36"/>
      <c r="C272" s="36"/>
      <c r="D272" s="36"/>
      <c r="E272" s="36"/>
      <c r="F272" s="36"/>
      <c r="G272" s="36"/>
      <c r="H272" s="36"/>
      <c r="I272" s="36"/>
      <c r="J272" s="44"/>
    </row>
    <row r="273" spans="2:10" ht="13.8" x14ac:dyDescent="0.3">
      <c r="B273" s="36"/>
      <c r="C273" s="36"/>
      <c r="D273" s="36"/>
      <c r="E273" s="36"/>
      <c r="F273" s="36"/>
      <c r="G273" s="36"/>
      <c r="H273" s="36"/>
      <c r="I273" s="36"/>
      <c r="J273" s="44"/>
    </row>
    <row r="274" spans="2:10" ht="13.8" x14ac:dyDescent="0.3">
      <c r="B274" s="36"/>
      <c r="C274" s="36"/>
      <c r="D274" s="36"/>
      <c r="E274" s="36"/>
      <c r="F274" s="36"/>
      <c r="G274" s="36"/>
      <c r="H274" s="36"/>
      <c r="I274" s="36"/>
      <c r="J274" s="44"/>
    </row>
    <row r="275" spans="2:10" ht="13.8" x14ac:dyDescent="0.3">
      <c r="B275" s="36"/>
      <c r="C275" s="36"/>
      <c r="D275" s="36"/>
      <c r="E275" s="36"/>
      <c r="F275" s="36"/>
      <c r="G275" s="36"/>
      <c r="H275" s="36"/>
      <c r="I275" s="36"/>
      <c r="J275" s="44"/>
    </row>
    <row r="276" spans="2:10" ht="13.8" x14ac:dyDescent="0.3">
      <c r="B276" s="36"/>
      <c r="C276" s="36"/>
      <c r="D276" s="36"/>
      <c r="E276" s="36"/>
      <c r="F276" s="36"/>
      <c r="G276" s="36"/>
      <c r="H276" s="36"/>
      <c r="I276" s="36"/>
      <c r="J276" s="44"/>
    </row>
    <row r="277" spans="2:10" ht="13.8" x14ac:dyDescent="0.3">
      <c r="B277" s="36"/>
      <c r="C277" s="36"/>
      <c r="D277" s="36"/>
      <c r="E277" s="36"/>
      <c r="F277" s="36"/>
      <c r="G277" s="36"/>
      <c r="H277" s="36"/>
      <c r="I277" s="36"/>
      <c r="J277" s="44"/>
    </row>
    <row r="278" spans="2:10" ht="13.8" x14ac:dyDescent="0.3">
      <c r="B278" s="36"/>
      <c r="C278" s="36"/>
      <c r="D278" s="36"/>
      <c r="E278" s="36"/>
      <c r="F278" s="36"/>
      <c r="G278" s="36"/>
      <c r="H278" s="36"/>
      <c r="I278" s="36"/>
      <c r="J278" s="44"/>
    </row>
    <row r="279" spans="2:10" ht="13.8" x14ac:dyDescent="0.3">
      <c r="B279" s="36"/>
      <c r="C279" s="36"/>
      <c r="D279" s="36"/>
      <c r="E279" s="36"/>
      <c r="F279" s="36"/>
      <c r="G279" s="36"/>
      <c r="H279" s="36"/>
      <c r="I279" s="36"/>
      <c r="J279" s="44"/>
    </row>
    <row r="280" spans="2:10" ht="13.8" x14ac:dyDescent="0.3">
      <c r="B280" s="36"/>
      <c r="C280" s="36"/>
      <c r="D280" s="36"/>
      <c r="E280" s="36"/>
      <c r="F280" s="36"/>
      <c r="G280" s="36"/>
      <c r="H280" s="36"/>
      <c r="I280" s="36"/>
      <c r="J280" s="44"/>
    </row>
    <row r="281" spans="2:10" ht="13.8" x14ac:dyDescent="0.3">
      <c r="B281" s="36"/>
      <c r="C281" s="36"/>
      <c r="D281" s="36"/>
      <c r="E281" s="36"/>
      <c r="F281" s="36"/>
      <c r="G281" s="36"/>
      <c r="H281" s="36"/>
      <c r="I281" s="36"/>
      <c r="J281" s="44"/>
    </row>
    <row r="282" spans="2:10" ht="13.8" x14ac:dyDescent="0.3">
      <c r="B282" s="36"/>
      <c r="C282" s="36"/>
      <c r="D282" s="36"/>
      <c r="E282" s="36"/>
      <c r="F282" s="36"/>
      <c r="G282" s="36"/>
      <c r="H282" s="36"/>
      <c r="I282" s="36"/>
      <c r="J282" s="44"/>
    </row>
    <row r="283" spans="2:10" ht="13.8" x14ac:dyDescent="0.3">
      <c r="B283" s="36"/>
      <c r="C283" s="36"/>
      <c r="D283" s="36"/>
      <c r="E283" s="36"/>
      <c r="F283" s="36"/>
      <c r="G283" s="36"/>
      <c r="H283" s="36"/>
      <c r="I283" s="36"/>
      <c r="J283" s="44"/>
    </row>
    <row r="284" spans="2:10" ht="13.8" x14ac:dyDescent="0.3">
      <c r="B284" s="36"/>
      <c r="C284" s="36"/>
      <c r="D284" s="36"/>
      <c r="E284" s="36"/>
      <c r="F284" s="36"/>
      <c r="G284" s="36"/>
      <c r="H284" s="36"/>
      <c r="I284" s="36"/>
      <c r="J284" s="44"/>
    </row>
    <row r="285" spans="2:10" ht="13.8" x14ac:dyDescent="0.3">
      <c r="B285" s="36"/>
      <c r="C285" s="36"/>
      <c r="D285" s="36"/>
      <c r="E285" s="36"/>
      <c r="F285" s="36"/>
      <c r="G285" s="36"/>
      <c r="H285" s="36"/>
      <c r="I285" s="36"/>
      <c r="J285" s="44"/>
    </row>
    <row r="286" spans="2:10" ht="13.8" x14ac:dyDescent="0.3">
      <c r="B286" s="36"/>
      <c r="C286" s="36"/>
      <c r="D286" s="36"/>
      <c r="E286" s="36"/>
      <c r="F286" s="36"/>
      <c r="G286" s="36"/>
      <c r="H286" s="36"/>
      <c r="I286" s="36"/>
      <c r="J286" s="44"/>
    </row>
    <row r="287" spans="2:10" ht="13.8" x14ac:dyDescent="0.3">
      <c r="B287" s="36"/>
      <c r="C287" s="36"/>
      <c r="D287" s="36"/>
      <c r="E287" s="36"/>
      <c r="F287" s="36"/>
      <c r="G287" s="36"/>
      <c r="H287" s="36"/>
      <c r="I287" s="36"/>
      <c r="J287" s="44"/>
    </row>
    <row r="288" spans="2:10" ht="13.8" x14ac:dyDescent="0.3">
      <c r="B288" s="36"/>
      <c r="C288" s="36"/>
      <c r="D288" s="36"/>
      <c r="E288" s="36"/>
      <c r="F288" s="36"/>
      <c r="G288" s="36"/>
      <c r="H288" s="36"/>
      <c r="I288" s="36"/>
      <c r="J288" s="44"/>
    </row>
    <row r="289" spans="2:10" ht="13.8" x14ac:dyDescent="0.3">
      <c r="B289" s="36"/>
      <c r="C289" s="36"/>
      <c r="D289" s="36"/>
      <c r="E289" s="36"/>
      <c r="F289" s="36"/>
      <c r="G289" s="36"/>
      <c r="H289" s="36"/>
      <c r="I289" s="36"/>
      <c r="J289" s="44"/>
    </row>
    <row r="290" spans="2:10" ht="13.8" x14ac:dyDescent="0.3">
      <c r="B290" s="36"/>
      <c r="C290" s="36"/>
      <c r="D290" s="36"/>
      <c r="E290" s="36"/>
      <c r="F290" s="36"/>
      <c r="G290" s="36"/>
      <c r="H290" s="36"/>
      <c r="I290" s="36"/>
      <c r="J290" s="44"/>
    </row>
    <row r="291" spans="2:10" ht="13.8" x14ac:dyDescent="0.3">
      <c r="B291" s="36"/>
      <c r="C291" s="36"/>
      <c r="D291" s="36"/>
      <c r="E291" s="36"/>
      <c r="F291" s="36"/>
      <c r="G291" s="36"/>
      <c r="H291" s="36"/>
      <c r="I291" s="36"/>
      <c r="J291" s="44"/>
    </row>
    <row r="292" spans="2:10" ht="13.8" x14ac:dyDescent="0.3">
      <c r="B292" s="36"/>
      <c r="C292" s="36"/>
      <c r="D292" s="36"/>
      <c r="E292" s="36"/>
      <c r="F292" s="36"/>
      <c r="G292" s="36"/>
      <c r="H292" s="36"/>
      <c r="I292" s="36"/>
      <c r="J292" s="44"/>
    </row>
    <row r="293" spans="2:10" ht="13.8" x14ac:dyDescent="0.3">
      <c r="B293" s="36"/>
      <c r="C293" s="36"/>
      <c r="D293" s="36"/>
      <c r="E293" s="36"/>
      <c r="F293" s="36"/>
      <c r="G293" s="36"/>
      <c r="H293" s="36"/>
      <c r="I293" s="36"/>
      <c r="J293" s="44"/>
    </row>
    <row r="294" spans="2:10" ht="13.8" x14ac:dyDescent="0.3">
      <c r="B294" s="36"/>
      <c r="C294" s="36"/>
      <c r="D294" s="36"/>
      <c r="E294" s="36"/>
      <c r="F294" s="36"/>
      <c r="G294" s="36"/>
      <c r="H294" s="36"/>
      <c r="I294" s="36"/>
      <c r="J294" s="44"/>
    </row>
    <row r="295" spans="2:10" ht="13.8" x14ac:dyDescent="0.3">
      <c r="B295" s="36"/>
      <c r="C295" s="36"/>
      <c r="D295" s="36"/>
      <c r="E295" s="36"/>
      <c r="F295" s="36"/>
      <c r="G295" s="36"/>
      <c r="H295" s="36"/>
      <c r="I295" s="36"/>
      <c r="J295" s="44"/>
    </row>
    <row r="296" spans="2:10" ht="13.8" x14ac:dyDescent="0.3">
      <c r="B296" s="36"/>
      <c r="C296" s="36"/>
      <c r="D296" s="36"/>
      <c r="E296" s="36"/>
      <c r="F296" s="36"/>
      <c r="G296" s="36"/>
      <c r="H296" s="36"/>
      <c r="I296" s="36"/>
      <c r="J296" s="44"/>
    </row>
    <row r="297" spans="2:10" ht="13.8" x14ac:dyDescent="0.3">
      <c r="B297" s="36"/>
      <c r="C297" s="36"/>
      <c r="D297" s="36"/>
      <c r="E297" s="36"/>
      <c r="F297" s="36"/>
      <c r="G297" s="36"/>
      <c r="H297" s="36"/>
      <c r="I297" s="36"/>
      <c r="J297" s="44"/>
    </row>
    <row r="298" spans="2:10" ht="13.8" x14ac:dyDescent="0.3">
      <c r="B298" s="36"/>
      <c r="C298" s="36"/>
      <c r="D298" s="36"/>
      <c r="E298" s="36"/>
      <c r="F298" s="36"/>
      <c r="G298" s="36"/>
      <c r="H298" s="36"/>
      <c r="I298" s="36"/>
      <c r="J298" s="44"/>
    </row>
    <row r="299" spans="2:10" ht="13.8" x14ac:dyDescent="0.3">
      <c r="B299" s="36"/>
      <c r="C299" s="36"/>
      <c r="D299" s="36"/>
      <c r="E299" s="36"/>
      <c r="F299" s="36"/>
      <c r="G299" s="36"/>
      <c r="H299" s="36"/>
      <c r="I299" s="36"/>
      <c r="J299" s="44"/>
    </row>
    <row r="300" spans="2:10" ht="13.8" x14ac:dyDescent="0.3">
      <c r="B300" s="36"/>
      <c r="C300" s="36"/>
      <c r="D300" s="36"/>
      <c r="E300" s="36"/>
      <c r="F300" s="36"/>
      <c r="G300" s="36"/>
      <c r="H300" s="36"/>
      <c r="I300" s="36"/>
      <c r="J300" s="44"/>
    </row>
    <row r="301" spans="2:10" ht="13.8" x14ac:dyDescent="0.3">
      <c r="B301" s="36"/>
      <c r="C301" s="36"/>
      <c r="D301" s="36"/>
      <c r="E301" s="36"/>
      <c r="F301" s="36"/>
      <c r="G301" s="36"/>
      <c r="H301" s="36"/>
      <c r="I301" s="36"/>
      <c r="J301" s="44"/>
    </row>
    <row r="302" spans="2:10" ht="13.8" x14ac:dyDescent="0.3">
      <c r="B302" s="36"/>
      <c r="C302" s="36"/>
      <c r="D302" s="36"/>
      <c r="E302" s="36"/>
      <c r="F302" s="36"/>
      <c r="G302" s="36"/>
      <c r="H302" s="36"/>
      <c r="I302" s="36"/>
      <c r="J302" s="44"/>
    </row>
    <row r="303" spans="2:10" ht="13.8" x14ac:dyDescent="0.3">
      <c r="B303" s="36"/>
      <c r="C303" s="36"/>
      <c r="D303" s="36"/>
      <c r="E303" s="36"/>
      <c r="F303" s="36"/>
      <c r="G303" s="36"/>
      <c r="H303" s="36"/>
      <c r="I303" s="36"/>
      <c r="J303" s="44"/>
    </row>
    <row r="304" spans="2:10" ht="13.8" x14ac:dyDescent="0.3">
      <c r="B304" s="36"/>
      <c r="C304" s="36"/>
      <c r="D304" s="36"/>
      <c r="E304" s="36"/>
      <c r="F304" s="36"/>
      <c r="G304" s="36"/>
      <c r="H304" s="36"/>
      <c r="I304" s="36"/>
      <c r="J304" s="44"/>
    </row>
    <row r="305" spans="2:10" ht="13.8" x14ac:dyDescent="0.3">
      <c r="B305" s="36"/>
      <c r="C305" s="36"/>
      <c r="D305" s="36"/>
      <c r="E305" s="36"/>
      <c r="F305" s="36"/>
      <c r="G305" s="36"/>
      <c r="H305" s="36"/>
      <c r="I305" s="36"/>
      <c r="J305" s="44"/>
    </row>
    <row r="306" spans="2:10" ht="13.8" x14ac:dyDescent="0.3">
      <c r="B306" s="36"/>
      <c r="C306" s="36"/>
      <c r="D306" s="36"/>
      <c r="E306" s="36"/>
      <c r="F306" s="36"/>
      <c r="G306" s="36"/>
      <c r="H306" s="36"/>
      <c r="I306" s="36"/>
      <c r="J306" s="44"/>
    </row>
    <row r="307" spans="2:10" ht="13.8" x14ac:dyDescent="0.3">
      <c r="B307" s="36"/>
      <c r="C307" s="36"/>
      <c r="D307" s="36"/>
      <c r="E307" s="36"/>
      <c r="F307" s="36"/>
      <c r="G307" s="36"/>
      <c r="H307" s="36"/>
      <c r="I307" s="36"/>
      <c r="J307" s="44"/>
    </row>
    <row r="308" spans="2:10" ht="13.8" x14ac:dyDescent="0.3">
      <c r="B308" s="36"/>
      <c r="C308" s="36"/>
      <c r="D308" s="36"/>
      <c r="E308" s="36"/>
      <c r="F308" s="36"/>
      <c r="G308" s="36"/>
      <c r="H308" s="36"/>
      <c r="I308" s="36"/>
      <c r="J308" s="44"/>
    </row>
    <row r="309" spans="2:10" ht="13.8" x14ac:dyDescent="0.3">
      <c r="B309" s="36"/>
      <c r="C309" s="36"/>
      <c r="D309" s="36"/>
      <c r="E309" s="36"/>
      <c r="F309" s="36"/>
      <c r="G309" s="36"/>
      <c r="H309" s="36"/>
      <c r="I309" s="36"/>
      <c r="J309" s="44"/>
    </row>
    <row r="310" spans="2:10" ht="13.8" x14ac:dyDescent="0.3">
      <c r="B310" s="36"/>
      <c r="C310" s="36"/>
      <c r="D310" s="36"/>
      <c r="E310" s="36"/>
      <c r="F310" s="36"/>
      <c r="G310" s="36"/>
      <c r="H310" s="36"/>
      <c r="I310" s="36"/>
      <c r="J310" s="44"/>
    </row>
    <row r="311" spans="2:10" ht="13.8" x14ac:dyDescent="0.3">
      <c r="B311" s="36"/>
      <c r="C311" s="36"/>
      <c r="D311" s="36"/>
      <c r="E311" s="36"/>
      <c r="F311" s="36"/>
      <c r="G311" s="36"/>
      <c r="H311" s="36"/>
      <c r="I311" s="36"/>
      <c r="J311" s="44"/>
    </row>
    <row r="312" spans="2:10" ht="13.8" x14ac:dyDescent="0.3">
      <c r="B312" s="36"/>
      <c r="C312" s="36"/>
      <c r="D312" s="36"/>
      <c r="E312" s="36"/>
      <c r="F312" s="36"/>
      <c r="G312" s="36"/>
      <c r="H312" s="36"/>
      <c r="I312" s="36"/>
      <c r="J312" s="44"/>
    </row>
    <row r="313" spans="2:10" ht="13.8" x14ac:dyDescent="0.3">
      <c r="B313" s="36"/>
      <c r="C313" s="36"/>
      <c r="D313" s="36"/>
      <c r="E313" s="36"/>
      <c r="F313" s="36"/>
      <c r="G313" s="36"/>
      <c r="H313" s="36"/>
      <c r="I313" s="36"/>
      <c r="J313" s="44"/>
    </row>
    <row r="314" spans="2:10" ht="13.8" x14ac:dyDescent="0.3">
      <c r="B314" s="36"/>
      <c r="C314" s="36"/>
      <c r="D314" s="36"/>
      <c r="E314" s="36"/>
      <c r="F314" s="36"/>
      <c r="G314" s="36"/>
      <c r="H314" s="36"/>
      <c r="I314" s="36"/>
      <c r="J314" s="44"/>
    </row>
    <row r="315" spans="2:10" ht="13.8" x14ac:dyDescent="0.3">
      <c r="B315" s="36"/>
      <c r="C315" s="36"/>
      <c r="D315" s="36"/>
      <c r="E315" s="36"/>
      <c r="F315" s="36"/>
      <c r="G315" s="36"/>
      <c r="H315" s="36"/>
      <c r="I315" s="36"/>
      <c r="J315" s="44"/>
    </row>
    <row r="316" spans="2:10" ht="13.8" x14ac:dyDescent="0.3">
      <c r="B316" s="36"/>
      <c r="C316" s="36"/>
      <c r="D316" s="36"/>
      <c r="E316" s="36"/>
      <c r="F316" s="36"/>
      <c r="G316" s="36"/>
      <c r="H316" s="36"/>
      <c r="I316" s="36"/>
      <c r="J316" s="44"/>
    </row>
    <row r="317" spans="2:10" ht="13.8" x14ac:dyDescent="0.3">
      <c r="B317" s="36"/>
      <c r="C317" s="36"/>
      <c r="D317" s="36"/>
      <c r="E317" s="36"/>
      <c r="F317" s="36"/>
      <c r="G317" s="36"/>
      <c r="H317" s="36"/>
      <c r="I317" s="36"/>
      <c r="J317" s="44"/>
    </row>
    <row r="318" spans="2:10" ht="13.8" x14ac:dyDescent="0.3">
      <c r="B318" s="36"/>
      <c r="C318" s="36"/>
      <c r="D318" s="36"/>
      <c r="E318" s="36"/>
      <c r="F318" s="36"/>
      <c r="G318" s="36"/>
      <c r="H318" s="36"/>
      <c r="I318" s="36"/>
      <c r="J318" s="44"/>
    </row>
    <row r="319" spans="2:10" ht="13.8" x14ac:dyDescent="0.3">
      <c r="B319" s="36"/>
      <c r="C319" s="36"/>
      <c r="D319" s="36"/>
      <c r="E319" s="36"/>
      <c r="F319" s="36"/>
      <c r="G319" s="36"/>
      <c r="H319" s="36"/>
      <c r="I319" s="36"/>
      <c r="J319" s="44"/>
    </row>
    <row r="320" spans="2:10" ht="13.8" x14ac:dyDescent="0.3">
      <c r="B320" s="36"/>
      <c r="C320" s="36"/>
      <c r="D320" s="36"/>
      <c r="E320" s="36"/>
      <c r="F320" s="36"/>
      <c r="G320" s="36"/>
      <c r="H320" s="36"/>
      <c r="I320" s="36"/>
      <c r="J320" s="44"/>
    </row>
    <row r="321" spans="2:10" ht="13.8" x14ac:dyDescent="0.3">
      <c r="B321" s="36"/>
      <c r="C321" s="36"/>
      <c r="D321" s="36"/>
      <c r="E321" s="36"/>
      <c r="F321" s="36"/>
      <c r="G321" s="36"/>
      <c r="H321" s="36"/>
      <c r="I321" s="36"/>
      <c r="J321" s="44"/>
    </row>
    <row r="322" spans="2:10" ht="13.8" x14ac:dyDescent="0.3">
      <c r="B322" s="36"/>
      <c r="C322" s="36"/>
      <c r="D322" s="36"/>
      <c r="E322" s="36"/>
      <c r="F322" s="36"/>
      <c r="G322" s="36"/>
      <c r="H322" s="36"/>
      <c r="I322" s="36"/>
      <c r="J322" s="44"/>
    </row>
    <row r="323" spans="2:10" ht="13.8" x14ac:dyDescent="0.3">
      <c r="B323" s="36"/>
      <c r="C323" s="36"/>
      <c r="D323" s="36"/>
      <c r="E323" s="36"/>
      <c r="F323" s="36"/>
      <c r="G323" s="36"/>
      <c r="H323" s="36"/>
      <c r="I323" s="36"/>
      <c r="J323" s="44"/>
    </row>
    <row r="324" spans="2:10" ht="13.8" x14ac:dyDescent="0.3">
      <c r="B324" s="36"/>
      <c r="C324" s="36"/>
      <c r="D324" s="36"/>
      <c r="E324" s="36"/>
      <c r="F324" s="36"/>
      <c r="G324" s="36"/>
      <c r="H324" s="36"/>
      <c r="I324" s="36"/>
      <c r="J324" s="44"/>
    </row>
    <row r="325" spans="2:10" ht="13.8" x14ac:dyDescent="0.3">
      <c r="B325" s="36"/>
      <c r="C325" s="36"/>
      <c r="D325" s="36"/>
      <c r="E325" s="36"/>
      <c r="F325" s="36"/>
      <c r="G325" s="36"/>
      <c r="H325" s="36"/>
      <c r="I325" s="36"/>
      <c r="J325" s="44"/>
    </row>
    <row r="326" spans="2:10" ht="13.8" x14ac:dyDescent="0.3">
      <c r="B326" s="36"/>
      <c r="C326" s="36"/>
      <c r="D326" s="36"/>
      <c r="E326" s="36"/>
      <c r="F326" s="36"/>
      <c r="G326" s="36"/>
      <c r="H326" s="36"/>
      <c r="I326" s="36"/>
      <c r="J326" s="44"/>
    </row>
    <row r="327" spans="2:10" ht="13.8" x14ac:dyDescent="0.3">
      <c r="B327" s="36"/>
      <c r="C327" s="36"/>
      <c r="D327" s="36"/>
      <c r="E327" s="36"/>
      <c r="F327" s="36"/>
      <c r="G327" s="36"/>
      <c r="H327" s="36"/>
      <c r="I327" s="36"/>
      <c r="J327" s="44"/>
    </row>
    <row r="328" spans="2:10" ht="13.8" x14ac:dyDescent="0.3">
      <c r="B328" s="36"/>
      <c r="C328" s="36"/>
      <c r="D328" s="36"/>
      <c r="E328" s="36"/>
      <c r="F328" s="36"/>
      <c r="G328" s="36"/>
      <c r="H328" s="36"/>
      <c r="I328" s="36"/>
      <c r="J328" s="44"/>
    </row>
    <row r="329" spans="2:10" ht="13.8" x14ac:dyDescent="0.3">
      <c r="B329" s="36"/>
      <c r="C329" s="36"/>
      <c r="D329" s="36"/>
      <c r="E329" s="36"/>
      <c r="F329" s="36"/>
      <c r="G329" s="36"/>
      <c r="H329" s="36"/>
      <c r="I329" s="36"/>
      <c r="J329" s="44"/>
    </row>
    <row r="330" spans="2:10" ht="13.8" x14ac:dyDescent="0.3">
      <c r="B330" s="36"/>
      <c r="C330" s="36"/>
      <c r="D330" s="36"/>
      <c r="E330" s="36"/>
      <c r="F330" s="36"/>
      <c r="G330" s="36"/>
      <c r="H330" s="36"/>
      <c r="I330" s="36"/>
      <c r="J330" s="44"/>
    </row>
    <row r="331" spans="2:10" ht="13.8" x14ac:dyDescent="0.3">
      <c r="B331" s="36"/>
      <c r="C331" s="36"/>
      <c r="D331" s="36"/>
      <c r="E331" s="36"/>
      <c r="F331" s="36"/>
      <c r="G331" s="36"/>
      <c r="H331" s="36"/>
      <c r="I331" s="36"/>
      <c r="J331" s="44"/>
    </row>
    <row r="332" spans="2:10" ht="13.8" x14ac:dyDescent="0.3">
      <c r="B332" s="36"/>
      <c r="C332" s="36"/>
      <c r="D332" s="36"/>
      <c r="E332" s="36"/>
      <c r="F332" s="36"/>
      <c r="G332" s="36"/>
      <c r="H332" s="36"/>
      <c r="I332" s="36"/>
      <c r="J332" s="44"/>
    </row>
    <row r="333" spans="2:10" ht="13.8" x14ac:dyDescent="0.3">
      <c r="B333" s="36"/>
      <c r="C333" s="36"/>
      <c r="D333" s="36"/>
      <c r="E333" s="36"/>
      <c r="F333" s="36"/>
      <c r="G333" s="36"/>
      <c r="H333" s="36"/>
      <c r="I333" s="36"/>
      <c r="J333" s="44"/>
    </row>
    <row r="334" spans="2:10" ht="13.8" x14ac:dyDescent="0.3">
      <c r="B334" s="36"/>
      <c r="C334" s="36"/>
      <c r="D334" s="36"/>
      <c r="E334" s="36"/>
      <c r="F334" s="36"/>
      <c r="G334" s="36"/>
      <c r="H334" s="36"/>
      <c r="I334" s="36"/>
      <c r="J334" s="44"/>
    </row>
    <row r="335" spans="2:10" ht="13.8" x14ac:dyDescent="0.3">
      <c r="B335" s="36"/>
      <c r="C335" s="36"/>
      <c r="D335" s="36"/>
      <c r="E335" s="36"/>
      <c r="F335" s="36"/>
      <c r="G335" s="36"/>
      <c r="H335" s="36"/>
      <c r="I335" s="36"/>
      <c r="J335" s="44"/>
    </row>
    <row r="336" spans="2:10" ht="13.8" x14ac:dyDescent="0.3">
      <c r="B336" s="36"/>
      <c r="C336" s="36"/>
      <c r="D336" s="36"/>
      <c r="E336" s="36"/>
      <c r="F336" s="36"/>
      <c r="G336" s="36"/>
      <c r="H336" s="36"/>
      <c r="I336" s="36"/>
      <c r="J336" s="44"/>
    </row>
    <row r="337" spans="2:10" ht="13.8" x14ac:dyDescent="0.3">
      <c r="B337" s="36"/>
      <c r="C337" s="36"/>
      <c r="D337" s="36"/>
      <c r="E337" s="36"/>
      <c r="F337" s="36"/>
      <c r="G337" s="36"/>
      <c r="H337" s="36"/>
      <c r="I337" s="36"/>
      <c r="J337" s="44"/>
    </row>
    <row r="338" spans="2:10" ht="13.8" x14ac:dyDescent="0.3">
      <c r="B338" s="36"/>
      <c r="C338" s="36"/>
      <c r="D338" s="36"/>
      <c r="E338" s="36"/>
      <c r="F338" s="36"/>
      <c r="G338" s="36"/>
      <c r="H338" s="36"/>
      <c r="I338" s="36"/>
      <c r="J338" s="44"/>
    </row>
    <row r="339" spans="2:10" ht="13.8" x14ac:dyDescent="0.3">
      <c r="B339" s="36"/>
      <c r="C339" s="36"/>
      <c r="D339" s="36"/>
      <c r="E339" s="36"/>
      <c r="F339" s="36"/>
      <c r="G339" s="36"/>
      <c r="H339" s="36"/>
      <c r="I339" s="36"/>
      <c r="J339" s="44"/>
    </row>
    <row r="340" spans="2:10" ht="13.8" x14ac:dyDescent="0.3">
      <c r="B340" s="36"/>
      <c r="C340" s="36"/>
      <c r="D340" s="36"/>
      <c r="E340" s="36"/>
      <c r="F340" s="36"/>
      <c r="G340" s="36"/>
      <c r="H340" s="36"/>
      <c r="I340" s="36"/>
      <c r="J340" s="44"/>
    </row>
    <row r="341" spans="2:10" ht="13.8" x14ac:dyDescent="0.3">
      <c r="B341" s="36"/>
      <c r="C341" s="36"/>
      <c r="D341" s="36"/>
      <c r="E341" s="36"/>
      <c r="F341" s="36"/>
      <c r="G341" s="36"/>
      <c r="H341" s="36"/>
      <c r="I341" s="36"/>
      <c r="J341" s="44"/>
    </row>
    <row r="342" spans="2:10" ht="13.8" x14ac:dyDescent="0.3">
      <c r="B342" s="36"/>
      <c r="C342" s="36"/>
      <c r="D342" s="36"/>
      <c r="E342" s="36"/>
      <c r="F342" s="36"/>
      <c r="G342" s="36"/>
      <c r="H342" s="36"/>
      <c r="I342" s="36"/>
      <c r="J342" s="44"/>
    </row>
    <row r="343" spans="2:10" ht="13.8" x14ac:dyDescent="0.3">
      <c r="B343" s="36"/>
      <c r="C343" s="36"/>
      <c r="D343" s="36"/>
      <c r="E343" s="36"/>
      <c r="F343" s="36"/>
      <c r="G343" s="36"/>
      <c r="H343" s="36"/>
      <c r="I343" s="36"/>
      <c r="J343" s="44"/>
    </row>
    <row r="344" spans="2:10" ht="13.8" x14ac:dyDescent="0.3">
      <c r="B344" s="36"/>
      <c r="C344" s="36"/>
      <c r="D344" s="36"/>
      <c r="E344" s="36"/>
      <c r="F344" s="36"/>
      <c r="G344" s="36"/>
      <c r="H344" s="36"/>
      <c r="I344" s="36"/>
      <c r="J344" s="44"/>
    </row>
    <row r="345" spans="2:10" ht="13.8" x14ac:dyDescent="0.3">
      <c r="B345" s="36"/>
      <c r="C345" s="36"/>
      <c r="D345" s="36"/>
      <c r="E345" s="36"/>
      <c r="F345" s="36"/>
      <c r="G345" s="36"/>
      <c r="H345" s="36"/>
      <c r="I345" s="36"/>
      <c r="J345" s="44"/>
    </row>
    <row r="346" spans="2:10" ht="13.8" x14ac:dyDescent="0.3">
      <c r="B346" s="36"/>
      <c r="C346" s="36"/>
      <c r="D346" s="36"/>
      <c r="E346" s="36"/>
      <c r="F346" s="36"/>
      <c r="G346" s="36"/>
      <c r="H346" s="36"/>
      <c r="I346" s="36"/>
      <c r="J346" s="44"/>
    </row>
    <row r="347" spans="2:10" ht="13.8" x14ac:dyDescent="0.3">
      <c r="B347" s="36"/>
      <c r="C347" s="36"/>
      <c r="D347" s="36"/>
      <c r="E347" s="36"/>
      <c r="F347" s="36"/>
      <c r="G347" s="36"/>
      <c r="H347" s="36"/>
      <c r="I347" s="36"/>
      <c r="J347" s="44"/>
    </row>
    <row r="348" spans="2:10" ht="13.8" x14ac:dyDescent="0.3">
      <c r="B348" s="36"/>
      <c r="C348" s="36"/>
      <c r="D348" s="36"/>
      <c r="E348" s="36"/>
      <c r="F348" s="36"/>
      <c r="G348" s="36"/>
      <c r="H348" s="36"/>
      <c r="I348" s="36"/>
      <c r="J348" s="44"/>
    </row>
    <row r="349" spans="2:10" ht="13.8" x14ac:dyDescent="0.3">
      <c r="B349" s="36"/>
      <c r="C349" s="36"/>
      <c r="D349" s="36"/>
      <c r="E349" s="36"/>
      <c r="F349" s="36"/>
      <c r="G349" s="36"/>
      <c r="H349" s="36"/>
      <c r="I349" s="36"/>
      <c r="J349" s="44"/>
    </row>
    <row r="350" spans="2:10" ht="13.8" x14ac:dyDescent="0.3">
      <c r="B350" s="36"/>
      <c r="C350" s="36"/>
      <c r="D350" s="36"/>
      <c r="E350" s="36"/>
      <c r="F350" s="36"/>
      <c r="G350" s="36"/>
      <c r="H350" s="36"/>
      <c r="I350" s="36"/>
      <c r="J350" s="44"/>
    </row>
    <row r="351" spans="2:10" ht="13.8" x14ac:dyDescent="0.3">
      <c r="B351" s="36"/>
      <c r="C351" s="36"/>
      <c r="D351" s="36"/>
      <c r="E351" s="36"/>
      <c r="F351" s="36"/>
      <c r="G351" s="36"/>
      <c r="H351" s="36"/>
      <c r="I351" s="36"/>
      <c r="J351" s="44"/>
    </row>
    <row r="352" spans="2:10" ht="13.8" x14ac:dyDescent="0.3">
      <c r="B352" s="36"/>
      <c r="C352" s="36"/>
      <c r="D352" s="36"/>
      <c r="E352" s="36"/>
      <c r="F352" s="36"/>
      <c r="G352" s="36"/>
      <c r="H352" s="36"/>
      <c r="I352" s="36"/>
      <c r="J352" s="44"/>
    </row>
    <row r="353" spans="2:10" ht="13.8" x14ac:dyDescent="0.3">
      <c r="B353" s="36"/>
      <c r="C353" s="36"/>
      <c r="D353" s="36"/>
      <c r="E353" s="36"/>
      <c r="F353" s="36"/>
      <c r="G353" s="36"/>
      <c r="H353" s="36"/>
      <c r="I353" s="36"/>
      <c r="J353" s="44"/>
    </row>
    <row r="354" spans="2:10" ht="13.8" x14ac:dyDescent="0.3">
      <c r="B354" s="36"/>
      <c r="C354" s="36"/>
      <c r="D354" s="36"/>
      <c r="E354" s="36"/>
      <c r="F354" s="36"/>
      <c r="G354" s="36"/>
      <c r="H354" s="36"/>
      <c r="I354" s="36"/>
      <c r="J354" s="44"/>
    </row>
    <row r="355" spans="2:10" ht="13.8" x14ac:dyDescent="0.3">
      <c r="B355" s="36"/>
      <c r="C355" s="36"/>
      <c r="D355" s="36"/>
      <c r="E355" s="36"/>
      <c r="F355" s="36"/>
      <c r="G355" s="36"/>
      <c r="H355" s="36"/>
      <c r="I355" s="36"/>
      <c r="J355" s="44"/>
    </row>
    <row r="356" spans="2:10" ht="13.8" x14ac:dyDescent="0.3">
      <c r="B356" s="36"/>
      <c r="C356" s="36"/>
      <c r="D356" s="36"/>
      <c r="E356" s="36"/>
      <c r="F356" s="36"/>
      <c r="G356" s="36"/>
      <c r="H356" s="36"/>
      <c r="I356" s="36"/>
      <c r="J356" s="44"/>
    </row>
    <row r="357" spans="2:10" ht="13.8" x14ac:dyDescent="0.3">
      <c r="B357" s="36"/>
      <c r="C357" s="36"/>
      <c r="D357" s="36"/>
      <c r="E357" s="36"/>
      <c r="F357" s="36"/>
      <c r="G357" s="36"/>
      <c r="H357" s="36"/>
      <c r="I357" s="36"/>
      <c r="J357" s="44"/>
    </row>
    <row r="358" spans="2:10" ht="13.8" x14ac:dyDescent="0.3">
      <c r="B358" s="36"/>
      <c r="C358" s="36"/>
      <c r="D358" s="36"/>
      <c r="E358" s="36"/>
      <c r="F358" s="36"/>
      <c r="G358" s="36"/>
      <c r="H358" s="36"/>
      <c r="I358" s="36"/>
      <c r="J358" s="44"/>
    </row>
    <row r="359" spans="2:10" ht="13.8" x14ac:dyDescent="0.3">
      <c r="B359" s="36"/>
      <c r="C359" s="36"/>
      <c r="D359" s="36"/>
      <c r="E359" s="36"/>
      <c r="F359" s="36"/>
      <c r="G359" s="36"/>
      <c r="H359" s="36"/>
      <c r="I359" s="36"/>
      <c r="J359" s="44"/>
    </row>
    <row r="360" spans="2:10" ht="13.8" x14ac:dyDescent="0.3">
      <c r="B360" s="36"/>
      <c r="C360" s="36"/>
      <c r="D360" s="36"/>
      <c r="E360" s="36"/>
      <c r="F360" s="36"/>
      <c r="G360" s="36"/>
      <c r="H360" s="36"/>
      <c r="I360" s="36"/>
      <c r="J360" s="44"/>
    </row>
    <row r="361" spans="2:10" ht="13.8" x14ac:dyDescent="0.3">
      <c r="B361" s="36"/>
      <c r="C361" s="36"/>
      <c r="D361" s="36"/>
      <c r="E361" s="36"/>
      <c r="F361" s="36"/>
      <c r="G361" s="36"/>
      <c r="H361" s="36"/>
      <c r="I361" s="36"/>
      <c r="J361" s="44"/>
    </row>
    <row r="362" spans="2:10" ht="13.8" x14ac:dyDescent="0.3">
      <c r="B362" s="36"/>
      <c r="C362" s="36"/>
      <c r="D362" s="36"/>
      <c r="E362" s="36"/>
      <c r="F362" s="36"/>
      <c r="G362" s="36"/>
      <c r="H362" s="36"/>
      <c r="I362" s="36"/>
      <c r="J362" s="44"/>
    </row>
    <row r="363" spans="2:10" ht="13.8" x14ac:dyDescent="0.3">
      <c r="B363" s="36"/>
      <c r="C363" s="36"/>
      <c r="D363" s="36"/>
      <c r="E363" s="36"/>
      <c r="F363" s="36"/>
      <c r="G363" s="36"/>
      <c r="H363" s="36"/>
      <c r="I363" s="36"/>
      <c r="J363" s="44"/>
    </row>
    <row r="364" spans="2:10" ht="13.8" x14ac:dyDescent="0.3">
      <c r="B364" s="36"/>
      <c r="C364" s="36"/>
      <c r="D364" s="36"/>
      <c r="E364" s="36"/>
      <c r="F364" s="36"/>
      <c r="G364" s="36"/>
      <c r="H364" s="36"/>
      <c r="I364" s="36"/>
      <c r="J364" s="44"/>
    </row>
    <row r="365" spans="2:10" ht="13.8" x14ac:dyDescent="0.3">
      <c r="B365" s="36"/>
      <c r="C365" s="36"/>
      <c r="D365" s="36"/>
      <c r="E365" s="36"/>
      <c r="F365" s="36"/>
      <c r="G365" s="36"/>
      <c r="H365" s="36"/>
      <c r="I365" s="36"/>
      <c r="J365" s="44"/>
    </row>
    <row r="366" spans="2:10" ht="13.8" x14ac:dyDescent="0.3">
      <c r="B366" s="36"/>
      <c r="C366" s="36"/>
      <c r="D366" s="36"/>
      <c r="E366" s="36"/>
      <c r="F366" s="36"/>
      <c r="G366" s="36"/>
      <c r="H366" s="36"/>
      <c r="I366" s="36"/>
      <c r="J366" s="44"/>
    </row>
    <row r="367" spans="2:10" ht="13.8" x14ac:dyDescent="0.3">
      <c r="B367" s="36"/>
      <c r="C367" s="36"/>
      <c r="D367" s="36"/>
      <c r="E367" s="36"/>
      <c r="F367" s="36"/>
      <c r="G367" s="36"/>
      <c r="H367" s="36"/>
      <c r="I367" s="36"/>
      <c r="J367" s="44"/>
    </row>
    <row r="368" spans="2:10" ht="13.8" x14ac:dyDescent="0.3">
      <c r="B368" s="36"/>
      <c r="C368" s="36"/>
      <c r="D368" s="36"/>
      <c r="E368" s="36"/>
      <c r="F368" s="36"/>
      <c r="G368" s="36"/>
      <c r="H368" s="36"/>
      <c r="I368" s="36"/>
      <c r="J368" s="44"/>
    </row>
    <row r="369" spans="2:10" ht="13.8" x14ac:dyDescent="0.3">
      <c r="B369" s="36"/>
      <c r="C369" s="36"/>
      <c r="D369" s="36"/>
      <c r="E369" s="36"/>
      <c r="F369" s="36"/>
      <c r="G369" s="36"/>
      <c r="H369" s="36"/>
      <c r="I369" s="36"/>
      <c r="J369" s="44"/>
    </row>
    <row r="370" spans="2:10" ht="13.8" x14ac:dyDescent="0.3">
      <c r="B370" s="36"/>
      <c r="C370" s="36"/>
      <c r="D370" s="36"/>
      <c r="E370" s="36"/>
      <c r="F370" s="36"/>
      <c r="G370" s="36"/>
      <c r="H370" s="36"/>
      <c r="I370" s="36"/>
      <c r="J370" s="44"/>
    </row>
    <row r="371" spans="2:10" ht="13.8" x14ac:dyDescent="0.3">
      <c r="B371" s="36"/>
      <c r="C371" s="36"/>
      <c r="D371" s="36"/>
      <c r="E371" s="36"/>
      <c r="F371" s="36"/>
      <c r="G371" s="36"/>
      <c r="H371" s="36"/>
      <c r="I371" s="36"/>
      <c r="J371" s="44"/>
    </row>
    <row r="372" spans="2:10" ht="13.8" x14ac:dyDescent="0.3">
      <c r="B372" s="36"/>
      <c r="C372" s="36"/>
      <c r="D372" s="36"/>
      <c r="E372" s="36"/>
      <c r="F372" s="36"/>
      <c r="G372" s="36"/>
      <c r="H372" s="36"/>
      <c r="I372" s="36"/>
      <c r="J372" s="44"/>
    </row>
    <row r="373" spans="2:10" ht="13.8" x14ac:dyDescent="0.3">
      <c r="B373" s="36"/>
      <c r="C373" s="36"/>
      <c r="D373" s="36"/>
      <c r="E373" s="36"/>
      <c r="F373" s="36"/>
      <c r="G373" s="36"/>
      <c r="H373" s="36"/>
      <c r="I373" s="36"/>
      <c r="J373" s="44"/>
    </row>
    <row r="374" spans="2:10" ht="13.8" x14ac:dyDescent="0.3">
      <c r="B374" s="36"/>
      <c r="C374" s="36"/>
      <c r="D374" s="36"/>
      <c r="E374" s="36"/>
      <c r="F374" s="36"/>
      <c r="G374" s="36"/>
      <c r="H374" s="36"/>
      <c r="I374" s="36"/>
      <c r="J374" s="44"/>
    </row>
    <row r="375" spans="2:10" ht="13.8" x14ac:dyDescent="0.3">
      <c r="B375" s="36"/>
      <c r="C375" s="36"/>
      <c r="D375" s="36"/>
      <c r="E375" s="36"/>
      <c r="F375" s="36"/>
      <c r="G375" s="36"/>
      <c r="H375" s="36"/>
      <c r="I375" s="36"/>
      <c r="J375" s="44"/>
    </row>
    <row r="376" spans="2:10" ht="13.8" x14ac:dyDescent="0.3">
      <c r="B376" s="36"/>
      <c r="C376" s="36"/>
      <c r="D376" s="36"/>
      <c r="E376" s="36"/>
      <c r="F376" s="36"/>
      <c r="G376" s="36"/>
      <c r="H376" s="36"/>
      <c r="I376" s="36"/>
      <c r="J376" s="44"/>
    </row>
    <row r="377" spans="2:10" ht="13.8" x14ac:dyDescent="0.3">
      <c r="B377" s="36"/>
      <c r="C377" s="36"/>
      <c r="D377" s="36"/>
      <c r="E377" s="36"/>
      <c r="F377" s="36"/>
      <c r="G377" s="36"/>
      <c r="H377" s="36"/>
      <c r="I377" s="36"/>
      <c r="J377" s="44"/>
    </row>
    <row r="378" spans="2:10" ht="13.8" x14ac:dyDescent="0.3">
      <c r="B378" s="36"/>
      <c r="C378" s="36"/>
      <c r="D378" s="36"/>
      <c r="E378" s="36"/>
      <c r="F378" s="36"/>
      <c r="G378" s="36"/>
      <c r="H378" s="36"/>
      <c r="I378" s="36"/>
      <c r="J378" s="44"/>
    </row>
    <row r="379" spans="2:10" ht="13.8" x14ac:dyDescent="0.3">
      <c r="B379" s="36"/>
      <c r="C379" s="36"/>
      <c r="D379" s="36"/>
      <c r="E379" s="36"/>
      <c r="F379" s="36"/>
      <c r="G379" s="36"/>
      <c r="H379" s="36"/>
      <c r="I379" s="36"/>
      <c r="J379" s="44"/>
    </row>
    <row r="380" spans="2:10" ht="13.8" x14ac:dyDescent="0.3">
      <c r="B380" s="36"/>
      <c r="C380" s="36"/>
      <c r="D380" s="36"/>
      <c r="E380" s="36"/>
      <c r="F380" s="36"/>
      <c r="G380" s="36"/>
      <c r="H380" s="36"/>
      <c r="I380" s="36"/>
      <c r="J380" s="44"/>
    </row>
    <row r="381" spans="2:10" ht="13.8" x14ac:dyDescent="0.3">
      <c r="B381" s="36"/>
      <c r="C381" s="36"/>
      <c r="D381" s="36"/>
      <c r="E381" s="36"/>
      <c r="F381" s="36"/>
      <c r="G381" s="36"/>
      <c r="H381" s="36"/>
      <c r="I381" s="36"/>
      <c r="J381" s="44"/>
    </row>
    <row r="382" spans="2:10" ht="13.8" x14ac:dyDescent="0.3">
      <c r="B382" s="36"/>
      <c r="C382" s="36"/>
      <c r="D382" s="36"/>
      <c r="E382" s="36"/>
      <c r="F382" s="36"/>
      <c r="G382" s="36"/>
      <c r="H382" s="36"/>
      <c r="I382" s="36"/>
      <c r="J382" s="44"/>
    </row>
    <row r="383" spans="2:10" ht="13.8" x14ac:dyDescent="0.3">
      <c r="B383" s="36"/>
      <c r="C383" s="36"/>
      <c r="D383" s="36"/>
      <c r="E383" s="36"/>
      <c r="F383" s="36"/>
      <c r="G383" s="36"/>
      <c r="H383" s="36"/>
      <c r="I383" s="36"/>
      <c r="J383" s="44"/>
    </row>
    <row r="384" spans="2:10" ht="13.8" x14ac:dyDescent="0.3">
      <c r="B384" s="36"/>
      <c r="C384" s="36"/>
      <c r="D384" s="36"/>
      <c r="E384" s="36"/>
      <c r="F384" s="36"/>
      <c r="G384" s="36"/>
      <c r="H384" s="36"/>
      <c r="I384" s="36"/>
      <c r="J384" s="44"/>
    </row>
    <row r="385" spans="2:10" ht="13.8" x14ac:dyDescent="0.3">
      <c r="B385" s="36"/>
      <c r="C385" s="36"/>
      <c r="D385" s="36"/>
      <c r="E385" s="36"/>
      <c r="F385" s="36"/>
      <c r="G385" s="36"/>
      <c r="H385" s="36"/>
      <c r="I385" s="36"/>
      <c r="J385" s="44"/>
    </row>
    <row r="386" spans="2:10" ht="13.8" x14ac:dyDescent="0.3">
      <c r="B386" s="36"/>
      <c r="C386" s="36"/>
      <c r="D386" s="36"/>
      <c r="E386" s="36"/>
      <c r="F386" s="36"/>
      <c r="G386" s="36"/>
      <c r="H386" s="36"/>
      <c r="I386" s="36"/>
      <c r="J386" s="44"/>
    </row>
    <row r="387" spans="2:10" ht="13.8" x14ac:dyDescent="0.3">
      <c r="B387" s="36"/>
      <c r="C387" s="36"/>
      <c r="D387" s="36"/>
      <c r="E387" s="36"/>
      <c r="F387" s="36"/>
      <c r="G387" s="36"/>
      <c r="H387" s="36"/>
      <c r="I387" s="36"/>
      <c r="J387" s="44"/>
    </row>
    <row r="388" spans="2:10" ht="13.8" x14ac:dyDescent="0.3">
      <c r="B388" s="36"/>
      <c r="C388" s="36"/>
      <c r="D388" s="36"/>
      <c r="E388" s="36"/>
      <c r="F388" s="36"/>
      <c r="G388" s="36"/>
      <c r="H388" s="36"/>
      <c r="I388" s="36"/>
      <c r="J388" s="44"/>
    </row>
    <row r="389" spans="2:10" ht="13.8" x14ac:dyDescent="0.3">
      <c r="B389" s="36"/>
      <c r="C389" s="36"/>
      <c r="D389" s="36"/>
      <c r="E389" s="36"/>
      <c r="F389" s="36"/>
      <c r="G389" s="36"/>
      <c r="H389" s="36"/>
      <c r="I389" s="36"/>
      <c r="J389" s="44"/>
    </row>
    <row r="390" spans="2:10" ht="13.8" x14ac:dyDescent="0.3">
      <c r="B390" s="36"/>
      <c r="C390" s="36"/>
      <c r="D390" s="36"/>
      <c r="E390" s="36"/>
      <c r="F390" s="36"/>
      <c r="G390" s="36"/>
      <c r="H390" s="36"/>
      <c r="I390" s="36"/>
      <c r="J390" s="44"/>
    </row>
    <row r="391" spans="2:10" ht="13.8" x14ac:dyDescent="0.3">
      <c r="B391" s="36"/>
      <c r="C391" s="36"/>
      <c r="D391" s="36"/>
      <c r="E391" s="36"/>
      <c r="F391" s="36"/>
      <c r="G391" s="36"/>
      <c r="H391" s="36"/>
      <c r="I391" s="36"/>
      <c r="J391" s="44"/>
    </row>
    <row r="392" spans="2:10" ht="13.8" x14ac:dyDescent="0.3">
      <c r="B392" s="36"/>
      <c r="C392" s="36"/>
      <c r="D392" s="36"/>
      <c r="E392" s="36"/>
      <c r="F392" s="36"/>
      <c r="G392" s="36"/>
      <c r="H392" s="36"/>
      <c r="I392" s="36"/>
      <c r="J392" s="44"/>
    </row>
    <row r="393" spans="2:10" ht="13.8" x14ac:dyDescent="0.3">
      <c r="B393" s="36"/>
      <c r="C393" s="36"/>
      <c r="D393" s="36"/>
      <c r="E393" s="36"/>
      <c r="F393" s="36"/>
      <c r="G393" s="36"/>
      <c r="H393" s="36"/>
      <c r="I393" s="36"/>
      <c r="J393" s="44"/>
    </row>
    <row r="394" spans="2:10" ht="13.8" x14ac:dyDescent="0.3">
      <c r="B394" s="36"/>
      <c r="C394" s="36"/>
      <c r="D394" s="36"/>
      <c r="E394" s="36"/>
      <c r="F394" s="36"/>
      <c r="G394" s="36"/>
      <c r="H394" s="36"/>
      <c r="I394" s="36"/>
      <c r="J394" s="44"/>
    </row>
    <row r="395" spans="2:10" ht="13.8" x14ac:dyDescent="0.3">
      <c r="B395" s="36"/>
      <c r="C395" s="36"/>
      <c r="D395" s="36"/>
      <c r="E395" s="36"/>
      <c r="F395" s="36"/>
      <c r="G395" s="36"/>
      <c r="H395" s="36"/>
      <c r="I395" s="36"/>
      <c r="J395" s="44"/>
    </row>
    <row r="396" spans="2:10" ht="13.8" x14ac:dyDescent="0.3">
      <c r="B396" s="36"/>
      <c r="C396" s="36"/>
      <c r="D396" s="36"/>
      <c r="E396" s="36"/>
      <c r="F396" s="36"/>
      <c r="G396" s="36"/>
      <c r="H396" s="36"/>
      <c r="I396" s="36"/>
      <c r="J396" s="44"/>
    </row>
    <row r="397" spans="2:10" ht="13.8" x14ac:dyDescent="0.3">
      <c r="B397" s="36"/>
      <c r="C397" s="36"/>
      <c r="D397" s="36"/>
      <c r="E397" s="36"/>
      <c r="F397" s="36"/>
      <c r="G397" s="36"/>
      <c r="H397" s="36"/>
      <c r="I397" s="36"/>
      <c r="J397" s="44"/>
    </row>
    <row r="398" spans="2:10" ht="13.8" x14ac:dyDescent="0.3">
      <c r="B398" s="36"/>
      <c r="C398" s="36"/>
      <c r="D398" s="36"/>
      <c r="E398" s="36"/>
      <c r="F398" s="36"/>
      <c r="G398" s="36"/>
      <c r="H398" s="36"/>
      <c r="I398" s="36"/>
      <c r="J398" s="44"/>
    </row>
    <row r="399" spans="2:10" ht="13.8" x14ac:dyDescent="0.3">
      <c r="B399" s="36"/>
      <c r="C399" s="36"/>
      <c r="D399" s="36"/>
      <c r="E399" s="36"/>
      <c r="F399" s="36"/>
      <c r="G399" s="36"/>
      <c r="H399" s="36"/>
      <c r="I399" s="36"/>
      <c r="J399" s="44"/>
    </row>
    <row r="400" spans="2:10" ht="13.8" x14ac:dyDescent="0.3">
      <c r="B400" s="36"/>
      <c r="C400" s="36"/>
      <c r="D400" s="36"/>
      <c r="E400" s="36"/>
      <c r="F400" s="36"/>
      <c r="G400" s="36"/>
      <c r="H400" s="36"/>
      <c r="I400" s="36"/>
      <c r="J400" s="44"/>
    </row>
    <row r="401" spans="2:10" ht="13.8" x14ac:dyDescent="0.3">
      <c r="B401" s="36"/>
      <c r="C401" s="36"/>
      <c r="D401" s="36"/>
      <c r="E401" s="36"/>
      <c r="F401" s="36"/>
      <c r="G401" s="36"/>
      <c r="H401" s="36"/>
      <c r="I401" s="36"/>
      <c r="J401" s="44"/>
    </row>
    <row r="402" spans="2:10" ht="13.8" x14ac:dyDescent="0.3">
      <c r="B402" s="36"/>
      <c r="C402" s="36"/>
      <c r="D402" s="36"/>
      <c r="E402" s="36"/>
      <c r="F402" s="36"/>
      <c r="G402" s="36"/>
      <c r="H402" s="36"/>
      <c r="I402" s="36"/>
      <c r="J402" s="44"/>
    </row>
    <row r="403" spans="2:10" ht="13.8" x14ac:dyDescent="0.3">
      <c r="B403" s="36"/>
      <c r="C403" s="36"/>
      <c r="D403" s="36"/>
      <c r="E403" s="36"/>
      <c r="F403" s="36"/>
      <c r="G403" s="36"/>
      <c r="H403" s="36"/>
      <c r="I403" s="36"/>
      <c r="J403" s="44"/>
    </row>
    <row r="404" spans="2:10" ht="13.8" x14ac:dyDescent="0.3">
      <c r="B404" s="36"/>
      <c r="C404" s="36"/>
      <c r="D404" s="36"/>
      <c r="E404" s="36"/>
      <c r="F404" s="36"/>
      <c r="G404" s="36"/>
      <c r="H404" s="36"/>
      <c r="I404" s="36"/>
      <c r="J404" s="44"/>
    </row>
    <row r="405" spans="2:10" ht="13.8" x14ac:dyDescent="0.3">
      <c r="B405" s="36"/>
      <c r="C405" s="36"/>
      <c r="D405" s="36"/>
      <c r="E405" s="36"/>
      <c r="F405" s="36"/>
      <c r="G405" s="36"/>
      <c r="H405" s="36"/>
      <c r="I405" s="36"/>
      <c r="J405" s="44"/>
    </row>
    <row r="406" spans="2:10" ht="13.8" x14ac:dyDescent="0.3">
      <c r="B406" s="36"/>
      <c r="C406" s="36"/>
      <c r="D406" s="36"/>
      <c r="E406" s="36"/>
      <c r="F406" s="36"/>
      <c r="G406" s="36"/>
      <c r="H406" s="36"/>
      <c r="I406" s="36"/>
      <c r="J406" s="44"/>
    </row>
    <row r="407" spans="2:10" ht="13.8" x14ac:dyDescent="0.3">
      <c r="B407" s="36"/>
      <c r="C407" s="36"/>
      <c r="D407" s="36"/>
      <c r="E407" s="36"/>
      <c r="F407" s="36"/>
      <c r="G407" s="36"/>
      <c r="H407" s="36"/>
      <c r="I407" s="36"/>
      <c r="J407" s="44"/>
    </row>
    <row r="408" spans="2:10" ht="13.8" x14ac:dyDescent="0.3">
      <c r="B408" s="36"/>
      <c r="C408" s="36"/>
      <c r="D408" s="36"/>
      <c r="E408" s="36"/>
      <c r="F408" s="36"/>
      <c r="G408" s="36"/>
      <c r="H408" s="36"/>
      <c r="I408" s="36"/>
      <c r="J408" s="44"/>
    </row>
    <row r="409" spans="2:10" ht="13.8" x14ac:dyDescent="0.3">
      <c r="B409" s="36"/>
      <c r="C409" s="36"/>
      <c r="D409" s="36"/>
      <c r="E409" s="36"/>
      <c r="F409" s="36"/>
      <c r="G409" s="36"/>
      <c r="H409" s="36"/>
      <c r="I409" s="36"/>
      <c r="J409" s="44"/>
    </row>
    <row r="410" spans="2:10" ht="13.8" x14ac:dyDescent="0.3">
      <c r="B410" s="36"/>
      <c r="C410" s="36"/>
      <c r="D410" s="36"/>
      <c r="E410" s="36"/>
      <c r="F410" s="36"/>
      <c r="G410" s="36"/>
      <c r="H410" s="36"/>
      <c r="I410" s="36"/>
      <c r="J410" s="44"/>
    </row>
    <row r="411" spans="2:10" ht="13.8" x14ac:dyDescent="0.3">
      <c r="B411" s="36"/>
      <c r="C411" s="36"/>
      <c r="D411" s="36"/>
      <c r="E411" s="36"/>
      <c r="F411" s="36"/>
      <c r="G411" s="36"/>
      <c r="H411" s="36"/>
      <c r="I411" s="36"/>
      <c r="J411" s="44"/>
    </row>
    <row r="412" spans="2:10" ht="13.8" x14ac:dyDescent="0.3">
      <c r="B412" s="36"/>
      <c r="C412" s="36"/>
      <c r="D412" s="36"/>
      <c r="E412" s="36"/>
      <c r="F412" s="36"/>
      <c r="G412" s="36"/>
      <c r="H412" s="36"/>
      <c r="I412" s="36"/>
      <c r="J412" s="44"/>
    </row>
    <row r="413" spans="2:10" ht="13.8" x14ac:dyDescent="0.3">
      <c r="B413" s="36"/>
      <c r="C413" s="36"/>
      <c r="D413" s="36"/>
      <c r="E413" s="36"/>
      <c r="F413" s="36"/>
      <c r="G413" s="36"/>
      <c r="H413" s="36"/>
      <c r="I413" s="36"/>
      <c r="J413" s="44"/>
    </row>
    <row r="414" spans="2:10" ht="13.8" x14ac:dyDescent="0.3">
      <c r="B414" s="36"/>
      <c r="C414" s="36"/>
      <c r="D414" s="36"/>
      <c r="E414" s="36"/>
      <c r="F414" s="36"/>
      <c r="G414" s="36"/>
      <c r="H414" s="36"/>
      <c r="I414" s="36"/>
      <c r="J414" s="44"/>
    </row>
    <row r="415" spans="2:10" ht="13.8" x14ac:dyDescent="0.3">
      <c r="B415" s="36"/>
      <c r="C415" s="36"/>
      <c r="D415" s="36"/>
      <c r="E415" s="36"/>
      <c r="F415" s="36"/>
      <c r="G415" s="36"/>
      <c r="H415" s="36"/>
      <c r="I415" s="36"/>
      <c r="J415" s="44"/>
    </row>
    <row r="416" spans="2:10" ht="13.8" x14ac:dyDescent="0.3">
      <c r="B416" s="36"/>
      <c r="C416" s="36"/>
      <c r="D416" s="36"/>
      <c r="E416" s="36"/>
      <c r="F416" s="36"/>
      <c r="G416" s="36"/>
      <c r="H416" s="36"/>
      <c r="I416" s="36"/>
      <c r="J416" s="44"/>
    </row>
    <row r="417" spans="2:10" ht="13.8" x14ac:dyDescent="0.3">
      <c r="B417" s="36"/>
      <c r="C417" s="36"/>
      <c r="D417" s="36"/>
      <c r="E417" s="36"/>
      <c r="F417" s="36"/>
      <c r="G417" s="36"/>
      <c r="H417" s="36"/>
      <c r="I417" s="36"/>
      <c r="J417" s="44"/>
    </row>
    <row r="418" spans="2:10" ht="13.8" x14ac:dyDescent="0.3">
      <c r="B418" s="36"/>
      <c r="C418" s="36"/>
      <c r="D418" s="36"/>
      <c r="E418" s="36"/>
      <c r="F418" s="36"/>
      <c r="G418" s="36"/>
      <c r="H418" s="36"/>
      <c r="I418" s="36"/>
      <c r="J418" s="44"/>
    </row>
    <row r="419" spans="2:10" ht="13.8" x14ac:dyDescent="0.3">
      <c r="B419" s="36"/>
      <c r="C419" s="36"/>
      <c r="D419" s="36"/>
      <c r="E419" s="36"/>
      <c r="F419" s="36"/>
      <c r="G419" s="36"/>
      <c r="H419" s="36"/>
      <c r="I419" s="36"/>
      <c r="J419" s="44"/>
    </row>
    <row r="420" spans="2:10" ht="13.8" x14ac:dyDescent="0.3">
      <c r="B420" s="36"/>
      <c r="C420" s="36"/>
      <c r="D420" s="36"/>
      <c r="E420" s="36"/>
      <c r="F420" s="36"/>
      <c r="G420" s="36"/>
      <c r="H420" s="36"/>
      <c r="I420" s="36"/>
      <c r="J420" s="44"/>
    </row>
    <row r="421" spans="2:10" ht="13.8" x14ac:dyDescent="0.3">
      <c r="B421" s="36"/>
      <c r="C421" s="36"/>
      <c r="D421" s="36"/>
      <c r="E421" s="36"/>
      <c r="F421" s="36"/>
      <c r="G421" s="36"/>
      <c r="H421" s="36"/>
      <c r="I421" s="36"/>
      <c r="J421" s="44"/>
    </row>
    <row r="422" spans="2:10" ht="13.8" x14ac:dyDescent="0.3">
      <c r="B422" s="36"/>
      <c r="C422" s="36"/>
      <c r="D422" s="36"/>
      <c r="E422" s="36"/>
      <c r="F422" s="36"/>
      <c r="G422" s="36"/>
      <c r="H422" s="36"/>
      <c r="I422" s="36"/>
      <c r="J422" s="44"/>
    </row>
    <row r="423" spans="2:10" ht="13.8" x14ac:dyDescent="0.3">
      <c r="B423" s="36"/>
      <c r="C423" s="36"/>
      <c r="D423" s="36"/>
      <c r="E423" s="36"/>
      <c r="F423" s="36"/>
      <c r="G423" s="36"/>
      <c r="H423" s="36"/>
      <c r="I423" s="36"/>
      <c r="J423" s="44"/>
    </row>
    <row r="424" spans="2:10" ht="13.8" x14ac:dyDescent="0.3">
      <c r="B424" s="36"/>
      <c r="C424" s="36"/>
      <c r="D424" s="36"/>
      <c r="E424" s="36"/>
      <c r="F424" s="36"/>
      <c r="G424" s="36"/>
      <c r="H424" s="36"/>
      <c r="I424" s="36"/>
      <c r="J424" s="44"/>
    </row>
    <row r="425" spans="2:10" ht="13.8" x14ac:dyDescent="0.3">
      <c r="B425" s="36"/>
      <c r="C425" s="36"/>
      <c r="D425" s="36"/>
      <c r="E425" s="36"/>
      <c r="F425" s="36"/>
      <c r="G425" s="36"/>
      <c r="H425" s="36"/>
      <c r="I425" s="36"/>
      <c r="J425" s="44"/>
    </row>
    <row r="426" spans="2:10" ht="13.8" x14ac:dyDescent="0.3">
      <c r="B426" s="36"/>
      <c r="C426" s="36"/>
      <c r="D426" s="36"/>
      <c r="E426" s="36"/>
      <c r="F426" s="36"/>
      <c r="G426" s="36"/>
      <c r="H426" s="36"/>
      <c r="I426" s="36"/>
      <c r="J426" s="44"/>
    </row>
    <row r="427" spans="2:10" ht="13.8" x14ac:dyDescent="0.3">
      <c r="B427" s="36"/>
      <c r="C427" s="36"/>
      <c r="D427" s="36"/>
      <c r="E427" s="36"/>
      <c r="F427" s="36"/>
      <c r="G427" s="36"/>
      <c r="H427" s="36"/>
      <c r="I427" s="36"/>
      <c r="J427" s="44"/>
    </row>
    <row r="428" spans="2:10" ht="13.8" x14ac:dyDescent="0.3">
      <c r="B428" s="36"/>
      <c r="C428" s="36"/>
      <c r="D428" s="36"/>
      <c r="E428" s="36"/>
      <c r="F428" s="36"/>
      <c r="G428" s="36"/>
      <c r="H428" s="36"/>
      <c r="I428" s="36"/>
      <c r="J428" s="44"/>
    </row>
    <row r="429" spans="2:10" ht="13.8" x14ac:dyDescent="0.3">
      <c r="B429" s="36"/>
      <c r="C429" s="36"/>
      <c r="D429" s="36"/>
      <c r="E429" s="36"/>
      <c r="F429" s="36"/>
      <c r="G429" s="36"/>
      <c r="H429" s="36"/>
      <c r="I429" s="36"/>
      <c r="J429" s="44"/>
    </row>
    <row r="430" spans="2:10" ht="13.8" x14ac:dyDescent="0.3">
      <c r="B430" s="36"/>
      <c r="C430" s="36"/>
      <c r="D430" s="36"/>
      <c r="E430" s="36"/>
      <c r="F430" s="36"/>
      <c r="G430" s="36"/>
      <c r="H430" s="36"/>
      <c r="I430" s="36"/>
      <c r="J430" s="44"/>
    </row>
    <row r="431" spans="2:10" ht="13.8" x14ac:dyDescent="0.3">
      <c r="B431" s="36"/>
      <c r="C431" s="36"/>
      <c r="D431" s="36"/>
      <c r="E431" s="36"/>
      <c r="F431" s="36"/>
      <c r="G431" s="36"/>
      <c r="H431" s="36"/>
      <c r="I431" s="36"/>
      <c r="J431" s="44"/>
    </row>
    <row r="432" spans="2:10" ht="13.8" x14ac:dyDescent="0.3">
      <c r="B432" s="36"/>
      <c r="C432" s="36"/>
      <c r="D432" s="36"/>
      <c r="E432" s="36"/>
      <c r="F432" s="36"/>
      <c r="G432" s="36"/>
      <c r="H432" s="36"/>
      <c r="I432" s="36"/>
      <c r="J432" s="44"/>
    </row>
    <row r="433" spans="2:10" ht="13.8" x14ac:dyDescent="0.3">
      <c r="B433" s="36"/>
      <c r="C433" s="36"/>
      <c r="D433" s="36"/>
      <c r="E433" s="36"/>
      <c r="F433" s="36"/>
      <c r="G433" s="36"/>
      <c r="H433" s="36"/>
      <c r="I433" s="36"/>
      <c r="J433" s="44"/>
    </row>
    <row r="434" spans="2:10" ht="13.8" x14ac:dyDescent="0.3">
      <c r="B434" s="36"/>
      <c r="C434" s="36"/>
      <c r="D434" s="36"/>
      <c r="E434" s="36"/>
      <c r="F434" s="36"/>
      <c r="G434" s="36"/>
      <c r="H434" s="36"/>
      <c r="I434" s="36"/>
      <c r="J434" s="44"/>
    </row>
    <row r="435" spans="2:10" ht="13.8" x14ac:dyDescent="0.3">
      <c r="B435" s="36"/>
      <c r="C435" s="36"/>
      <c r="D435" s="36"/>
      <c r="E435" s="36"/>
      <c r="F435" s="36"/>
      <c r="G435" s="36"/>
      <c r="H435" s="36"/>
      <c r="I435" s="36"/>
      <c r="J435" s="44"/>
    </row>
    <row r="436" spans="2:10" ht="13.8" x14ac:dyDescent="0.3">
      <c r="B436" s="36"/>
      <c r="C436" s="36"/>
      <c r="D436" s="36"/>
      <c r="E436" s="36"/>
      <c r="F436" s="36"/>
      <c r="G436" s="36"/>
      <c r="H436" s="36"/>
      <c r="I436" s="36"/>
      <c r="J436" s="44"/>
    </row>
    <row r="437" spans="2:10" ht="13.8" x14ac:dyDescent="0.3">
      <c r="B437" s="36"/>
      <c r="C437" s="36"/>
      <c r="D437" s="36"/>
      <c r="E437" s="36"/>
      <c r="F437" s="36"/>
      <c r="G437" s="36"/>
      <c r="H437" s="36"/>
      <c r="I437" s="36"/>
      <c r="J437" s="44"/>
    </row>
    <row r="438" spans="2:10" ht="13.8" x14ac:dyDescent="0.3">
      <c r="B438" s="36"/>
      <c r="C438" s="36"/>
      <c r="D438" s="36"/>
      <c r="E438" s="36"/>
      <c r="F438" s="36"/>
      <c r="G438" s="36"/>
      <c r="H438" s="36"/>
      <c r="I438" s="36"/>
      <c r="J438" s="44"/>
    </row>
    <row r="439" spans="2:10" ht="13.8" x14ac:dyDescent="0.3">
      <c r="B439" s="36"/>
      <c r="C439" s="36"/>
      <c r="D439" s="36"/>
      <c r="E439" s="36"/>
      <c r="F439" s="36"/>
      <c r="G439" s="36"/>
      <c r="H439" s="36"/>
      <c r="I439" s="36"/>
      <c r="J439" s="44"/>
    </row>
    <row r="440" spans="2:10" ht="13.8" x14ac:dyDescent="0.3">
      <c r="B440" s="36"/>
      <c r="C440" s="36"/>
      <c r="D440" s="36"/>
      <c r="E440" s="36"/>
      <c r="F440" s="36"/>
      <c r="G440" s="36"/>
      <c r="H440" s="36"/>
      <c r="I440" s="36"/>
      <c r="J440" s="44"/>
    </row>
    <row r="441" spans="2:10" ht="13.8" x14ac:dyDescent="0.3">
      <c r="B441" s="36"/>
      <c r="C441" s="36"/>
      <c r="D441" s="36"/>
      <c r="E441" s="36"/>
      <c r="F441" s="36"/>
      <c r="G441" s="36"/>
      <c r="H441" s="36"/>
      <c r="I441" s="36"/>
      <c r="J441" s="44"/>
    </row>
    <row r="442" spans="2:10" ht="13.8" x14ac:dyDescent="0.3">
      <c r="B442" s="36"/>
      <c r="C442" s="36"/>
      <c r="D442" s="36"/>
      <c r="E442" s="36"/>
      <c r="F442" s="36"/>
      <c r="G442" s="36"/>
      <c r="H442" s="36"/>
      <c r="I442" s="36"/>
      <c r="J442" s="44"/>
    </row>
    <row r="443" spans="2:10" ht="13.8" x14ac:dyDescent="0.3">
      <c r="B443" s="36"/>
      <c r="C443" s="36"/>
      <c r="D443" s="36"/>
      <c r="E443" s="36"/>
      <c r="F443" s="36"/>
      <c r="G443" s="36"/>
      <c r="H443" s="36"/>
      <c r="I443" s="36"/>
      <c r="J443" s="44"/>
    </row>
    <row r="444" spans="2:10" ht="13.8" x14ac:dyDescent="0.3">
      <c r="B444" s="36"/>
      <c r="C444" s="36"/>
      <c r="D444" s="36"/>
      <c r="E444" s="36"/>
      <c r="F444" s="36"/>
      <c r="G444" s="36"/>
      <c r="H444" s="36"/>
      <c r="I444" s="36"/>
      <c r="J444" s="44"/>
    </row>
    <row r="445" spans="2:10" ht="13.8" x14ac:dyDescent="0.3">
      <c r="B445" s="36"/>
      <c r="C445" s="36"/>
      <c r="D445" s="36"/>
      <c r="E445" s="36"/>
      <c r="F445" s="36"/>
      <c r="G445" s="36"/>
      <c r="H445" s="36"/>
      <c r="I445" s="36"/>
      <c r="J445" s="44"/>
    </row>
    <row r="446" spans="2:10" ht="13.8" x14ac:dyDescent="0.3">
      <c r="B446" s="36"/>
      <c r="C446" s="36"/>
      <c r="D446" s="36"/>
      <c r="E446" s="36"/>
      <c r="F446" s="36"/>
      <c r="G446" s="36"/>
      <c r="H446" s="36"/>
      <c r="I446" s="36"/>
      <c r="J446" s="44"/>
    </row>
    <row r="447" spans="2:10" ht="13.8" x14ac:dyDescent="0.3">
      <c r="B447" s="36"/>
      <c r="C447" s="36"/>
      <c r="D447" s="36"/>
      <c r="E447" s="36"/>
      <c r="F447" s="36"/>
      <c r="G447" s="36"/>
      <c r="H447" s="36"/>
      <c r="I447" s="36"/>
      <c r="J447" s="44"/>
    </row>
    <row r="448" spans="2:10" ht="13.8" x14ac:dyDescent="0.3">
      <c r="B448" s="36"/>
      <c r="C448" s="36"/>
      <c r="D448" s="36"/>
      <c r="E448" s="36"/>
      <c r="F448" s="36"/>
      <c r="G448" s="36"/>
      <c r="H448" s="36"/>
      <c r="I448" s="36"/>
      <c r="J448" s="44"/>
    </row>
    <row r="449" spans="2:10" ht="13.8" x14ac:dyDescent="0.3">
      <c r="B449" s="36"/>
      <c r="C449" s="36"/>
      <c r="D449" s="36"/>
      <c r="E449" s="36"/>
      <c r="F449" s="36"/>
      <c r="G449" s="36"/>
      <c r="H449" s="36"/>
      <c r="I449" s="36"/>
      <c r="J449" s="44"/>
    </row>
    <row r="450" spans="2:10" ht="13.8" x14ac:dyDescent="0.3">
      <c r="B450" s="36"/>
      <c r="C450" s="36"/>
      <c r="D450" s="36"/>
      <c r="E450" s="36"/>
      <c r="F450" s="36"/>
      <c r="G450" s="36"/>
      <c r="H450" s="36"/>
      <c r="I450" s="36"/>
      <c r="J450" s="44"/>
    </row>
    <row r="451" spans="2:10" ht="13.8" x14ac:dyDescent="0.3">
      <c r="B451" s="36"/>
      <c r="C451" s="36"/>
      <c r="D451" s="36"/>
      <c r="E451" s="36"/>
      <c r="F451" s="36"/>
      <c r="G451" s="36"/>
      <c r="H451" s="36"/>
      <c r="I451" s="36"/>
      <c r="J451" s="44"/>
    </row>
    <row r="452" spans="2:10" ht="13.8" x14ac:dyDescent="0.3">
      <c r="B452" s="36"/>
      <c r="C452" s="36"/>
      <c r="D452" s="36"/>
      <c r="E452" s="36"/>
      <c r="F452" s="36"/>
      <c r="G452" s="36"/>
      <c r="H452" s="36"/>
      <c r="I452" s="36"/>
      <c r="J452" s="44"/>
    </row>
    <row r="453" spans="2:10" ht="13.8" x14ac:dyDescent="0.3">
      <c r="B453" s="36"/>
      <c r="C453" s="36"/>
      <c r="D453" s="36"/>
      <c r="E453" s="36"/>
      <c r="F453" s="36"/>
      <c r="G453" s="36"/>
      <c r="H453" s="36"/>
      <c r="I453" s="36"/>
      <c r="J453" s="44"/>
    </row>
    <row r="454" spans="2:10" ht="13.8" x14ac:dyDescent="0.3">
      <c r="B454" s="36"/>
      <c r="C454" s="36"/>
      <c r="D454" s="36"/>
      <c r="E454" s="36"/>
      <c r="F454" s="36"/>
      <c r="G454" s="36"/>
      <c r="H454" s="36"/>
      <c r="I454" s="36"/>
      <c r="J454" s="44"/>
    </row>
    <row r="455" spans="2:10" ht="13.8" x14ac:dyDescent="0.3">
      <c r="B455" s="36"/>
      <c r="C455" s="36"/>
      <c r="D455" s="36"/>
      <c r="E455" s="36"/>
      <c r="F455" s="36"/>
      <c r="G455" s="36"/>
      <c r="H455" s="36"/>
      <c r="I455" s="36"/>
      <c r="J455" s="44"/>
    </row>
    <row r="456" spans="2:10" ht="13.8" x14ac:dyDescent="0.3">
      <c r="B456" s="36"/>
      <c r="C456" s="36"/>
      <c r="D456" s="36"/>
      <c r="E456" s="36"/>
      <c r="F456" s="36"/>
      <c r="G456" s="36"/>
      <c r="H456" s="36"/>
      <c r="I456" s="36"/>
      <c r="J456" s="44"/>
    </row>
    <row r="457" spans="2:10" ht="13.8" x14ac:dyDescent="0.3">
      <c r="B457" s="36"/>
      <c r="C457" s="36"/>
      <c r="D457" s="36"/>
      <c r="E457" s="36"/>
      <c r="F457" s="36"/>
      <c r="G457" s="36"/>
      <c r="H457" s="36"/>
      <c r="I457" s="36"/>
      <c r="J457" s="44"/>
    </row>
    <row r="458" spans="2:10" ht="13.8" x14ac:dyDescent="0.3">
      <c r="B458" s="36"/>
      <c r="C458" s="36"/>
      <c r="D458" s="36"/>
      <c r="E458" s="36"/>
      <c r="F458" s="36"/>
      <c r="G458" s="36"/>
      <c r="H458" s="36"/>
      <c r="I458" s="36"/>
      <c r="J458" s="44"/>
    </row>
    <row r="459" spans="2:10" ht="13.8" x14ac:dyDescent="0.3">
      <c r="B459" s="36"/>
      <c r="C459" s="36"/>
      <c r="D459" s="36"/>
      <c r="E459" s="36"/>
      <c r="F459" s="36"/>
      <c r="G459" s="36"/>
      <c r="H459" s="36"/>
      <c r="I459" s="36"/>
      <c r="J459" s="44"/>
    </row>
    <row r="460" spans="2:10" ht="13.8" x14ac:dyDescent="0.3">
      <c r="B460" s="36"/>
      <c r="C460" s="36"/>
      <c r="D460" s="36"/>
      <c r="E460" s="36"/>
      <c r="F460" s="36"/>
      <c r="G460" s="36"/>
      <c r="H460" s="36"/>
      <c r="I460" s="36"/>
      <c r="J460" s="44"/>
    </row>
    <row r="461" spans="2:10" ht="13.8" x14ac:dyDescent="0.3">
      <c r="B461" s="36"/>
      <c r="C461" s="36"/>
      <c r="D461" s="36"/>
      <c r="E461" s="36"/>
      <c r="F461" s="36"/>
      <c r="G461" s="36"/>
      <c r="H461" s="36"/>
      <c r="I461" s="36"/>
      <c r="J461" s="44"/>
    </row>
    <row r="462" spans="2:10" ht="13.8" x14ac:dyDescent="0.3">
      <c r="B462" s="36"/>
      <c r="C462" s="36"/>
      <c r="D462" s="36"/>
      <c r="E462" s="36"/>
      <c r="F462" s="36"/>
      <c r="G462" s="36"/>
      <c r="H462" s="36"/>
      <c r="I462" s="36"/>
      <c r="J462" s="44"/>
    </row>
    <row r="463" spans="2:10" ht="13.8" x14ac:dyDescent="0.3">
      <c r="B463" s="36"/>
      <c r="C463" s="36"/>
      <c r="D463" s="36"/>
      <c r="E463" s="36"/>
      <c r="F463" s="36"/>
      <c r="G463" s="36"/>
      <c r="H463" s="36"/>
      <c r="I463" s="36"/>
      <c r="J463" s="44"/>
    </row>
    <row r="464" spans="2:10" ht="13.8" x14ac:dyDescent="0.3">
      <c r="B464" s="36"/>
      <c r="C464" s="36"/>
      <c r="D464" s="36"/>
      <c r="E464" s="36"/>
      <c r="F464" s="36"/>
      <c r="G464" s="36"/>
      <c r="H464" s="36"/>
      <c r="I464" s="36"/>
      <c r="J464" s="44"/>
    </row>
    <row r="465" spans="2:10" ht="13.8" x14ac:dyDescent="0.3">
      <c r="B465" s="36"/>
      <c r="C465" s="36"/>
      <c r="D465" s="36"/>
      <c r="E465" s="36"/>
      <c r="F465" s="36"/>
      <c r="G465" s="36"/>
      <c r="H465" s="36"/>
      <c r="I465" s="36"/>
      <c r="J465" s="44"/>
    </row>
    <row r="466" spans="2:10" ht="13.8" x14ac:dyDescent="0.3">
      <c r="B466" s="36"/>
      <c r="C466" s="36"/>
      <c r="D466" s="36"/>
      <c r="E466" s="36"/>
      <c r="F466" s="36"/>
      <c r="G466" s="36"/>
      <c r="H466" s="36"/>
      <c r="I466" s="36"/>
      <c r="J466" s="44"/>
    </row>
    <row r="467" spans="2:10" ht="13.8" x14ac:dyDescent="0.3">
      <c r="B467" s="36"/>
      <c r="C467" s="36"/>
      <c r="D467" s="36"/>
      <c r="E467" s="36"/>
      <c r="F467" s="36"/>
      <c r="G467" s="36"/>
      <c r="H467" s="36"/>
      <c r="I467" s="36"/>
      <c r="J467" s="44"/>
    </row>
    <row r="468" spans="2:10" ht="13.8" x14ac:dyDescent="0.3">
      <c r="B468" s="36"/>
      <c r="C468" s="36"/>
      <c r="D468" s="36"/>
      <c r="E468" s="36"/>
      <c r="F468" s="36"/>
      <c r="G468" s="36"/>
      <c r="H468" s="36"/>
      <c r="I468" s="36"/>
      <c r="J468" s="44"/>
    </row>
    <row r="469" spans="2:10" ht="13.8" x14ac:dyDescent="0.3">
      <c r="B469" s="36"/>
      <c r="C469" s="36"/>
      <c r="D469" s="36"/>
      <c r="E469" s="36"/>
      <c r="F469" s="36"/>
      <c r="G469" s="36"/>
      <c r="H469" s="36"/>
      <c r="I469" s="36"/>
      <c r="J469" s="44"/>
    </row>
    <row r="470" spans="2:10" ht="13.8" x14ac:dyDescent="0.3">
      <c r="B470" s="36"/>
      <c r="C470" s="36"/>
      <c r="D470" s="36"/>
      <c r="E470" s="36"/>
      <c r="F470" s="36"/>
      <c r="G470" s="36"/>
      <c r="H470" s="36"/>
      <c r="I470" s="36"/>
      <c r="J470" s="44"/>
    </row>
    <row r="471" spans="2:10" ht="13.8" x14ac:dyDescent="0.3">
      <c r="B471" s="36"/>
      <c r="C471" s="36"/>
      <c r="D471" s="36"/>
      <c r="E471" s="36"/>
      <c r="F471" s="36"/>
      <c r="G471" s="36"/>
      <c r="H471" s="36"/>
      <c r="I471" s="36"/>
      <c r="J471" s="44"/>
    </row>
    <row r="472" spans="2:10" ht="13.8" x14ac:dyDescent="0.3">
      <c r="B472" s="36"/>
      <c r="C472" s="36"/>
      <c r="D472" s="36"/>
      <c r="E472" s="36"/>
      <c r="F472" s="36"/>
      <c r="G472" s="36"/>
      <c r="H472" s="36"/>
      <c r="I472" s="36"/>
      <c r="J472" s="44"/>
    </row>
    <row r="473" spans="2:10" ht="13.8" x14ac:dyDescent="0.3">
      <c r="B473" s="36"/>
      <c r="C473" s="36"/>
      <c r="D473" s="36"/>
      <c r="E473" s="36"/>
      <c r="F473" s="36"/>
      <c r="G473" s="36"/>
      <c r="H473" s="36"/>
      <c r="I473" s="36"/>
      <c r="J473" s="44"/>
    </row>
    <row r="474" spans="2:10" ht="13.8" x14ac:dyDescent="0.3">
      <c r="B474" s="36"/>
      <c r="C474" s="36"/>
      <c r="D474" s="36"/>
      <c r="E474" s="36"/>
      <c r="F474" s="36"/>
      <c r="G474" s="36"/>
      <c r="H474" s="36"/>
      <c r="I474" s="36"/>
      <c r="J474" s="44"/>
    </row>
    <row r="475" spans="2:10" ht="13.8" x14ac:dyDescent="0.3">
      <c r="B475" s="36"/>
      <c r="C475" s="36"/>
      <c r="D475" s="36"/>
      <c r="E475" s="36"/>
      <c r="F475" s="36"/>
      <c r="G475" s="36"/>
      <c r="H475" s="36"/>
      <c r="I475" s="36"/>
      <c r="J475" s="44"/>
    </row>
    <row r="476" spans="2:10" ht="13.8" x14ac:dyDescent="0.3">
      <c r="B476" s="36"/>
      <c r="C476" s="36"/>
      <c r="D476" s="36"/>
      <c r="E476" s="36"/>
      <c r="F476" s="36"/>
      <c r="G476" s="36"/>
      <c r="H476" s="36"/>
      <c r="I476" s="36"/>
      <c r="J476" s="44"/>
    </row>
    <row r="477" spans="2:10" ht="13.8" x14ac:dyDescent="0.3">
      <c r="B477" s="36"/>
      <c r="C477" s="36"/>
      <c r="D477" s="36"/>
      <c r="E477" s="36"/>
      <c r="F477" s="36"/>
      <c r="G477" s="36"/>
      <c r="H477" s="36"/>
      <c r="I477" s="36"/>
      <c r="J477" s="44"/>
    </row>
    <row r="478" spans="2:10" ht="13.8" x14ac:dyDescent="0.3">
      <c r="B478" s="36"/>
      <c r="C478" s="36"/>
      <c r="D478" s="36"/>
      <c r="E478" s="36"/>
      <c r="F478" s="36"/>
      <c r="G478" s="36"/>
      <c r="H478" s="36"/>
      <c r="I478" s="36"/>
      <c r="J478" s="44"/>
    </row>
    <row r="479" spans="2:10" ht="13.8" x14ac:dyDescent="0.3">
      <c r="B479" s="36"/>
      <c r="C479" s="36"/>
      <c r="D479" s="36"/>
      <c r="E479" s="36"/>
      <c r="F479" s="36"/>
      <c r="G479" s="36"/>
      <c r="H479" s="36"/>
      <c r="I479" s="36"/>
      <c r="J479" s="44"/>
    </row>
    <row r="480" spans="2:10" ht="13.8" x14ac:dyDescent="0.3">
      <c r="B480" s="36"/>
      <c r="C480" s="36"/>
      <c r="D480" s="36"/>
      <c r="E480" s="36"/>
      <c r="F480" s="36"/>
      <c r="G480" s="36"/>
      <c r="H480" s="36"/>
      <c r="I480" s="36"/>
      <c r="J480" s="44"/>
    </row>
    <row r="481" spans="2:10" ht="13.8" x14ac:dyDescent="0.3">
      <c r="B481" s="36"/>
      <c r="C481" s="36"/>
      <c r="D481" s="36"/>
      <c r="E481" s="36"/>
      <c r="F481" s="36"/>
      <c r="G481" s="36"/>
      <c r="H481" s="36"/>
      <c r="I481" s="36"/>
      <c r="J481" s="44"/>
    </row>
    <row r="482" spans="2:10" ht="13.8" x14ac:dyDescent="0.3">
      <c r="B482" s="36"/>
      <c r="C482" s="36"/>
      <c r="D482" s="36"/>
      <c r="E482" s="36"/>
      <c r="F482" s="36"/>
      <c r="G482" s="36"/>
      <c r="H482" s="36"/>
      <c r="I482" s="36"/>
      <c r="J482" s="44"/>
    </row>
    <row r="483" spans="2:10" ht="13.8" x14ac:dyDescent="0.3">
      <c r="B483" s="36"/>
      <c r="C483" s="36"/>
      <c r="D483" s="36"/>
      <c r="E483" s="36"/>
      <c r="F483" s="36"/>
      <c r="G483" s="36"/>
      <c r="H483" s="36"/>
      <c r="I483" s="36"/>
      <c r="J483" s="44"/>
    </row>
    <row r="484" spans="2:10" ht="13.8" x14ac:dyDescent="0.3">
      <c r="B484" s="36"/>
      <c r="C484" s="36"/>
      <c r="D484" s="36"/>
      <c r="E484" s="36"/>
      <c r="F484" s="36"/>
      <c r="G484" s="36"/>
      <c r="H484" s="36"/>
      <c r="I484" s="36"/>
      <c r="J484" s="44"/>
    </row>
    <row r="485" spans="2:10" ht="13.8" x14ac:dyDescent="0.3">
      <c r="B485" s="36"/>
      <c r="C485" s="36"/>
      <c r="D485" s="36"/>
      <c r="E485" s="36"/>
      <c r="F485" s="36"/>
      <c r="G485" s="36"/>
      <c r="H485" s="36"/>
      <c r="I485" s="36"/>
      <c r="J485" s="44"/>
    </row>
    <row r="486" spans="2:10" ht="13.8" x14ac:dyDescent="0.3">
      <c r="B486" s="36"/>
      <c r="C486" s="36"/>
      <c r="D486" s="36"/>
      <c r="E486" s="36"/>
      <c r="F486" s="36"/>
      <c r="G486" s="36"/>
      <c r="H486" s="36"/>
      <c r="I486" s="36"/>
      <c r="J486" s="44"/>
    </row>
    <row r="487" spans="2:10" ht="13.8" x14ac:dyDescent="0.3">
      <c r="B487" s="36"/>
      <c r="C487" s="36"/>
      <c r="D487" s="36"/>
      <c r="E487" s="36"/>
      <c r="F487" s="36"/>
      <c r="G487" s="36"/>
      <c r="H487" s="36"/>
      <c r="I487" s="36"/>
      <c r="J487" s="44"/>
    </row>
    <row r="488" spans="2:10" ht="13.8" x14ac:dyDescent="0.3">
      <c r="B488" s="36"/>
      <c r="C488" s="36"/>
      <c r="D488" s="36"/>
      <c r="E488" s="36"/>
      <c r="F488" s="36"/>
      <c r="G488" s="36"/>
      <c r="H488" s="36"/>
      <c r="I488" s="36"/>
      <c r="J488" s="44"/>
    </row>
    <row r="489" spans="2:10" ht="13.8" x14ac:dyDescent="0.3">
      <c r="B489" s="36"/>
      <c r="C489" s="36"/>
      <c r="D489" s="36"/>
      <c r="E489" s="36"/>
      <c r="F489" s="36"/>
      <c r="G489" s="36"/>
      <c r="H489" s="36"/>
      <c r="I489" s="36"/>
      <c r="J489" s="44"/>
    </row>
    <row r="490" spans="2:10" ht="13.8" x14ac:dyDescent="0.3">
      <c r="B490" s="36"/>
      <c r="C490" s="36"/>
      <c r="D490" s="36"/>
      <c r="E490" s="36"/>
      <c r="F490" s="36"/>
      <c r="G490" s="36"/>
      <c r="H490" s="36"/>
      <c r="I490" s="36"/>
      <c r="J490" s="44"/>
    </row>
    <row r="491" spans="2:10" ht="13.8" x14ac:dyDescent="0.3">
      <c r="B491" s="36"/>
      <c r="C491" s="36"/>
      <c r="D491" s="36"/>
      <c r="E491" s="36"/>
      <c r="F491" s="36"/>
      <c r="G491" s="36"/>
      <c r="H491" s="36"/>
      <c r="I491" s="36"/>
      <c r="J491" s="44"/>
    </row>
    <row r="492" spans="2:10" ht="13.8" x14ac:dyDescent="0.3">
      <c r="B492" s="36"/>
      <c r="C492" s="36"/>
      <c r="D492" s="36"/>
      <c r="E492" s="36"/>
      <c r="F492" s="36"/>
      <c r="G492" s="36"/>
      <c r="H492" s="36"/>
      <c r="I492" s="36"/>
      <c r="J492" s="44"/>
    </row>
    <row r="493" spans="2:10" ht="13.8" x14ac:dyDescent="0.3">
      <c r="B493" s="36"/>
      <c r="C493" s="36"/>
      <c r="D493" s="36"/>
      <c r="E493" s="36"/>
      <c r="F493" s="36"/>
      <c r="G493" s="36"/>
      <c r="H493" s="36"/>
      <c r="I493" s="36"/>
      <c r="J493" s="44"/>
    </row>
    <row r="494" spans="2:10" ht="13.8" x14ac:dyDescent="0.3">
      <c r="B494" s="36"/>
      <c r="C494" s="36"/>
      <c r="D494" s="36"/>
      <c r="E494" s="36"/>
      <c r="F494" s="36"/>
      <c r="G494" s="36"/>
      <c r="H494" s="36"/>
      <c r="I494" s="36"/>
      <c r="J494" s="44"/>
    </row>
    <row r="495" spans="2:10" ht="13.8" x14ac:dyDescent="0.3">
      <c r="B495" s="36"/>
      <c r="C495" s="36"/>
      <c r="D495" s="36"/>
      <c r="E495" s="36"/>
      <c r="F495" s="36"/>
      <c r="G495" s="36"/>
      <c r="H495" s="36"/>
      <c r="I495" s="36"/>
      <c r="J495" s="44"/>
    </row>
    <row r="496" spans="2:10" ht="13.8" x14ac:dyDescent="0.3">
      <c r="B496" s="36"/>
      <c r="C496" s="36"/>
      <c r="D496" s="36"/>
      <c r="E496" s="36"/>
      <c r="F496" s="36"/>
      <c r="G496" s="36"/>
      <c r="H496" s="36"/>
      <c r="I496" s="36"/>
      <c r="J496" s="44"/>
    </row>
    <row r="497" spans="2:10" ht="13.8" x14ac:dyDescent="0.3">
      <c r="B497" s="36"/>
      <c r="C497" s="36"/>
      <c r="D497" s="36"/>
      <c r="E497" s="36"/>
      <c r="F497" s="36"/>
      <c r="G497" s="36"/>
      <c r="H497" s="36"/>
      <c r="I497" s="36"/>
      <c r="J497" s="44"/>
    </row>
    <row r="498" spans="2:10" ht="13.8" x14ac:dyDescent="0.3">
      <c r="B498" s="36"/>
      <c r="C498" s="36"/>
      <c r="D498" s="36"/>
      <c r="E498" s="36"/>
      <c r="F498" s="36"/>
      <c r="G498" s="36"/>
      <c r="H498" s="36"/>
      <c r="I498" s="36"/>
      <c r="J498" s="44"/>
    </row>
    <row r="499" spans="2:10" ht="13.8" x14ac:dyDescent="0.3">
      <c r="B499" s="36"/>
      <c r="C499" s="36"/>
      <c r="D499" s="36"/>
      <c r="E499" s="36"/>
      <c r="F499" s="36"/>
      <c r="G499" s="36"/>
      <c r="H499" s="36"/>
      <c r="I499" s="36"/>
      <c r="J499" s="44"/>
    </row>
    <row r="500" spans="2:10" ht="13.8" x14ac:dyDescent="0.3">
      <c r="B500" s="36"/>
      <c r="C500" s="36"/>
      <c r="D500" s="36"/>
      <c r="E500" s="36"/>
      <c r="F500" s="36"/>
      <c r="G500" s="36"/>
      <c r="H500" s="36"/>
      <c r="I500" s="36"/>
      <c r="J500" s="44"/>
    </row>
    <row r="501" spans="2:10" ht="13.8" x14ac:dyDescent="0.3">
      <c r="B501" s="36"/>
      <c r="C501" s="36"/>
      <c r="D501" s="36"/>
      <c r="E501" s="36"/>
      <c r="F501" s="36"/>
      <c r="G501" s="36"/>
      <c r="H501" s="36"/>
      <c r="I501" s="36"/>
      <c r="J501" s="44"/>
    </row>
    <row r="502" spans="2:10" ht="13.8" x14ac:dyDescent="0.3">
      <c r="B502" s="36"/>
      <c r="C502" s="36"/>
      <c r="D502" s="36"/>
      <c r="E502" s="36"/>
      <c r="F502" s="36"/>
      <c r="G502" s="36"/>
      <c r="H502" s="36"/>
      <c r="I502" s="36"/>
      <c r="J502" s="44"/>
    </row>
    <row r="503" spans="2:10" ht="13.8" x14ac:dyDescent="0.3">
      <c r="B503" s="36"/>
      <c r="C503" s="36"/>
      <c r="D503" s="36"/>
      <c r="E503" s="36"/>
      <c r="F503" s="36"/>
      <c r="G503" s="36"/>
      <c r="H503" s="36"/>
      <c r="I503" s="36"/>
      <c r="J503" s="44"/>
    </row>
    <row r="504" spans="2:10" ht="13.8" x14ac:dyDescent="0.3">
      <c r="B504" s="36"/>
      <c r="C504" s="36"/>
      <c r="D504" s="36"/>
      <c r="E504" s="36"/>
      <c r="F504" s="36"/>
      <c r="G504" s="36"/>
      <c r="H504" s="36"/>
      <c r="I504" s="36"/>
      <c r="J504" s="44"/>
    </row>
    <row r="505" spans="2:10" ht="13.8" x14ac:dyDescent="0.3">
      <c r="B505" s="36"/>
      <c r="C505" s="36"/>
      <c r="D505" s="36"/>
      <c r="E505" s="36"/>
      <c r="F505" s="36"/>
      <c r="G505" s="36"/>
      <c r="H505" s="36"/>
      <c r="I505" s="36"/>
      <c r="J505" s="44"/>
    </row>
    <row r="506" spans="2:10" ht="13.8" x14ac:dyDescent="0.3">
      <c r="B506" s="36"/>
      <c r="C506" s="36"/>
      <c r="D506" s="36"/>
      <c r="E506" s="36"/>
      <c r="F506" s="36"/>
      <c r="G506" s="36"/>
      <c r="H506" s="36"/>
      <c r="I506" s="36"/>
      <c r="J506" s="44"/>
    </row>
    <row r="507" spans="2:10" ht="13.8" x14ac:dyDescent="0.3">
      <c r="B507" s="36"/>
      <c r="C507" s="36"/>
      <c r="D507" s="36"/>
      <c r="E507" s="36"/>
      <c r="F507" s="36"/>
      <c r="G507" s="36"/>
      <c r="H507" s="36"/>
      <c r="I507" s="36"/>
      <c r="J507" s="44"/>
    </row>
    <row r="508" spans="2:10" ht="13.8" x14ac:dyDescent="0.3">
      <c r="B508" s="36"/>
      <c r="C508" s="36"/>
      <c r="D508" s="36"/>
      <c r="E508" s="36"/>
      <c r="F508" s="36"/>
      <c r="G508" s="36"/>
      <c r="H508" s="36"/>
      <c r="I508" s="36"/>
      <c r="J508" s="44"/>
    </row>
    <row r="509" spans="2:10" ht="13.8" x14ac:dyDescent="0.3">
      <c r="B509" s="36"/>
      <c r="C509" s="36"/>
      <c r="D509" s="36"/>
      <c r="E509" s="36"/>
      <c r="F509" s="36"/>
      <c r="G509" s="36"/>
      <c r="H509" s="36"/>
      <c r="I509" s="36"/>
      <c r="J509" s="44"/>
    </row>
  </sheetData>
  <sheetProtection selectLockedCells="1"/>
  <phoneticPr fontId="1" type="noConversion"/>
  <dataValidations count="2">
    <dataValidation type="list" allowBlank="1" showInputMessage="1" showErrorMessage="1" sqref="I7" xr:uid="{00000000-0002-0000-0000-000000000000}">
      <formula1>"Gs (Assumed):,Gs (Actual):"</formula1>
    </dataValidation>
    <dataValidation type="list" allowBlank="1" showInputMessage="1" showErrorMessage="1" sqref="B9:J9" xr:uid="{00000000-0002-0000-0000-000001000000}">
      <formula1>$1:$1</formula1>
    </dataValidation>
  </dataValidations>
  <printOptions horizontalCentered="1"/>
  <pageMargins left="0.25" right="0.25" top="0.25" bottom="0.93" header="0.3" footer="0.26"/>
  <pageSetup scale="96" fitToHeight="10" orientation="portrait" horizontalDpi="4294967294" r:id="rId1"/>
  <headerFooter alignWithMargins="0">
    <oddFooter>&amp;LPerfromed By:________________
Reviewed By:_________________&amp;RDate:______________
Date:______________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H5:AK32"/>
  <sheetViews>
    <sheetView workbookViewId="0">
      <selection sqref="A1:XFD1048576"/>
    </sheetView>
  </sheetViews>
  <sheetFormatPr defaultRowHeight="13.2" x14ac:dyDescent="0.25"/>
  <cols>
    <col min="1" max="7" width="8.88671875" style="7"/>
    <col min="8" max="8" width="8.88671875" style="9"/>
    <col min="9" max="9" width="16.21875" style="7" customWidth="1"/>
    <col min="10" max="10" width="17.88671875" style="7" customWidth="1"/>
    <col min="11" max="11" width="11.109375" style="7" bestFit="1" customWidth="1"/>
    <col min="12" max="13" width="8.88671875" style="7"/>
    <col min="14" max="15" width="8.88671875" style="7" customWidth="1"/>
    <col min="16" max="16" width="10.33203125" style="7" customWidth="1"/>
    <col min="17" max="38" width="8.88671875" style="7" customWidth="1"/>
    <col min="39" max="16384" width="8.88671875" style="7"/>
  </cols>
  <sheetData>
    <row r="5" spans="8:37" x14ac:dyDescent="0.25">
      <c r="H5" s="19"/>
      <c r="I5" s="8"/>
      <c r="J5"/>
      <c r="K5" s="8"/>
      <c r="AJ5" s="15"/>
      <c r="AK5" s="15"/>
    </row>
    <row r="6" spans="8:37" x14ac:dyDescent="0.25">
      <c r="H6" s="19"/>
      <c r="I6" s="8"/>
      <c r="J6"/>
      <c r="K6" s="8"/>
      <c r="AJ6" s="15"/>
      <c r="AK6" s="15"/>
    </row>
    <row r="7" spans="8:37" x14ac:dyDescent="0.25">
      <c r="H7" s="19"/>
      <c r="I7" s="8"/>
      <c r="J7"/>
      <c r="K7" s="8"/>
      <c r="AJ7" s="15"/>
      <c r="AK7" s="15"/>
    </row>
    <row r="8" spans="8:37" x14ac:dyDescent="0.25">
      <c r="H8" s="19"/>
      <c r="I8" s="8"/>
      <c r="J8"/>
      <c r="K8" s="8"/>
      <c r="AJ8" s="15"/>
      <c r="AK8" s="15"/>
    </row>
    <row r="9" spans="8:37" x14ac:dyDescent="0.25">
      <c r="H9" s="19"/>
      <c r="I9" s="8"/>
      <c r="J9"/>
      <c r="K9" s="8"/>
      <c r="AJ9" s="15"/>
      <c r="AK9" s="15"/>
    </row>
    <row r="10" spans="8:37" x14ac:dyDescent="0.25">
      <c r="H10" s="19"/>
      <c r="I10" s="8"/>
      <c r="J10"/>
      <c r="K10" s="8"/>
      <c r="AJ10" s="15"/>
      <c r="AK10" s="15"/>
    </row>
    <row r="11" spans="8:37" x14ac:dyDescent="0.25">
      <c r="H11" s="19"/>
      <c r="I11" s="8"/>
      <c r="J11"/>
      <c r="K11" s="8"/>
      <c r="AJ11" s="15"/>
      <c r="AK11" s="15"/>
    </row>
    <row r="12" spans="8:37" x14ac:dyDescent="0.25">
      <c r="H12" s="19"/>
      <c r="I12" s="8"/>
      <c r="J12" s="20"/>
      <c r="K12" s="8"/>
      <c r="AJ12" s="15"/>
      <c r="AK12" s="15"/>
    </row>
    <row r="13" spans="8:37" x14ac:dyDescent="0.25">
      <c r="H13" s="19"/>
      <c r="I13" s="8"/>
      <c r="J13" s="20"/>
      <c r="K13" s="8"/>
      <c r="AJ13" s="15"/>
      <c r="AK13" s="15"/>
    </row>
    <row r="14" spans="8:37" x14ac:dyDescent="0.25">
      <c r="H14" s="19"/>
      <c r="I14" s="8"/>
      <c r="J14" s="20"/>
      <c r="K14" s="8"/>
      <c r="AJ14" s="15"/>
      <c r="AK14" s="15"/>
    </row>
    <row r="15" spans="8:37" x14ac:dyDescent="0.25">
      <c r="H15" s="19"/>
      <c r="I15" s="8"/>
      <c r="J15" s="20"/>
      <c r="K15" s="8"/>
      <c r="AJ15" s="15"/>
      <c r="AK15" s="15"/>
    </row>
    <row r="16" spans="8:37" x14ac:dyDescent="0.25">
      <c r="H16" s="19"/>
      <c r="I16" s="8"/>
      <c r="J16" s="20"/>
      <c r="K16" s="8"/>
      <c r="AJ16" s="15"/>
      <c r="AK16" s="15"/>
    </row>
    <row r="17" spans="8:37" x14ac:dyDescent="0.25">
      <c r="H17" s="19"/>
      <c r="I17" s="8"/>
      <c r="J17" s="20"/>
      <c r="K17" s="8"/>
      <c r="AJ17" s="15"/>
      <c r="AK17" s="15"/>
    </row>
    <row r="18" spans="8:37" x14ac:dyDescent="0.25">
      <c r="H18" s="19"/>
      <c r="I18" s="8"/>
      <c r="J18" s="20"/>
      <c r="K18" s="8"/>
      <c r="AJ18" s="15"/>
      <c r="AK18" s="15"/>
    </row>
    <row r="19" spans="8:37" x14ac:dyDescent="0.25">
      <c r="H19" s="19"/>
      <c r="I19" s="8"/>
      <c r="J19" s="20"/>
      <c r="K19" s="8"/>
      <c r="AJ19" s="15"/>
      <c r="AK19" s="15"/>
    </row>
    <row r="20" spans="8:37" x14ac:dyDescent="0.25">
      <c r="H20" s="19"/>
      <c r="I20" s="8"/>
      <c r="J20"/>
      <c r="K20" s="8"/>
      <c r="AJ20" s="15"/>
      <c r="AK20" s="15"/>
    </row>
    <row r="21" spans="8:37" x14ac:dyDescent="0.25">
      <c r="H21" s="19"/>
      <c r="I21" s="8"/>
      <c r="J21"/>
      <c r="K21" s="8"/>
      <c r="AJ21" s="15"/>
      <c r="AK21" s="15"/>
    </row>
    <row r="22" spans="8:37" x14ac:dyDescent="0.25">
      <c r="H22" s="19"/>
      <c r="I22" s="8"/>
      <c r="J22"/>
      <c r="K22" s="8"/>
      <c r="AJ22" s="15"/>
      <c r="AK22" s="15"/>
    </row>
    <row r="23" spans="8:37" x14ac:dyDescent="0.25">
      <c r="H23" s="19"/>
      <c r="I23" s="8"/>
      <c r="J23"/>
      <c r="K23" s="8"/>
      <c r="AJ23" s="15"/>
      <c r="AK23" s="15"/>
    </row>
    <row r="24" spans="8:37" x14ac:dyDescent="0.25">
      <c r="H24" s="19"/>
      <c r="I24" s="8"/>
      <c r="J24"/>
      <c r="K24" s="8"/>
      <c r="AJ24" s="15"/>
      <c r="AK24" s="15"/>
    </row>
    <row r="25" spans="8:37" x14ac:dyDescent="0.25">
      <c r="H25" s="19"/>
      <c r="J25"/>
      <c r="AJ25" s="15"/>
      <c r="AK25" s="15"/>
    </row>
    <row r="26" spans="8:37" x14ac:dyDescent="0.25">
      <c r="O26" s="11"/>
      <c r="P26" s="10"/>
    </row>
    <row r="27" spans="8:37" x14ac:dyDescent="0.25">
      <c r="O27" s="11"/>
      <c r="P27" s="10"/>
    </row>
    <row r="28" spans="8:37" x14ac:dyDescent="0.25">
      <c r="O28" s="11"/>
      <c r="P28" s="10"/>
    </row>
    <row r="29" spans="8:37" x14ac:dyDescent="0.25">
      <c r="O29" s="11"/>
      <c r="P29" s="10"/>
    </row>
    <row r="30" spans="8:37" x14ac:dyDescent="0.25">
      <c r="O30" s="11"/>
      <c r="P30" s="10"/>
    </row>
    <row r="31" spans="8:37" x14ac:dyDescent="0.25">
      <c r="O31" s="11"/>
      <c r="P31" s="10"/>
    </row>
    <row r="32" spans="8:37" x14ac:dyDescent="0.25">
      <c r="O32" s="11"/>
      <c r="P32" s="10"/>
    </row>
  </sheetData>
  <sheetProtection formatCells="0" formatColumns="0" formatRows="0"/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B502"/>
  <sheetViews>
    <sheetView zoomScale="90" workbookViewId="0">
      <selection activeCell="M494" sqref="M494"/>
    </sheetView>
  </sheetViews>
  <sheetFormatPr defaultRowHeight="13.2" x14ac:dyDescent="0.25"/>
  <cols>
    <col min="7" max="7" width="8.88671875" customWidth="1"/>
    <col min="10" max="10" width="12.44140625" bestFit="1" customWidth="1"/>
    <col min="11" max="11" width="9.77734375" customWidth="1"/>
    <col min="12" max="13" width="10.21875" customWidth="1"/>
    <col min="25" max="25" width="8.88671875" customWidth="1"/>
  </cols>
  <sheetData>
    <row r="1" spans="1:54" x14ac:dyDescent="0.25">
      <c r="A1" t="s">
        <v>6</v>
      </c>
      <c r="B1" s="32" t="s">
        <v>19</v>
      </c>
      <c r="C1" s="32" t="s">
        <v>20</v>
      </c>
      <c r="D1" s="32" t="s">
        <v>21</v>
      </c>
      <c r="E1" s="32" t="s">
        <v>22</v>
      </c>
      <c r="F1" s="32" t="s">
        <v>23</v>
      </c>
      <c r="G1" s="32" t="s">
        <v>24</v>
      </c>
      <c r="H1" s="32" t="s">
        <v>25</v>
      </c>
      <c r="I1" s="32" t="s">
        <v>26</v>
      </c>
      <c r="J1" s="32" t="s">
        <v>27</v>
      </c>
      <c r="K1" s="32" t="s">
        <v>28</v>
      </c>
      <c r="L1" s="32" t="s">
        <v>18</v>
      </c>
      <c r="M1" s="32" t="s">
        <v>29</v>
      </c>
      <c r="N1" s="32"/>
      <c r="O1" s="31">
        <f>'mnt Data'!A4</f>
        <v>0</v>
      </c>
      <c r="P1" s="31">
        <f>'mnt Data'!B4</f>
        <v>0</v>
      </c>
      <c r="Q1" s="31">
        <f>'mnt Data'!C4</f>
        <v>0</v>
      </c>
      <c r="R1" s="31">
        <f>'mnt Data'!D4</f>
        <v>0</v>
      </c>
      <c r="S1" s="31">
        <f>'mnt Data'!E4</f>
        <v>0</v>
      </c>
      <c r="T1" s="31">
        <f>'mnt Data'!F4</f>
        <v>0</v>
      </c>
      <c r="U1" s="31">
        <f>'mnt Data'!G4</f>
        <v>0</v>
      </c>
      <c r="V1" s="31">
        <f>'mnt Data'!H4</f>
        <v>0</v>
      </c>
      <c r="W1" s="31">
        <f>'mnt Data'!I4</f>
        <v>0</v>
      </c>
      <c r="X1" s="31">
        <f>'mnt Data'!J4</f>
        <v>0</v>
      </c>
      <c r="Y1" s="31">
        <f>'mnt Data'!K4</f>
        <v>0</v>
      </c>
      <c r="Z1" s="31">
        <f>'mnt Data'!L4</f>
        <v>0</v>
      </c>
      <c r="AA1" s="31">
        <f>'mnt Data'!M4</f>
        <v>0</v>
      </c>
      <c r="AB1" s="31">
        <f>'mnt Data'!N4</f>
        <v>0</v>
      </c>
      <c r="AC1" s="31">
        <f>'mnt Data'!O4</f>
        <v>0</v>
      </c>
      <c r="AD1" s="31">
        <f>'mnt Data'!P4</f>
        <v>0</v>
      </c>
      <c r="AE1" s="31">
        <f>'mnt Data'!Q4</f>
        <v>0</v>
      </c>
      <c r="AF1" s="31">
        <f>'mnt Data'!R4</f>
        <v>0</v>
      </c>
      <c r="AG1" s="31">
        <f>'mnt Data'!S4</f>
        <v>0</v>
      </c>
      <c r="AH1" s="31">
        <f>'mnt Data'!T4</f>
        <v>0</v>
      </c>
      <c r="AI1" s="31">
        <f>'mnt Data'!U4</f>
        <v>0</v>
      </c>
      <c r="AJ1" s="31">
        <f>'mnt Data'!V4</f>
        <v>0</v>
      </c>
      <c r="AK1" s="31">
        <f>'mnt Data'!W4</f>
        <v>0</v>
      </c>
      <c r="AL1" s="31">
        <f>'mnt Data'!X4</f>
        <v>0</v>
      </c>
      <c r="AM1" s="31">
        <f>'mnt Data'!Y4</f>
        <v>0</v>
      </c>
      <c r="AN1" s="31">
        <f>'mnt Data'!Z4</f>
        <v>0</v>
      </c>
      <c r="AO1" s="31">
        <f>'mnt Data'!AA4</f>
        <v>0</v>
      </c>
      <c r="AP1" s="31">
        <f>'mnt Data'!AB4</f>
        <v>0</v>
      </c>
      <c r="AQ1" s="31">
        <f>'mnt Data'!AC4</f>
        <v>0</v>
      </c>
      <c r="AR1" s="31">
        <f>'mnt Data'!AD4</f>
        <v>0</v>
      </c>
      <c r="AS1" s="31">
        <f>'mnt Data'!AE4</f>
        <v>0</v>
      </c>
      <c r="AT1" s="31">
        <f>'mnt Data'!AF4</f>
        <v>0</v>
      </c>
      <c r="AU1" s="31">
        <f>'mnt Data'!AG4</f>
        <v>0</v>
      </c>
      <c r="AV1" s="31">
        <f>'mnt Data'!AH4</f>
        <v>0</v>
      </c>
      <c r="AW1" s="31">
        <f>'mnt Data'!AI4</f>
        <v>0</v>
      </c>
      <c r="AX1" s="31">
        <f>'mnt Data'!AJ4</f>
        <v>0</v>
      </c>
      <c r="AY1" s="31">
        <f>'mnt Data'!AK4</f>
        <v>0</v>
      </c>
      <c r="AZ1" s="31"/>
      <c r="BA1" s="31"/>
      <c r="BB1" s="31"/>
    </row>
    <row r="2" spans="1:54" x14ac:dyDescent="0.25">
      <c r="A2">
        <v>1</v>
      </c>
      <c r="B2" s="32">
        <f>O2</f>
        <v>0</v>
      </c>
      <c r="C2" s="32">
        <f>O2*(Q2/100)</f>
        <v>0</v>
      </c>
      <c r="D2" s="32" t="str">
        <f t="shared" ref="D2:D65" si="0">IFERROR(B2/(Gs*(IF(O2&gt;1000,998,62.4))),"No Gs")</f>
        <v>No Gs</v>
      </c>
      <c r="E2" s="32">
        <f>C2/(IF(O2&gt;1000,998,62.4))</f>
        <v>0</v>
      </c>
      <c r="F2" s="32" t="str">
        <f>IFERROR(1-D2-E2,"No Gs")</f>
        <v>No Gs</v>
      </c>
      <c r="G2" s="32" t="str">
        <f>IFERROR(E2+F2,"No Gs")</f>
        <v>No Gs</v>
      </c>
      <c r="H2" s="32" t="str">
        <f>IFERROR(E2/G2,"Gs is needed")</f>
        <v>Gs is needed</v>
      </c>
      <c r="I2" s="32" t="str">
        <f>IFERROR(G2/1,"Gs is needed")</f>
        <v>Gs is needed</v>
      </c>
      <c r="J2" s="32" t="str">
        <f>IFERROR(G2/D2,"Gs is needed")</f>
        <v>Gs is needed</v>
      </c>
      <c r="K2" s="32" t="str">
        <f>IFERROR((100*(DMax*(O2-DMin))/(O2*(DMax-DMin))),"Need Max and Min")</f>
        <v>Need Max and Min</v>
      </c>
      <c r="L2" s="32" t="str">
        <f t="shared" ref="L2:L65" si="1">IF(K2="Need Max and Min",K2,(100*((O2-DMin)/(DMax-DMin))))</f>
        <v>Need Max and Min</v>
      </c>
      <c r="M2" s="32" t="str">
        <f t="shared" ref="M2:M65" si="2">IF((Min+Max)=0,"Need Max and Min Density",IF(AND(S2&gt;Min,S2&lt;Max),"Pass","Fail"))</f>
        <v>Fail</v>
      </c>
      <c r="N2" s="32"/>
      <c r="O2" s="31">
        <f>'mnt Data'!A5</f>
        <v>0</v>
      </c>
      <c r="P2" s="31">
        <f>'mnt Data'!B5</f>
        <v>0</v>
      </c>
      <c r="Q2" s="31">
        <f>'mnt Data'!C5</f>
        <v>0</v>
      </c>
      <c r="R2" s="31">
        <f>'mnt Data'!D5</f>
        <v>0</v>
      </c>
      <c r="S2" s="31">
        <f>'mnt Data'!E5</f>
        <v>0</v>
      </c>
      <c r="T2" s="31">
        <f>'mnt Data'!F5</f>
        <v>0</v>
      </c>
      <c r="U2" s="31">
        <f>'mnt Data'!G5</f>
        <v>0</v>
      </c>
      <c r="V2" s="31">
        <f>'mnt Data'!H5</f>
        <v>0</v>
      </c>
      <c r="W2" s="31">
        <f>'mnt Data'!I5</f>
        <v>0</v>
      </c>
      <c r="X2" s="31">
        <f>'mnt Data'!J5</f>
        <v>0</v>
      </c>
      <c r="Y2" s="31">
        <f>'mnt Data'!K5</f>
        <v>0</v>
      </c>
      <c r="Z2" s="31">
        <f>'mnt Data'!L5</f>
        <v>0</v>
      </c>
      <c r="AA2" s="31">
        <f>'mnt Data'!M5</f>
        <v>0</v>
      </c>
      <c r="AB2" s="31">
        <f>'mnt Data'!N5</f>
        <v>0</v>
      </c>
      <c r="AC2" s="31">
        <f>'mnt Data'!O5</f>
        <v>0</v>
      </c>
      <c r="AD2" s="31">
        <f>'mnt Data'!P5</f>
        <v>0</v>
      </c>
      <c r="AE2" s="31">
        <f>'mnt Data'!Q5</f>
        <v>0</v>
      </c>
      <c r="AF2" s="31">
        <f>'mnt Data'!R5</f>
        <v>0</v>
      </c>
      <c r="AG2" s="31">
        <f>'mnt Data'!S5</f>
        <v>0</v>
      </c>
      <c r="AH2" s="31">
        <f>'mnt Data'!T5</f>
        <v>0</v>
      </c>
      <c r="AI2" s="31">
        <f>'mnt Data'!U5</f>
        <v>0</v>
      </c>
      <c r="AJ2" s="31">
        <f>'mnt Data'!V5</f>
        <v>0</v>
      </c>
      <c r="AK2" s="31">
        <f>'mnt Data'!W5</f>
        <v>0</v>
      </c>
      <c r="AL2" s="31">
        <f>'mnt Data'!X5</f>
        <v>0</v>
      </c>
      <c r="AM2" s="31">
        <f>'mnt Data'!Y5</f>
        <v>0</v>
      </c>
      <c r="AN2" s="31">
        <f>'mnt Data'!Z5</f>
        <v>0</v>
      </c>
      <c r="AO2" s="31">
        <f>'mnt Data'!AA5</f>
        <v>0</v>
      </c>
      <c r="AP2" s="31">
        <f>'mnt Data'!AB5</f>
        <v>0</v>
      </c>
      <c r="AQ2" s="31">
        <f>'mnt Data'!AC5</f>
        <v>0</v>
      </c>
      <c r="AR2" s="31">
        <f>'mnt Data'!AD5</f>
        <v>0</v>
      </c>
      <c r="AS2" s="31">
        <f>'mnt Data'!AE5</f>
        <v>0</v>
      </c>
      <c r="AT2" s="31">
        <f>'mnt Data'!AF5</f>
        <v>0</v>
      </c>
      <c r="AU2" s="31">
        <f>'mnt Data'!AG5</f>
        <v>0</v>
      </c>
      <c r="AV2" s="31">
        <f>'mnt Data'!AH5</f>
        <v>0</v>
      </c>
      <c r="AW2" s="31">
        <f>'mnt Data'!AI5</f>
        <v>0</v>
      </c>
      <c r="AX2" s="31">
        <f>'mnt Data'!AJ5</f>
        <v>0</v>
      </c>
      <c r="AY2" s="31">
        <f>'mnt Data'!AK5</f>
        <v>0</v>
      </c>
    </row>
    <row r="3" spans="1:54" x14ac:dyDescent="0.25">
      <c r="A3">
        <v>2</v>
      </c>
      <c r="B3" s="32">
        <f>O3</f>
        <v>0</v>
      </c>
      <c r="C3" s="32">
        <f>O3*(Q3/100)</f>
        <v>0</v>
      </c>
      <c r="D3" s="32" t="str">
        <f t="shared" si="0"/>
        <v>No Gs</v>
      </c>
      <c r="E3" s="32">
        <f t="shared" ref="E3:E66" si="3">C3/(IF(O3&gt;1000,998,62.4))</f>
        <v>0</v>
      </c>
      <c r="F3" s="32" t="str">
        <f t="shared" ref="F3:F66" si="4">IFERROR(1-D3-E3,"No Gs")</f>
        <v>No Gs</v>
      </c>
      <c r="G3" s="32" t="str">
        <f t="shared" ref="G3:G66" si="5">IFERROR(E3+F3,"No Gs")</f>
        <v>No Gs</v>
      </c>
      <c r="H3" s="32" t="str">
        <f>IFERROR(E3/G3,"Gs is needed")</f>
        <v>Gs is needed</v>
      </c>
      <c r="I3" s="32" t="str">
        <f>IFERROR(G3/1,"Gs is needed")</f>
        <v>Gs is needed</v>
      </c>
      <c r="J3" s="32" t="str">
        <f>IFERROR(G3/D3,"Gs is needed")</f>
        <v>Gs is needed</v>
      </c>
      <c r="K3" s="32" t="str">
        <f>IFERROR((100*(DMax*(O3-DMin))/(O3*(DMax-DMin))),"Need Max and Min")</f>
        <v>Need Max and Min</v>
      </c>
      <c r="L3" s="32" t="str">
        <f t="shared" si="1"/>
        <v>Need Max and Min</v>
      </c>
      <c r="M3" s="32" t="str">
        <f t="shared" si="2"/>
        <v>Fail</v>
      </c>
      <c r="N3" s="32"/>
      <c r="O3" s="31">
        <f>'mnt Data'!A6</f>
        <v>0</v>
      </c>
      <c r="P3" s="31">
        <f>'mnt Data'!B6</f>
        <v>0</v>
      </c>
      <c r="Q3" s="31">
        <f>'mnt Data'!C6</f>
        <v>0</v>
      </c>
      <c r="R3" s="31">
        <f>'mnt Data'!D6</f>
        <v>0</v>
      </c>
      <c r="S3" s="31">
        <f>'mnt Data'!E6</f>
        <v>0</v>
      </c>
      <c r="T3" s="31">
        <f>'mnt Data'!F6</f>
        <v>0</v>
      </c>
      <c r="U3" s="31">
        <f>'mnt Data'!G6</f>
        <v>0</v>
      </c>
      <c r="V3" s="31">
        <f>'mnt Data'!H6</f>
        <v>0</v>
      </c>
      <c r="W3" s="31">
        <f>'mnt Data'!I6</f>
        <v>0</v>
      </c>
      <c r="X3" s="31">
        <f>'mnt Data'!J6</f>
        <v>0</v>
      </c>
      <c r="Y3" s="31">
        <f>'mnt Data'!K6</f>
        <v>0</v>
      </c>
      <c r="Z3" s="31">
        <f>'mnt Data'!L6</f>
        <v>0</v>
      </c>
      <c r="AA3" s="31">
        <f>'mnt Data'!M6</f>
        <v>0</v>
      </c>
      <c r="AB3" s="31">
        <f>'mnt Data'!N6</f>
        <v>0</v>
      </c>
      <c r="AC3" s="31">
        <f>'mnt Data'!O6</f>
        <v>0</v>
      </c>
      <c r="AD3" s="31">
        <f>'mnt Data'!P6</f>
        <v>0</v>
      </c>
      <c r="AE3" s="31">
        <f>'mnt Data'!Q6</f>
        <v>0</v>
      </c>
      <c r="AF3" s="31">
        <f>'mnt Data'!R6</f>
        <v>0</v>
      </c>
      <c r="AG3" s="31">
        <f>'mnt Data'!S6</f>
        <v>0</v>
      </c>
      <c r="AH3" s="31">
        <f>'mnt Data'!T6</f>
        <v>0</v>
      </c>
      <c r="AI3" s="31">
        <f>'mnt Data'!U6</f>
        <v>0</v>
      </c>
      <c r="AJ3" s="31">
        <f>'mnt Data'!V6</f>
        <v>0</v>
      </c>
      <c r="AK3" s="31">
        <f>'mnt Data'!W6</f>
        <v>0</v>
      </c>
      <c r="AL3" s="31">
        <f>'mnt Data'!X6</f>
        <v>0</v>
      </c>
      <c r="AM3" s="31">
        <f>'mnt Data'!Y6</f>
        <v>0</v>
      </c>
      <c r="AN3" s="31">
        <f>'mnt Data'!Z6</f>
        <v>0</v>
      </c>
      <c r="AO3" s="31">
        <f>'mnt Data'!AA6</f>
        <v>0</v>
      </c>
      <c r="AP3" s="31">
        <f>'mnt Data'!AB6</f>
        <v>0</v>
      </c>
      <c r="AQ3" s="31">
        <f>'mnt Data'!AC6</f>
        <v>0</v>
      </c>
      <c r="AR3" s="31">
        <f>'mnt Data'!AD6</f>
        <v>0</v>
      </c>
      <c r="AS3" s="31">
        <f>'mnt Data'!AE6</f>
        <v>0</v>
      </c>
      <c r="AT3" s="31">
        <f>'mnt Data'!AF6</f>
        <v>0</v>
      </c>
      <c r="AU3" s="31">
        <f>'mnt Data'!AG6</f>
        <v>0</v>
      </c>
      <c r="AV3" s="31">
        <f>'mnt Data'!AH6</f>
        <v>0</v>
      </c>
      <c r="AW3" s="31">
        <f>'mnt Data'!AI6</f>
        <v>0</v>
      </c>
      <c r="AX3" s="31">
        <f>'mnt Data'!AJ6</f>
        <v>0</v>
      </c>
      <c r="AY3" s="31">
        <f>'mnt Data'!AK6</f>
        <v>0</v>
      </c>
    </row>
    <row r="4" spans="1:54" x14ac:dyDescent="0.25">
      <c r="A4">
        <v>3</v>
      </c>
      <c r="B4" s="32">
        <f>O4</f>
        <v>0</v>
      </c>
      <c r="C4" s="32">
        <f>O4*(Q4/100)</f>
        <v>0</v>
      </c>
      <c r="D4" s="32" t="str">
        <f t="shared" si="0"/>
        <v>No Gs</v>
      </c>
      <c r="E4" s="32">
        <f t="shared" si="3"/>
        <v>0</v>
      </c>
      <c r="F4" s="32" t="str">
        <f t="shared" si="4"/>
        <v>No Gs</v>
      </c>
      <c r="G4" s="32" t="str">
        <f t="shared" si="5"/>
        <v>No Gs</v>
      </c>
      <c r="H4" s="32" t="str">
        <f>IFERROR(E4/G4,"Gs is needed")</f>
        <v>Gs is needed</v>
      </c>
      <c r="I4" s="32" t="str">
        <f>IFERROR(G4/1,"Gs is needed")</f>
        <v>Gs is needed</v>
      </c>
      <c r="J4" s="32" t="str">
        <f>IFERROR(G4/D4,"Gs is needed")</f>
        <v>Gs is needed</v>
      </c>
      <c r="K4" s="32" t="str">
        <f>IFERROR((100*(DMax*(O4-DMin))/(O4*(DMax-DMin))),"Need Max and Min")</f>
        <v>Need Max and Min</v>
      </c>
      <c r="L4" s="32" t="str">
        <f t="shared" si="1"/>
        <v>Need Max and Min</v>
      </c>
      <c r="M4" s="32" t="str">
        <f t="shared" si="2"/>
        <v>Fail</v>
      </c>
      <c r="N4" s="32"/>
      <c r="O4" s="31">
        <f>'mnt Data'!A7</f>
        <v>0</v>
      </c>
      <c r="P4" s="31">
        <f>'mnt Data'!B7</f>
        <v>0</v>
      </c>
      <c r="Q4" s="31">
        <f>'mnt Data'!C7</f>
        <v>0</v>
      </c>
      <c r="R4" s="31">
        <f>'mnt Data'!D7</f>
        <v>0</v>
      </c>
      <c r="S4" s="31">
        <f>'mnt Data'!E7</f>
        <v>0</v>
      </c>
      <c r="T4" s="31">
        <f>'mnt Data'!F7</f>
        <v>0</v>
      </c>
      <c r="U4" s="31">
        <f>'mnt Data'!G7</f>
        <v>0</v>
      </c>
      <c r="V4" s="31">
        <f>'mnt Data'!H7</f>
        <v>0</v>
      </c>
      <c r="W4" s="31">
        <f>'mnt Data'!I7</f>
        <v>0</v>
      </c>
      <c r="X4" s="31">
        <f>'mnt Data'!J7</f>
        <v>0</v>
      </c>
      <c r="Y4" s="31">
        <f>'mnt Data'!K7</f>
        <v>0</v>
      </c>
      <c r="Z4" s="31">
        <f>'mnt Data'!L7</f>
        <v>0</v>
      </c>
      <c r="AA4" s="31">
        <f>'mnt Data'!M7</f>
        <v>0</v>
      </c>
      <c r="AB4" s="31">
        <f>'mnt Data'!N7</f>
        <v>0</v>
      </c>
      <c r="AC4" s="31">
        <f>'mnt Data'!O7</f>
        <v>0</v>
      </c>
      <c r="AD4" s="31">
        <f>'mnt Data'!P7</f>
        <v>0</v>
      </c>
      <c r="AE4" s="31">
        <f>'mnt Data'!Q7</f>
        <v>0</v>
      </c>
      <c r="AF4" s="31">
        <f>'mnt Data'!R7</f>
        <v>0</v>
      </c>
      <c r="AG4" s="31">
        <f>'mnt Data'!S7</f>
        <v>0</v>
      </c>
      <c r="AH4" s="31">
        <f>'mnt Data'!T7</f>
        <v>0</v>
      </c>
      <c r="AI4" s="31">
        <f>'mnt Data'!U7</f>
        <v>0</v>
      </c>
      <c r="AJ4" s="31">
        <f>'mnt Data'!V7</f>
        <v>0</v>
      </c>
      <c r="AK4" s="31">
        <f>'mnt Data'!W7</f>
        <v>0</v>
      </c>
      <c r="AL4" s="31">
        <f>'mnt Data'!X7</f>
        <v>0</v>
      </c>
      <c r="AM4" s="31">
        <f>'mnt Data'!Y7</f>
        <v>0</v>
      </c>
      <c r="AN4" s="31">
        <f>'mnt Data'!Z7</f>
        <v>0</v>
      </c>
      <c r="AO4" s="31">
        <f>'mnt Data'!AA7</f>
        <v>0</v>
      </c>
      <c r="AP4" s="31">
        <f>'mnt Data'!AB7</f>
        <v>0</v>
      </c>
      <c r="AQ4" s="31">
        <f>'mnt Data'!AC7</f>
        <v>0</v>
      </c>
      <c r="AR4" s="31">
        <f>'mnt Data'!AD7</f>
        <v>0</v>
      </c>
      <c r="AS4" s="31">
        <f>'mnt Data'!AE7</f>
        <v>0</v>
      </c>
      <c r="AT4" s="31">
        <f>'mnt Data'!AF7</f>
        <v>0</v>
      </c>
      <c r="AU4" s="31">
        <f>'mnt Data'!AG7</f>
        <v>0</v>
      </c>
      <c r="AV4" s="31">
        <f>'mnt Data'!AH7</f>
        <v>0</v>
      </c>
      <c r="AW4" s="31">
        <f>'mnt Data'!AI7</f>
        <v>0</v>
      </c>
      <c r="AX4" s="31">
        <f>'mnt Data'!AJ7</f>
        <v>0</v>
      </c>
      <c r="AY4" s="31">
        <f>'mnt Data'!AK7</f>
        <v>0</v>
      </c>
    </row>
    <row r="5" spans="1:54" x14ac:dyDescent="0.25">
      <c r="A5">
        <v>4</v>
      </c>
      <c r="B5" s="32">
        <f>O5</f>
        <v>0</v>
      </c>
      <c r="C5" s="32">
        <f>O5*(Q5/100)</f>
        <v>0</v>
      </c>
      <c r="D5" s="32" t="str">
        <f t="shared" si="0"/>
        <v>No Gs</v>
      </c>
      <c r="E5" s="32">
        <f t="shared" si="3"/>
        <v>0</v>
      </c>
      <c r="F5" s="32" t="str">
        <f t="shared" si="4"/>
        <v>No Gs</v>
      </c>
      <c r="G5" s="32" t="str">
        <f t="shared" si="5"/>
        <v>No Gs</v>
      </c>
      <c r="H5" s="32" t="str">
        <f>IFERROR(E5/G5,"Gs is needed")</f>
        <v>Gs is needed</v>
      </c>
      <c r="I5" s="32" t="str">
        <f>IFERROR(G5/1,"Gs is needed")</f>
        <v>Gs is needed</v>
      </c>
      <c r="J5" s="32" t="str">
        <f>IFERROR(G5/D5,"Gs is needed")</f>
        <v>Gs is needed</v>
      </c>
      <c r="K5" s="32" t="str">
        <f>IFERROR((100*(DMax*(O5-DMin))/(O5*(DMax-DMin))),"Need Max and Min")</f>
        <v>Need Max and Min</v>
      </c>
      <c r="L5" s="32" t="str">
        <f t="shared" si="1"/>
        <v>Need Max and Min</v>
      </c>
      <c r="M5" s="32" t="str">
        <f t="shared" si="2"/>
        <v>Fail</v>
      </c>
      <c r="N5" s="32"/>
      <c r="O5" s="31">
        <f>'mnt Data'!A8</f>
        <v>0</v>
      </c>
      <c r="P5" s="31">
        <f>'mnt Data'!B8</f>
        <v>0</v>
      </c>
      <c r="Q5" s="31">
        <f>'mnt Data'!C8</f>
        <v>0</v>
      </c>
      <c r="R5" s="31">
        <f>'mnt Data'!D8</f>
        <v>0</v>
      </c>
      <c r="S5" s="31">
        <f>'mnt Data'!E8</f>
        <v>0</v>
      </c>
      <c r="T5" s="31">
        <f>'mnt Data'!F8</f>
        <v>0</v>
      </c>
      <c r="U5" s="31">
        <f>'mnt Data'!G8</f>
        <v>0</v>
      </c>
      <c r="V5" s="31">
        <f>'mnt Data'!H8</f>
        <v>0</v>
      </c>
      <c r="W5" s="31">
        <f>'mnt Data'!I8</f>
        <v>0</v>
      </c>
      <c r="X5" s="31">
        <f>'mnt Data'!J8</f>
        <v>0</v>
      </c>
      <c r="Y5" s="31">
        <f>'mnt Data'!K8</f>
        <v>0</v>
      </c>
      <c r="Z5" s="31">
        <f>'mnt Data'!L8</f>
        <v>0</v>
      </c>
      <c r="AA5" s="31">
        <f>'mnt Data'!M8</f>
        <v>0</v>
      </c>
      <c r="AB5" s="31">
        <f>'mnt Data'!N8</f>
        <v>0</v>
      </c>
      <c r="AC5" s="31">
        <f>'mnt Data'!O8</f>
        <v>0</v>
      </c>
      <c r="AD5" s="31">
        <f>'mnt Data'!P8</f>
        <v>0</v>
      </c>
      <c r="AE5" s="31">
        <f>'mnt Data'!Q8</f>
        <v>0</v>
      </c>
      <c r="AF5" s="31">
        <f>'mnt Data'!R8</f>
        <v>0</v>
      </c>
      <c r="AG5" s="31">
        <f>'mnt Data'!S8</f>
        <v>0</v>
      </c>
      <c r="AH5" s="31">
        <f>'mnt Data'!T8</f>
        <v>0</v>
      </c>
      <c r="AI5" s="31">
        <f>'mnt Data'!U8</f>
        <v>0</v>
      </c>
      <c r="AJ5" s="31">
        <f>'mnt Data'!V8</f>
        <v>0</v>
      </c>
      <c r="AK5" s="31">
        <f>'mnt Data'!W8</f>
        <v>0</v>
      </c>
      <c r="AL5" s="31">
        <f>'mnt Data'!X8</f>
        <v>0</v>
      </c>
      <c r="AM5" s="31">
        <f>'mnt Data'!Y8</f>
        <v>0</v>
      </c>
      <c r="AN5" s="31">
        <f>'mnt Data'!Z8</f>
        <v>0</v>
      </c>
      <c r="AO5" s="31">
        <f>'mnt Data'!AA8</f>
        <v>0</v>
      </c>
      <c r="AP5" s="31">
        <f>'mnt Data'!AB8</f>
        <v>0</v>
      </c>
      <c r="AQ5" s="31">
        <f>'mnt Data'!AC8</f>
        <v>0</v>
      </c>
      <c r="AR5" s="31">
        <f>'mnt Data'!AD8</f>
        <v>0</v>
      </c>
      <c r="AS5" s="31">
        <f>'mnt Data'!AE8</f>
        <v>0</v>
      </c>
      <c r="AT5" s="31">
        <f>'mnt Data'!AF8</f>
        <v>0</v>
      </c>
      <c r="AU5" s="31">
        <f>'mnt Data'!AG8</f>
        <v>0</v>
      </c>
      <c r="AV5" s="31">
        <f>'mnt Data'!AH8</f>
        <v>0</v>
      </c>
      <c r="AW5" s="31">
        <f>'mnt Data'!AI8</f>
        <v>0</v>
      </c>
      <c r="AX5" s="31">
        <f>'mnt Data'!AJ8</f>
        <v>0</v>
      </c>
      <c r="AY5" s="31">
        <f>'mnt Data'!AK8</f>
        <v>0</v>
      </c>
    </row>
    <row r="6" spans="1:54" x14ac:dyDescent="0.25">
      <c r="A6">
        <v>5</v>
      </c>
      <c r="B6" s="32">
        <f t="shared" ref="B6:B40" si="6">O6</f>
        <v>0</v>
      </c>
      <c r="C6" s="32">
        <f t="shared" ref="C6:C40" si="7">O6*(Q6/100)</f>
        <v>0</v>
      </c>
      <c r="D6" s="32" t="str">
        <f t="shared" si="0"/>
        <v>No Gs</v>
      </c>
      <c r="E6" s="32">
        <f t="shared" si="3"/>
        <v>0</v>
      </c>
      <c r="F6" s="32" t="str">
        <f t="shared" si="4"/>
        <v>No Gs</v>
      </c>
      <c r="G6" s="32" t="str">
        <f t="shared" si="5"/>
        <v>No Gs</v>
      </c>
      <c r="H6" s="32" t="str">
        <f t="shared" ref="H6:H40" si="8">IFERROR(E6/G6,"Gs is needed")</f>
        <v>Gs is needed</v>
      </c>
      <c r="I6" s="32" t="str">
        <f t="shared" ref="I6:I40" si="9">IFERROR(G6/1,"Gs is needed")</f>
        <v>Gs is needed</v>
      </c>
      <c r="J6" s="32" t="str">
        <f t="shared" ref="J6:J40" si="10">IFERROR(G6/D6,"Gs is needed")</f>
        <v>Gs is needed</v>
      </c>
      <c r="K6" s="32" t="str">
        <f t="shared" ref="K6:K65" si="11">IFERROR((100*(DMax*(O6-DMin))/(O6*(DMax-DMin))),"Need Max and Min")</f>
        <v>Need Max and Min</v>
      </c>
      <c r="L6" s="32" t="str">
        <f t="shared" si="1"/>
        <v>Need Max and Min</v>
      </c>
      <c r="M6" s="32" t="str">
        <f t="shared" si="2"/>
        <v>Fail</v>
      </c>
      <c r="N6" s="32"/>
      <c r="O6" s="31">
        <f>'mnt Data'!A9</f>
        <v>0</v>
      </c>
      <c r="P6" s="31">
        <f>'mnt Data'!B9</f>
        <v>0</v>
      </c>
      <c r="Q6" s="31">
        <f>'mnt Data'!C9</f>
        <v>0</v>
      </c>
      <c r="R6" s="31">
        <f>'mnt Data'!D9</f>
        <v>0</v>
      </c>
      <c r="S6" s="31">
        <f>'mnt Data'!E9</f>
        <v>0</v>
      </c>
      <c r="T6" s="31">
        <f>'mnt Data'!F9</f>
        <v>0</v>
      </c>
      <c r="U6" s="31">
        <f>'mnt Data'!G9</f>
        <v>0</v>
      </c>
      <c r="V6" s="31">
        <f>'mnt Data'!H9</f>
        <v>0</v>
      </c>
      <c r="W6" s="31">
        <f>'mnt Data'!I9</f>
        <v>0</v>
      </c>
      <c r="X6" s="31">
        <f>'mnt Data'!J9</f>
        <v>0</v>
      </c>
      <c r="Y6" s="31">
        <f>'mnt Data'!K9</f>
        <v>0</v>
      </c>
      <c r="Z6" s="31">
        <f>'mnt Data'!L9</f>
        <v>0</v>
      </c>
      <c r="AA6" s="31">
        <f>'mnt Data'!M9</f>
        <v>0</v>
      </c>
      <c r="AB6" s="31">
        <f>'mnt Data'!N9</f>
        <v>0</v>
      </c>
      <c r="AC6" s="31">
        <f>'mnt Data'!O9</f>
        <v>0</v>
      </c>
      <c r="AD6" s="31">
        <f>'mnt Data'!P9</f>
        <v>0</v>
      </c>
      <c r="AE6" s="31">
        <f>'mnt Data'!Q9</f>
        <v>0</v>
      </c>
      <c r="AF6" s="31">
        <f>'mnt Data'!R9</f>
        <v>0</v>
      </c>
      <c r="AG6" s="31">
        <f>'mnt Data'!S9</f>
        <v>0</v>
      </c>
      <c r="AH6" s="31">
        <f>'mnt Data'!T9</f>
        <v>0</v>
      </c>
      <c r="AI6" s="31">
        <f>'mnt Data'!U9</f>
        <v>0</v>
      </c>
      <c r="AJ6" s="31">
        <f>'mnt Data'!V9</f>
        <v>0</v>
      </c>
      <c r="AK6" s="31">
        <f>'mnt Data'!W9</f>
        <v>0</v>
      </c>
      <c r="AL6" s="31">
        <f>'mnt Data'!X9</f>
        <v>0</v>
      </c>
      <c r="AM6" s="31">
        <f>'mnt Data'!Y9</f>
        <v>0</v>
      </c>
      <c r="AN6" s="31">
        <f>'mnt Data'!Z9</f>
        <v>0</v>
      </c>
      <c r="AO6" s="31">
        <f>'mnt Data'!AA9</f>
        <v>0</v>
      </c>
      <c r="AP6" s="31">
        <f>'mnt Data'!AB9</f>
        <v>0</v>
      </c>
      <c r="AQ6" s="31">
        <f>'mnt Data'!AC9</f>
        <v>0</v>
      </c>
      <c r="AR6" s="31">
        <f>'mnt Data'!AD9</f>
        <v>0</v>
      </c>
      <c r="AS6" s="31">
        <f>'mnt Data'!AE9</f>
        <v>0</v>
      </c>
      <c r="AT6" s="31">
        <f>'mnt Data'!AF9</f>
        <v>0</v>
      </c>
      <c r="AU6" s="31">
        <f>'mnt Data'!AG9</f>
        <v>0</v>
      </c>
      <c r="AV6" s="31">
        <f>'mnt Data'!AH9</f>
        <v>0</v>
      </c>
      <c r="AW6" s="31">
        <f>'mnt Data'!AI9</f>
        <v>0</v>
      </c>
      <c r="AX6" s="31">
        <f>'mnt Data'!AJ9</f>
        <v>0</v>
      </c>
      <c r="AY6" s="31">
        <f>'mnt Data'!AK9</f>
        <v>0</v>
      </c>
    </row>
    <row r="7" spans="1:54" x14ac:dyDescent="0.25">
      <c r="A7">
        <v>6</v>
      </c>
      <c r="B7" s="32">
        <f t="shared" si="6"/>
        <v>0</v>
      </c>
      <c r="C7" s="32">
        <f t="shared" si="7"/>
        <v>0</v>
      </c>
      <c r="D7" s="32" t="str">
        <f t="shared" si="0"/>
        <v>No Gs</v>
      </c>
      <c r="E7" s="32">
        <f t="shared" si="3"/>
        <v>0</v>
      </c>
      <c r="F7" s="32" t="str">
        <f t="shared" si="4"/>
        <v>No Gs</v>
      </c>
      <c r="G7" s="32" t="str">
        <f t="shared" si="5"/>
        <v>No Gs</v>
      </c>
      <c r="H7" s="32" t="str">
        <f t="shared" si="8"/>
        <v>Gs is needed</v>
      </c>
      <c r="I7" s="32" t="str">
        <f t="shared" si="9"/>
        <v>Gs is needed</v>
      </c>
      <c r="J7" s="32" t="str">
        <f t="shared" si="10"/>
        <v>Gs is needed</v>
      </c>
      <c r="K7" s="32" t="str">
        <f t="shared" si="11"/>
        <v>Need Max and Min</v>
      </c>
      <c r="L7" s="32" t="str">
        <f t="shared" si="1"/>
        <v>Need Max and Min</v>
      </c>
      <c r="M7" s="32" t="str">
        <f t="shared" si="2"/>
        <v>Fail</v>
      </c>
      <c r="N7" s="32"/>
      <c r="O7" s="31">
        <f>'mnt Data'!A10</f>
        <v>0</v>
      </c>
      <c r="P7" s="31">
        <f>'mnt Data'!B10</f>
        <v>0</v>
      </c>
      <c r="Q7" s="31">
        <f>'mnt Data'!C10</f>
        <v>0</v>
      </c>
      <c r="R7" s="31">
        <f>'mnt Data'!D10</f>
        <v>0</v>
      </c>
      <c r="S7" s="31">
        <f>'mnt Data'!E10</f>
        <v>0</v>
      </c>
      <c r="T7" s="31">
        <f>'mnt Data'!F10</f>
        <v>0</v>
      </c>
      <c r="U7" s="31">
        <f>'mnt Data'!G10</f>
        <v>0</v>
      </c>
      <c r="V7" s="31">
        <f>'mnt Data'!H10</f>
        <v>0</v>
      </c>
      <c r="W7" s="31">
        <f>'mnt Data'!I10</f>
        <v>0</v>
      </c>
      <c r="X7" s="31">
        <f>'mnt Data'!J10</f>
        <v>0</v>
      </c>
      <c r="Y7" s="31">
        <f>'mnt Data'!K10</f>
        <v>0</v>
      </c>
      <c r="Z7" s="31">
        <f>'mnt Data'!L10</f>
        <v>0</v>
      </c>
      <c r="AA7" s="31">
        <f>'mnt Data'!M10</f>
        <v>0</v>
      </c>
      <c r="AB7" s="31">
        <f>'mnt Data'!N10</f>
        <v>0</v>
      </c>
      <c r="AC7" s="31">
        <f>'mnt Data'!O10</f>
        <v>0</v>
      </c>
      <c r="AD7" s="31">
        <f>'mnt Data'!P10</f>
        <v>0</v>
      </c>
      <c r="AE7" s="31">
        <f>'mnt Data'!Q10</f>
        <v>0</v>
      </c>
      <c r="AF7" s="31">
        <f>'mnt Data'!R10</f>
        <v>0</v>
      </c>
      <c r="AG7" s="31">
        <f>'mnt Data'!S10</f>
        <v>0</v>
      </c>
      <c r="AH7" s="31">
        <f>'mnt Data'!T10</f>
        <v>0</v>
      </c>
      <c r="AI7" s="31">
        <f>'mnt Data'!U10</f>
        <v>0</v>
      </c>
      <c r="AJ7" s="31">
        <f>'mnt Data'!V10</f>
        <v>0</v>
      </c>
      <c r="AK7" s="31">
        <f>'mnt Data'!W10</f>
        <v>0</v>
      </c>
      <c r="AL7" s="31">
        <f>'mnt Data'!X10</f>
        <v>0</v>
      </c>
      <c r="AM7" s="31">
        <f>'mnt Data'!Y10</f>
        <v>0</v>
      </c>
      <c r="AN7" s="31">
        <f>'mnt Data'!Z10</f>
        <v>0</v>
      </c>
      <c r="AO7" s="31">
        <f>'mnt Data'!AA10</f>
        <v>0</v>
      </c>
      <c r="AP7" s="31">
        <f>'mnt Data'!AB10</f>
        <v>0</v>
      </c>
      <c r="AQ7" s="31">
        <f>'mnt Data'!AC10</f>
        <v>0</v>
      </c>
      <c r="AR7" s="31">
        <f>'mnt Data'!AD10</f>
        <v>0</v>
      </c>
      <c r="AS7" s="31">
        <f>'mnt Data'!AE10</f>
        <v>0</v>
      </c>
      <c r="AT7" s="31">
        <f>'mnt Data'!AF10</f>
        <v>0</v>
      </c>
      <c r="AU7" s="31">
        <f>'mnt Data'!AG10</f>
        <v>0</v>
      </c>
      <c r="AV7" s="31">
        <f>'mnt Data'!AH10</f>
        <v>0</v>
      </c>
      <c r="AW7" s="31">
        <f>'mnt Data'!AI10</f>
        <v>0</v>
      </c>
      <c r="AX7" s="31">
        <f>'mnt Data'!AJ10</f>
        <v>0</v>
      </c>
      <c r="AY7" s="31">
        <f>'mnt Data'!AK10</f>
        <v>0</v>
      </c>
    </row>
    <row r="8" spans="1:54" x14ac:dyDescent="0.25">
      <c r="A8">
        <v>7</v>
      </c>
      <c r="B8" s="32">
        <f t="shared" si="6"/>
        <v>0</v>
      </c>
      <c r="C8" s="32">
        <f t="shared" si="7"/>
        <v>0</v>
      </c>
      <c r="D8" s="32" t="str">
        <f t="shared" si="0"/>
        <v>No Gs</v>
      </c>
      <c r="E8" s="32">
        <f t="shared" si="3"/>
        <v>0</v>
      </c>
      <c r="F8" s="32" t="str">
        <f t="shared" si="4"/>
        <v>No Gs</v>
      </c>
      <c r="G8" s="32" t="str">
        <f t="shared" si="5"/>
        <v>No Gs</v>
      </c>
      <c r="H8" s="32" t="str">
        <f t="shared" si="8"/>
        <v>Gs is needed</v>
      </c>
      <c r="I8" s="32" t="str">
        <f t="shared" si="9"/>
        <v>Gs is needed</v>
      </c>
      <c r="J8" s="32" t="str">
        <f t="shared" si="10"/>
        <v>Gs is needed</v>
      </c>
      <c r="K8" s="32" t="str">
        <f t="shared" si="11"/>
        <v>Need Max and Min</v>
      </c>
      <c r="L8" s="32" t="str">
        <f t="shared" si="1"/>
        <v>Need Max and Min</v>
      </c>
      <c r="M8" s="32" t="str">
        <f t="shared" si="2"/>
        <v>Fail</v>
      </c>
      <c r="N8" s="32"/>
      <c r="O8" s="31">
        <f>'mnt Data'!A11</f>
        <v>0</v>
      </c>
      <c r="P8" s="31">
        <f>'mnt Data'!B11</f>
        <v>0</v>
      </c>
      <c r="Q8" s="31">
        <f>'mnt Data'!C11</f>
        <v>0</v>
      </c>
      <c r="R8" s="31">
        <f>'mnt Data'!D11</f>
        <v>0</v>
      </c>
      <c r="S8" s="31">
        <f>'mnt Data'!E11</f>
        <v>0</v>
      </c>
      <c r="T8" s="31">
        <f>'mnt Data'!F11</f>
        <v>0</v>
      </c>
      <c r="U8" s="31">
        <f>'mnt Data'!G11</f>
        <v>0</v>
      </c>
      <c r="V8" s="31">
        <f>'mnt Data'!H11</f>
        <v>0</v>
      </c>
      <c r="W8" s="31">
        <f>'mnt Data'!I11</f>
        <v>0</v>
      </c>
      <c r="X8" s="31">
        <f>'mnt Data'!J11</f>
        <v>0</v>
      </c>
      <c r="Y8" s="31">
        <f>'mnt Data'!K11</f>
        <v>0</v>
      </c>
      <c r="Z8" s="31">
        <f>'mnt Data'!L11</f>
        <v>0</v>
      </c>
      <c r="AA8" s="31">
        <f>'mnt Data'!M11</f>
        <v>0</v>
      </c>
      <c r="AB8" s="31">
        <f>'mnt Data'!N11</f>
        <v>0</v>
      </c>
      <c r="AC8" s="31">
        <f>'mnt Data'!O11</f>
        <v>0</v>
      </c>
      <c r="AD8" s="31">
        <f>'mnt Data'!P11</f>
        <v>0</v>
      </c>
      <c r="AE8" s="31">
        <f>'mnt Data'!Q11</f>
        <v>0</v>
      </c>
      <c r="AF8" s="31">
        <f>'mnt Data'!R11</f>
        <v>0</v>
      </c>
      <c r="AG8" s="31">
        <f>'mnt Data'!S11</f>
        <v>0</v>
      </c>
      <c r="AH8" s="31">
        <f>'mnt Data'!T11</f>
        <v>0</v>
      </c>
      <c r="AI8" s="31">
        <f>'mnt Data'!U11</f>
        <v>0</v>
      </c>
      <c r="AJ8" s="31">
        <f>'mnt Data'!V11</f>
        <v>0</v>
      </c>
      <c r="AK8" s="31">
        <f>'mnt Data'!W11</f>
        <v>0</v>
      </c>
      <c r="AL8" s="31">
        <f>'mnt Data'!X11</f>
        <v>0</v>
      </c>
      <c r="AM8" s="31">
        <f>'mnt Data'!Y11</f>
        <v>0</v>
      </c>
      <c r="AN8" s="31">
        <f>'mnt Data'!Z11</f>
        <v>0</v>
      </c>
      <c r="AO8" s="31">
        <f>'mnt Data'!AA11</f>
        <v>0</v>
      </c>
      <c r="AP8" s="31">
        <f>'mnt Data'!AB11</f>
        <v>0</v>
      </c>
      <c r="AQ8" s="31">
        <f>'mnt Data'!AC11</f>
        <v>0</v>
      </c>
      <c r="AR8" s="31">
        <f>'mnt Data'!AD11</f>
        <v>0</v>
      </c>
      <c r="AS8" s="31">
        <f>'mnt Data'!AE11</f>
        <v>0</v>
      </c>
      <c r="AT8" s="31">
        <f>'mnt Data'!AF11</f>
        <v>0</v>
      </c>
      <c r="AU8" s="31">
        <f>'mnt Data'!AG11</f>
        <v>0</v>
      </c>
      <c r="AV8" s="31">
        <f>'mnt Data'!AH11</f>
        <v>0</v>
      </c>
      <c r="AW8" s="31">
        <f>'mnt Data'!AI11</f>
        <v>0</v>
      </c>
      <c r="AX8" s="31">
        <f>'mnt Data'!AJ11</f>
        <v>0</v>
      </c>
      <c r="AY8" s="31">
        <f>'mnt Data'!AK11</f>
        <v>0</v>
      </c>
    </row>
    <row r="9" spans="1:54" x14ac:dyDescent="0.25">
      <c r="A9">
        <v>8</v>
      </c>
      <c r="B9" s="32">
        <f t="shared" si="6"/>
        <v>0</v>
      </c>
      <c r="C9" s="32">
        <f t="shared" si="7"/>
        <v>0</v>
      </c>
      <c r="D9" s="32" t="str">
        <f t="shared" si="0"/>
        <v>No Gs</v>
      </c>
      <c r="E9" s="32">
        <f t="shared" si="3"/>
        <v>0</v>
      </c>
      <c r="F9" s="32" t="str">
        <f t="shared" si="4"/>
        <v>No Gs</v>
      </c>
      <c r="G9" s="32" t="str">
        <f t="shared" si="5"/>
        <v>No Gs</v>
      </c>
      <c r="H9" s="32" t="str">
        <f t="shared" si="8"/>
        <v>Gs is needed</v>
      </c>
      <c r="I9" s="32" t="str">
        <f t="shared" si="9"/>
        <v>Gs is needed</v>
      </c>
      <c r="J9" s="32" t="str">
        <f t="shared" si="10"/>
        <v>Gs is needed</v>
      </c>
      <c r="K9" s="32" t="str">
        <f t="shared" si="11"/>
        <v>Need Max and Min</v>
      </c>
      <c r="L9" s="32" t="str">
        <f t="shared" si="1"/>
        <v>Need Max and Min</v>
      </c>
      <c r="M9" s="32" t="str">
        <f t="shared" si="2"/>
        <v>Fail</v>
      </c>
      <c r="N9" s="32"/>
      <c r="O9" s="31">
        <f>'mnt Data'!A12</f>
        <v>0</v>
      </c>
      <c r="P9" s="31">
        <f>'mnt Data'!B12</f>
        <v>0</v>
      </c>
      <c r="Q9" s="31">
        <f>'mnt Data'!C12</f>
        <v>0</v>
      </c>
      <c r="R9" s="31">
        <f>'mnt Data'!D12</f>
        <v>0</v>
      </c>
      <c r="S9" s="31">
        <f>'mnt Data'!E12</f>
        <v>0</v>
      </c>
      <c r="T9" s="31">
        <f>'mnt Data'!F12</f>
        <v>0</v>
      </c>
      <c r="U9" s="31">
        <f>'mnt Data'!G12</f>
        <v>0</v>
      </c>
      <c r="V9" s="31">
        <f>'mnt Data'!H12</f>
        <v>0</v>
      </c>
      <c r="W9" s="31">
        <f>'mnt Data'!I12</f>
        <v>0</v>
      </c>
      <c r="X9" s="31">
        <f>'mnt Data'!J12</f>
        <v>0</v>
      </c>
      <c r="Y9" s="31">
        <f>'mnt Data'!K12</f>
        <v>0</v>
      </c>
      <c r="Z9" s="31">
        <f>'mnt Data'!L12</f>
        <v>0</v>
      </c>
      <c r="AA9" s="31">
        <f>'mnt Data'!M12</f>
        <v>0</v>
      </c>
      <c r="AB9" s="31">
        <f>'mnt Data'!N12</f>
        <v>0</v>
      </c>
      <c r="AC9" s="31">
        <f>'mnt Data'!O12</f>
        <v>0</v>
      </c>
      <c r="AD9" s="31">
        <f>'mnt Data'!P12</f>
        <v>0</v>
      </c>
      <c r="AE9" s="31">
        <f>'mnt Data'!Q12</f>
        <v>0</v>
      </c>
      <c r="AF9" s="31">
        <f>'mnt Data'!R12</f>
        <v>0</v>
      </c>
      <c r="AG9" s="31">
        <f>'mnt Data'!S12</f>
        <v>0</v>
      </c>
      <c r="AH9" s="31">
        <f>'mnt Data'!T12</f>
        <v>0</v>
      </c>
      <c r="AI9" s="31">
        <f>'mnt Data'!U12</f>
        <v>0</v>
      </c>
      <c r="AJ9" s="31">
        <f>'mnt Data'!V12</f>
        <v>0</v>
      </c>
      <c r="AK9" s="31">
        <f>'mnt Data'!W12</f>
        <v>0</v>
      </c>
      <c r="AL9" s="31">
        <f>'mnt Data'!X12</f>
        <v>0</v>
      </c>
      <c r="AM9" s="31">
        <f>'mnt Data'!Y12</f>
        <v>0</v>
      </c>
      <c r="AN9" s="31">
        <f>'mnt Data'!Z12</f>
        <v>0</v>
      </c>
      <c r="AO9" s="31">
        <f>'mnt Data'!AA12</f>
        <v>0</v>
      </c>
      <c r="AP9" s="31">
        <f>'mnt Data'!AB12</f>
        <v>0</v>
      </c>
      <c r="AQ9" s="31">
        <f>'mnt Data'!AC12</f>
        <v>0</v>
      </c>
      <c r="AR9" s="31">
        <f>'mnt Data'!AD12</f>
        <v>0</v>
      </c>
      <c r="AS9" s="31">
        <f>'mnt Data'!AE12</f>
        <v>0</v>
      </c>
      <c r="AT9" s="31">
        <f>'mnt Data'!AF12</f>
        <v>0</v>
      </c>
      <c r="AU9" s="31">
        <f>'mnt Data'!AG12</f>
        <v>0</v>
      </c>
      <c r="AV9" s="31">
        <f>'mnt Data'!AH12</f>
        <v>0</v>
      </c>
      <c r="AW9" s="31">
        <f>'mnt Data'!AI12</f>
        <v>0</v>
      </c>
      <c r="AX9" s="31">
        <f>'mnt Data'!AJ12</f>
        <v>0</v>
      </c>
      <c r="AY9" s="31">
        <f>'mnt Data'!AK12</f>
        <v>0</v>
      </c>
    </row>
    <row r="10" spans="1:54" x14ac:dyDescent="0.25">
      <c r="A10">
        <v>9</v>
      </c>
      <c r="B10" s="32">
        <f t="shared" si="6"/>
        <v>0</v>
      </c>
      <c r="C10" s="32">
        <f t="shared" si="7"/>
        <v>0</v>
      </c>
      <c r="D10" s="32" t="str">
        <f t="shared" si="0"/>
        <v>No Gs</v>
      </c>
      <c r="E10" s="32">
        <f t="shared" si="3"/>
        <v>0</v>
      </c>
      <c r="F10" s="32" t="str">
        <f t="shared" si="4"/>
        <v>No Gs</v>
      </c>
      <c r="G10" s="32" t="str">
        <f t="shared" si="5"/>
        <v>No Gs</v>
      </c>
      <c r="H10" s="32" t="str">
        <f t="shared" si="8"/>
        <v>Gs is needed</v>
      </c>
      <c r="I10" s="32" t="str">
        <f t="shared" si="9"/>
        <v>Gs is needed</v>
      </c>
      <c r="J10" s="32" t="str">
        <f t="shared" si="10"/>
        <v>Gs is needed</v>
      </c>
      <c r="K10" s="32" t="str">
        <f t="shared" si="11"/>
        <v>Need Max and Min</v>
      </c>
      <c r="L10" s="32" t="str">
        <f t="shared" si="1"/>
        <v>Need Max and Min</v>
      </c>
      <c r="M10" s="32" t="str">
        <f t="shared" si="2"/>
        <v>Fail</v>
      </c>
      <c r="N10" s="32"/>
      <c r="O10" s="31">
        <f>'mnt Data'!A13</f>
        <v>0</v>
      </c>
      <c r="P10" s="31">
        <f>'mnt Data'!B13</f>
        <v>0</v>
      </c>
      <c r="Q10" s="31">
        <f>'mnt Data'!C13</f>
        <v>0</v>
      </c>
      <c r="R10" s="31">
        <f>'mnt Data'!D13</f>
        <v>0</v>
      </c>
      <c r="S10" s="31">
        <f>'mnt Data'!E13</f>
        <v>0</v>
      </c>
      <c r="T10" s="31">
        <f>'mnt Data'!F13</f>
        <v>0</v>
      </c>
      <c r="U10" s="31">
        <f>'mnt Data'!G13</f>
        <v>0</v>
      </c>
      <c r="V10" s="31">
        <f>'mnt Data'!H13</f>
        <v>0</v>
      </c>
      <c r="W10" s="31">
        <f>'mnt Data'!I13</f>
        <v>0</v>
      </c>
      <c r="X10" s="31">
        <f>'mnt Data'!J13</f>
        <v>0</v>
      </c>
      <c r="Y10" s="31">
        <f>'mnt Data'!K13</f>
        <v>0</v>
      </c>
      <c r="Z10" s="31">
        <f>'mnt Data'!L13</f>
        <v>0</v>
      </c>
      <c r="AA10" s="31">
        <f>'mnt Data'!M13</f>
        <v>0</v>
      </c>
      <c r="AB10" s="31">
        <f>'mnt Data'!N13</f>
        <v>0</v>
      </c>
      <c r="AC10" s="31">
        <f>'mnt Data'!O13</f>
        <v>0</v>
      </c>
      <c r="AD10" s="31">
        <f>'mnt Data'!P13</f>
        <v>0</v>
      </c>
      <c r="AE10" s="31">
        <f>'mnt Data'!Q13</f>
        <v>0</v>
      </c>
      <c r="AF10" s="31">
        <f>'mnt Data'!R13</f>
        <v>0</v>
      </c>
      <c r="AG10" s="31">
        <f>'mnt Data'!S13</f>
        <v>0</v>
      </c>
      <c r="AH10" s="31">
        <f>'mnt Data'!T13</f>
        <v>0</v>
      </c>
      <c r="AI10" s="31">
        <f>'mnt Data'!U13</f>
        <v>0</v>
      </c>
      <c r="AJ10" s="31">
        <f>'mnt Data'!V13</f>
        <v>0</v>
      </c>
      <c r="AK10" s="31">
        <f>'mnt Data'!W13</f>
        <v>0</v>
      </c>
      <c r="AL10" s="31">
        <f>'mnt Data'!X13</f>
        <v>0</v>
      </c>
      <c r="AM10" s="31">
        <f>'mnt Data'!Y13</f>
        <v>0</v>
      </c>
      <c r="AN10" s="31">
        <f>'mnt Data'!Z13</f>
        <v>0</v>
      </c>
      <c r="AO10" s="31">
        <f>'mnt Data'!AA13</f>
        <v>0</v>
      </c>
      <c r="AP10" s="31">
        <f>'mnt Data'!AB13</f>
        <v>0</v>
      </c>
      <c r="AQ10" s="31">
        <f>'mnt Data'!AC13</f>
        <v>0</v>
      </c>
      <c r="AR10" s="31">
        <f>'mnt Data'!AD13</f>
        <v>0</v>
      </c>
      <c r="AS10" s="31">
        <f>'mnt Data'!AE13</f>
        <v>0</v>
      </c>
      <c r="AT10" s="31">
        <f>'mnt Data'!AF13</f>
        <v>0</v>
      </c>
      <c r="AU10" s="31">
        <f>'mnt Data'!AG13</f>
        <v>0</v>
      </c>
      <c r="AV10" s="31">
        <f>'mnt Data'!AH13</f>
        <v>0</v>
      </c>
      <c r="AW10" s="31">
        <f>'mnt Data'!AI13</f>
        <v>0</v>
      </c>
      <c r="AX10" s="31">
        <f>'mnt Data'!AJ13</f>
        <v>0</v>
      </c>
      <c r="AY10" s="31">
        <f>'mnt Data'!AK13</f>
        <v>0</v>
      </c>
    </row>
    <row r="11" spans="1:54" x14ac:dyDescent="0.25">
      <c r="A11">
        <v>10</v>
      </c>
      <c r="B11" s="32">
        <f t="shared" si="6"/>
        <v>0</v>
      </c>
      <c r="C11" s="32">
        <f t="shared" si="7"/>
        <v>0</v>
      </c>
      <c r="D11" s="32" t="str">
        <f t="shared" si="0"/>
        <v>No Gs</v>
      </c>
      <c r="E11" s="32">
        <f t="shared" si="3"/>
        <v>0</v>
      </c>
      <c r="F11" s="32" t="str">
        <f t="shared" si="4"/>
        <v>No Gs</v>
      </c>
      <c r="G11" s="32" t="str">
        <f t="shared" si="5"/>
        <v>No Gs</v>
      </c>
      <c r="H11" s="32" t="str">
        <f t="shared" si="8"/>
        <v>Gs is needed</v>
      </c>
      <c r="I11" s="32" t="str">
        <f t="shared" si="9"/>
        <v>Gs is needed</v>
      </c>
      <c r="J11" s="32" t="str">
        <f t="shared" si="10"/>
        <v>Gs is needed</v>
      </c>
      <c r="K11" s="32" t="str">
        <f t="shared" si="11"/>
        <v>Need Max and Min</v>
      </c>
      <c r="L11" s="32" t="str">
        <f t="shared" si="1"/>
        <v>Need Max and Min</v>
      </c>
      <c r="M11" s="32" t="str">
        <f t="shared" si="2"/>
        <v>Fail</v>
      </c>
      <c r="N11" s="32"/>
      <c r="O11" s="31">
        <f>'mnt Data'!A14</f>
        <v>0</v>
      </c>
      <c r="P11" s="31">
        <f>'mnt Data'!B14</f>
        <v>0</v>
      </c>
      <c r="Q11" s="31">
        <f>'mnt Data'!C14</f>
        <v>0</v>
      </c>
      <c r="R11" s="31">
        <f>'mnt Data'!D14</f>
        <v>0</v>
      </c>
      <c r="S11" s="31">
        <f>'mnt Data'!E14</f>
        <v>0</v>
      </c>
      <c r="T11" s="31">
        <f>'mnt Data'!F14</f>
        <v>0</v>
      </c>
      <c r="U11" s="31">
        <f>'mnt Data'!G14</f>
        <v>0</v>
      </c>
      <c r="V11" s="31">
        <f>'mnt Data'!H14</f>
        <v>0</v>
      </c>
      <c r="W11" s="31">
        <f>'mnt Data'!I14</f>
        <v>0</v>
      </c>
      <c r="X11" s="31">
        <f>'mnt Data'!J14</f>
        <v>0</v>
      </c>
      <c r="Y11" s="31">
        <f>'mnt Data'!K14</f>
        <v>0</v>
      </c>
      <c r="Z11" s="31">
        <f>'mnt Data'!L14</f>
        <v>0</v>
      </c>
      <c r="AA11" s="31">
        <f>'mnt Data'!M14</f>
        <v>0</v>
      </c>
      <c r="AB11" s="31">
        <f>'mnt Data'!N14</f>
        <v>0</v>
      </c>
      <c r="AC11" s="31">
        <f>'mnt Data'!O14</f>
        <v>0</v>
      </c>
      <c r="AD11" s="31">
        <f>'mnt Data'!P14</f>
        <v>0</v>
      </c>
      <c r="AE11" s="31">
        <f>'mnt Data'!Q14</f>
        <v>0</v>
      </c>
      <c r="AF11" s="31">
        <f>'mnt Data'!R14</f>
        <v>0</v>
      </c>
      <c r="AG11" s="31">
        <f>'mnt Data'!S14</f>
        <v>0</v>
      </c>
      <c r="AH11" s="31">
        <f>'mnt Data'!T14</f>
        <v>0</v>
      </c>
      <c r="AI11" s="31">
        <f>'mnt Data'!U14</f>
        <v>0</v>
      </c>
      <c r="AJ11" s="31">
        <f>'mnt Data'!V14</f>
        <v>0</v>
      </c>
      <c r="AK11" s="31">
        <f>'mnt Data'!W14</f>
        <v>0</v>
      </c>
      <c r="AL11" s="31">
        <f>'mnt Data'!X14</f>
        <v>0</v>
      </c>
      <c r="AM11" s="31">
        <f>'mnt Data'!Y14</f>
        <v>0</v>
      </c>
      <c r="AN11" s="31">
        <f>'mnt Data'!Z14</f>
        <v>0</v>
      </c>
      <c r="AO11" s="31">
        <f>'mnt Data'!AA14</f>
        <v>0</v>
      </c>
      <c r="AP11" s="31">
        <f>'mnt Data'!AB14</f>
        <v>0</v>
      </c>
      <c r="AQ11" s="31">
        <f>'mnt Data'!AC14</f>
        <v>0</v>
      </c>
      <c r="AR11" s="31">
        <f>'mnt Data'!AD14</f>
        <v>0</v>
      </c>
      <c r="AS11" s="31">
        <f>'mnt Data'!AE14</f>
        <v>0</v>
      </c>
      <c r="AT11" s="31">
        <f>'mnt Data'!AF14</f>
        <v>0</v>
      </c>
      <c r="AU11" s="31">
        <f>'mnt Data'!AG14</f>
        <v>0</v>
      </c>
      <c r="AV11" s="31">
        <f>'mnt Data'!AH14</f>
        <v>0</v>
      </c>
      <c r="AW11" s="31">
        <f>'mnt Data'!AI14</f>
        <v>0</v>
      </c>
      <c r="AX11" s="31">
        <f>'mnt Data'!AJ14</f>
        <v>0</v>
      </c>
      <c r="AY11" s="31">
        <f>'mnt Data'!AK14</f>
        <v>0</v>
      </c>
    </row>
    <row r="12" spans="1:54" x14ac:dyDescent="0.25">
      <c r="A12">
        <v>11</v>
      </c>
      <c r="B12" s="32">
        <f t="shared" si="6"/>
        <v>0</v>
      </c>
      <c r="C12" s="32">
        <f t="shared" si="7"/>
        <v>0</v>
      </c>
      <c r="D12" s="32" t="str">
        <f t="shared" si="0"/>
        <v>No Gs</v>
      </c>
      <c r="E12" s="32">
        <f t="shared" si="3"/>
        <v>0</v>
      </c>
      <c r="F12" s="32" t="str">
        <f t="shared" si="4"/>
        <v>No Gs</v>
      </c>
      <c r="G12" s="32" t="str">
        <f t="shared" si="5"/>
        <v>No Gs</v>
      </c>
      <c r="H12" s="32" t="str">
        <f t="shared" si="8"/>
        <v>Gs is needed</v>
      </c>
      <c r="I12" s="32" t="str">
        <f t="shared" si="9"/>
        <v>Gs is needed</v>
      </c>
      <c r="J12" s="32" t="str">
        <f t="shared" si="10"/>
        <v>Gs is needed</v>
      </c>
      <c r="K12" s="32" t="str">
        <f t="shared" si="11"/>
        <v>Need Max and Min</v>
      </c>
      <c r="L12" s="32" t="str">
        <f t="shared" si="1"/>
        <v>Need Max and Min</v>
      </c>
      <c r="M12" s="32" t="str">
        <f t="shared" si="2"/>
        <v>Fail</v>
      </c>
      <c r="N12" s="32"/>
      <c r="O12" s="31">
        <f>'mnt Data'!A15</f>
        <v>0</v>
      </c>
      <c r="P12" s="31">
        <f>'mnt Data'!B15</f>
        <v>0</v>
      </c>
      <c r="Q12" s="31">
        <f>'mnt Data'!C15</f>
        <v>0</v>
      </c>
      <c r="R12" s="31">
        <f>'mnt Data'!D15</f>
        <v>0</v>
      </c>
      <c r="S12" s="31">
        <f>'mnt Data'!E15</f>
        <v>0</v>
      </c>
      <c r="T12" s="31">
        <f>'mnt Data'!F15</f>
        <v>0</v>
      </c>
      <c r="U12" s="31">
        <f>'mnt Data'!G15</f>
        <v>0</v>
      </c>
      <c r="V12" s="31">
        <f>'mnt Data'!H15</f>
        <v>0</v>
      </c>
      <c r="W12" s="31">
        <f>'mnt Data'!I15</f>
        <v>0</v>
      </c>
      <c r="X12" s="31">
        <f>'mnt Data'!J15</f>
        <v>0</v>
      </c>
      <c r="Y12" s="31">
        <f>'mnt Data'!K15</f>
        <v>0</v>
      </c>
      <c r="Z12" s="31">
        <f>'mnt Data'!L15</f>
        <v>0</v>
      </c>
      <c r="AA12" s="31">
        <f>'mnt Data'!M15</f>
        <v>0</v>
      </c>
      <c r="AB12" s="31">
        <f>'mnt Data'!N15</f>
        <v>0</v>
      </c>
      <c r="AC12" s="31">
        <f>'mnt Data'!O15</f>
        <v>0</v>
      </c>
      <c r="AD12" s="31">
        <f>'mnt Data'!P15</f>
        <v>0</v>
      </c>
      <c r="AE12" s="31">
        <f>'mnt Data'!Q15</f>
        <v>0</v>
      </c>
      <c r="AF12" s="31">
        <f>'mnt Data'!R15</f>
        <v>0</v>
      </c>
      <c r="AG12" s="31">
        <f>'mnt Data'!S15</f>
        <v>0</v>
      </c>
      <c r="AH12" s="31">
        <f>'mnt Data'!T15</f>
        <v>0</v>
      </c>
      <c r="AI12" s="31">
        <f>'mnt Data'!U15</f>
        <v>0</v>
      </c>
      <c r="AJ12" s="31">
        <f>'mnt Data'!V15</f>
        <v>0</v>
      </c>
      <c r="AK12" s="31">
        <f>'mnt Data'!W15</f>
        <v>0</v>
      </c>
      <c r="AL12" s="31">
        <f>'mnt Data'!X15</f>
        <v>0</v>
      </c>
      <c r="AM12" s="31">
        <f>'mnt Data'!Y15</f>
        <v>0</v>
      </c>
      <c r="AN12" s="31">
        <f>'mnt Data'!Z15</f>
        <v>0</v>
      </c>
      <c r="AO12" s="31">
        <f>'mnt Data'!AA15</f>
        <v>0</v>
      </c>
      <c r="AP12" s="31">
        <f>'mnt Data'!AB15</f>
        <v>0</v>
      </c>
      <c r="AQ12" s="31">
        <f>'mnt Data'!AC15</f>
        <v>0</v>
      </c>
      <c r="AR12" s="31">
        <f>'mnt Data'!AD15</f>
        <v>0</v>
      </c>
      <c r="AS12" s="31">
        <f>'mnt Data'!AE15</f>
        <v>0</v>
      </c>
      <c r="AT12" s="31">
        <f>'mnt Data'!AF15</f>
        <v>0</v>
      </c>
      <c r="AU12" s="31">
        <f>'mnt Data'!AG15</f>
        <v>0</v>
      </c>
      <c r="AV12" s="31">
        <f>'mnt Data'!AH15</f>
        <v>0</v>
      </c>
      <c r="AW12" s="31">
        <f>'mnt Data'!AI15</f>
        <v>0</v>
      </c>
      <c r="AX12" s="31">
        <f>'mnt Data'!AJ15</f>
        <v>0</v>
      </c>
      <c r="AY12" s="31">
        <f>'mnt Data'!AK15</f>
        <v>0</v>
      </c>
    </row>
    <row r="13" spans="1:54" x14ac:dyDescent="0.25">
      <c r="A13">
        <v>12</v>
      </c>
      <c r="B13" s="32">
        <f t="shared" si="6"/>
        <v>0</v>
      </c>
      <c r="C13" s="32">
        <f t="shared" si="7"/>
        <v>0</v>
      </c>
      <c r="D13" s="32" t="str">
        <f t="shared" si="0"/>
        <v>No Gs</v>
      </c>
      <c r="E13" s="32">
        <f t="shared" si="3"/>
        <v>0</v>
      </c>
      <c r="F13" s="32" t="str">
        <f t="shared" si="4"/>
        <v>No Gs</v>
      </c>
      <c r="G13" s="32" t="str">
        <f t="shared" si="5"/>
        <v>No Gs</v>
      </c>
      <c r="H13" s="32" t="str">
        <f t="shared" si="8"/>
        <v>Gs is needed</v>
      </c>
      <c r="I13" s="32" t="str">
        <f t="shared" si="9"/>
        <v>Gs is needed</v>
      </c>
      <c r="J13" s="32" t="str">
        <f t="shared" si="10"/>
        <v>Gs is needed</v>
      </c>
      <c r="K13" s="32" t="str">
        <f t="shared" si="11"/>
        <v>Need Max and Min</v>
      </c>
      <c r="L13" s="32" t="str">
        <f t="shared" si="1"/>
        <v>Need Max and Min</v>
      </c>
      <c r="M13" s="32" t="str">
        <f t="shared" si="2"/>
        <v>Fail</v>
      </c>
      <c r="N13" s="32"/>
      <c r="O13" s="31">
        <f>'mnt Data'!A16</f>
        <v>0</v>
      </c>
      <c r="P13" s="31">
        <f>'mnt Data'!B16</f>
        <v>0</v>
      </c>
      <c r="Q13" s="31">
        <f>'mnt Data'!C16</f>
        <v>0</v>
      </c>
      <c r="R13" s="31">
        <f>'mnt Data'!D16</f>
        <v>0</v>
      </c>
      <c r="S13" s="31">
        <f>'mnt Data'!E16</f>
        <v>0</v>
      </c>
      <c r="T13" s="31">
        <f>'mnt Data'!F16</f>
        <v>0</v>
      </c>
      <c r="U13" s="31">
        <f>'mnt Data'!G16</f>
        <v>0</v>
      </c>
      <c r="V13" s="31">
        <f>'mnt Data'!H16</f>
        <v>0</v>
      </c>
      <c r="W13" s="31">
        <f>'mnt Data'!I16</f>
        <v>0</v>
      </c>
      <c r="X13" s="31">
        <f>'mnt Data'!J16</f>
        <v>0</v>
      </c>
      <c r="Y13" s="31">
        <f>'mnt Data'!K16</f>
        <v>0</v>
      </c>
      <c r="Z13" s="31">
        <f>'mnt Data'!L16</f>
        <v>0</v>
      </c>
      <c r="AA13" s="31">
        <f>'mnt Data'!M16</f>
        <v>0</v>
      </c>
      <c r="AB13" s="31">
        <f>'mnt Data'!N16</f>
        <v>0</v>
      </c>
      <c r="AC13" s="31">
        <f>'mnt Data'!O16</f>
        <v>0</v>
      </c>
      <c r="AD13" s="31">
        <f>'mnt Data'!P16</f>
        <v>0</v>
      </c>
      <c r="AE13" s="31">
        <f>'mnt Data'!Q16</f>
        <v>0</v>
      </c>
      <c r="AF13" s="31">
        <f>'mnt Data'!R16</f>
        <v>0</v>
      </c>
      <c r="AG13" s="31">
        <f>'mnt Data'!S16</f>
        <v>0</v>
      </c>
      <c r="AH13" s="31">
        <f>'mnt Data'!T16</f>
        <v>0</v>
      </c>
      <c r="AI13" s="31">
        <f>'mnt Data'!U16</f>
        <v>0</v>
      </c>
      <c r="AJ13" s="31">
        <f>'mnt Data'!V16</f>
        <v>0</v>
      </c>
      <c r="AK13" s="31">
        <f>'mnt Data'!W16</f>
        <v>0</v>
      </c>
      <c r="AL13" s="31">
        <f>'mnt Data'!X16</f>
        <v>0</v>
      </c>
      <c r="AM13" s="31">
        <f>'mnt Data'!Y16</f>
        <v>0</v>
      </c>
      <c r="AN13" s="31">
        <f>'mnt Data'!Z16</f>
        <v>0</v>
      </c>
      <c r="AO13" s="31">
        <f>'mnt Data'!AA16</f>
        <v>0</v>
      </c>
      <c r="AP13" s="31">
        <f>'mnt Data'!AB16</f>
        <v>0</v>
      </c>
      <c r="AQ13" s="31">
        <f>'mnt Data'!AC16</f>
        <v>0</v>
      </c>
      <c r="AR13" s="31">
        <f>'mnt Data'!AD16</f>
        <v>0</v>
      </c>
      <c r="AS13" s="31">
        <f>'mnt Data'!AE16</f>
        <v>0</v>
      </c>
      <c r="AT13" s="31">
        <f>'mnt Data'!AF16</f>
        <v>0</v>
      </c>
      <c r="AU13" s="31">
        <f>'mnt Data'!AG16</f>
        <v>0</v>
      </c>
      <c r="AV13" s="31">
        <f>'mnt Data'!AH16</f>
        <v>0</v>
      </c>
      <c r="AW13" s="31">
        <f>'mnt Data'!AI16</f>
        <v>0</v>
      </c>
      <c r="AX13" s="31">
        <f>'mnt Data'!AJ16</f>
        <v>0</v>
      </c>
      <c r="AY13" s="31">
        <f>'mnt Data'!AK16</f>
        <v>0</v>
      </c>
    </row>
    <row r="14" spans="1:54" x14ac:dyDescent="0.25">
      <c r="A14">
        <v>13</v>
      </c>
      <c r="B14" s="32">
        <f t="shared" si="6"/>
        <v>0</v>
      </c>
      <c r="C14" s="32">
        <f t="shared" si="7"/>
        <v>0</v>
      </c>
      <c r="D14" s="32" t="str">
        <f t="shared" si="0"/>
        <v>No Gs</v>
      </c>
      <c r="E14" s="32">
        <f t="shared" si="3"/>
        <v>0</v>
      </c>
      <c r="F14" s="32" t="str">
        <f t="shared" si="4"/>
        <v>No Gs</v>
      </c>
      <c r="G14" s="32" t="str">
        <f t="shared" si="5"/>
        <v>No Gs</v>
      </c>
      <c r="H14" s="32" t="str">
        <f t="shared" si="8"/>
        <v>Gs is needed</v>
      </c>
      <c r="I14" s="32" t="str">
        <f t="shared" si="9"/>
        <v>Gs is needed</v>
      </c>
      <c r="J14" s="32" t="str">
        <f t="shared" si="10"/>
        <v>Gs is needed</v>
      </c>
      <c r="K14" s="32" t="str">
        <f t="shared" si="11"/>
        <v>Need Max and Min</v>
      </c>
      <c r="L14" s="32" t="str">
        <f t="shared" si="1"/>
        <v>Need Max and Min</v>
      </c>
      <c r="M14" s="32" t="str">
        <f t="shared" si="2"/>
        <v>Fail</v>
      </c>
      <c r="N14" s="32"/>
      <c r="O14" s="31">
        <f>'mnt Data'!A17</f>
        <v>0</v>
      </c>
      <c r="P14" s="31">
        <f>'mnt Data'!B17</f>
        <v>0</v>
      </c>
      <c r="Q14" s="31">
        <f>'mnt Data'!C17</f>
        <v>0</v>
      </c>
      <c r="R14" s="31">
        <f>'mnt Data'!D17</f>
        <v>0</v>
      </c>
      <c r="S14" s="31">
        <f>'mnt Data'!E17</f>
        <v>0</v>
      </c>
      <c r="T14" s="31">
        <f>'mnt Data'!F17</f>
        <v>0</v>
      </c>
      <c r="U14" s="31">
        <f>'mnt Data'!G17</f>
        <v>0</v>
      </c>
      <c r="V14" s="31">
        <f>'mnt Data'!H17</f>
        <v>0</v>
      </c>
      <c r="W14" s="31">
        <f>'mnt Data'!I17</f>
        <v>0</v>
      </c>
      <c r="X14" s="31">
        <f>'mnt Data'!J17</f>
        <v>0</v>
      </c>
      <c r="Y14" s="31">
        <f>'mnt Data'!K17</f>
        <v>0</v>
      </c>
      <c r="Z14" s="31">
        <f>'mnt Data'!L17</f>
        <v>0</v>
      </c>
      <c r="AA14" s="31">
        <f>'mnt Data'!M17</f>
        <v>0</v>
      </c>
      <c r="AB14" s="31">
        <f>'mnt Data'!N17</f>
        <v>0</v>
      </c>
      <c r="AC14" s="31">
        <f>'mnt Data'!O17</f>
        <v>0</v>
      </c>
      <c r="AD14" s="31">
        <f>'mnt Data'!P17</f>
        <v>0</v>
      </c>
      <c r="AE14" s="31">
        <f>'mnt Data'!Q17</f>
        <v>0</v>
      </c>
      <c r="AF14" s="31">
        <f>'mnt Data'!R17</f>
        <v>0</v>
      </c>
      <c r="AG14" s="31">
        <f>'mnt Data'!S17</f>
        <v>0</v>
      </c>
      <c r="AH14" s="31">
        <f>'mnt Data'!T17</f>
        <v>0</v>
      </c>
      <c r="AI14" s="31">
        <f>'mnt Data'!U17</f>
        <v>0</v>
      </c>
      <c r="AJ14" s="31">
        <f>'mnt Data'!V17</f>
        <v>0</v>
      </c>
      <c r="AK14" s="31">
        <f>'mnt Data'!W17</f>
        <v>0</v>
      </c>
      <c r="AL14" s="31">
        <f>'mnt Data'!X17</f>
        <v>0</v>
      </c>
      <c r="AM14" s="31">
        <f>'mnt Data'!Y17</f>
        <v>0</v>
      </c>
      <c r="AN14" s="31">
        <f>'mnt Data'!Z17</f>
        <v>0</v>
      </c>
      <c r="AO14" s="31">
        <f>'mnt Data'!AA17</f>
        <v>0</v>
      </c>
      <c r="AP14" s="31">
        <f>'mnt Data'!AB17</f>
        <v>0</v>
      </c>
      <c r="AQ14" s="31">
        <f>'mnt Data'!AC17</f>
        <v>0</v>
      </c>
      <c r="AR14" s="31">
        <f>'mnt Data'!AD17</f>
        <v>0</v>
      </c>
      <c r="AS14" s="31">
        <f>'mnt Data'!AE17</f>
        <v>0</v>
      </c>
      <c r="AT14" s="31">
        <f>'mnt Data'!AF17</f>
        <v>0</v>
      </c>
      <c r="AU14" s="31">
        <f>'mnt Data'!AG17</f>
        <v>0</v>
      </c>
      <c r="AV14" s="31">
        <f>'mnt Data'!AH17</f>
        <v>0</v>
      </c>
      <c r="AW14" s="31">
        <f>'mnt Data'!AI17</f>
        <v>0</v>
      </c>
      <c r="AX14" s="31">
        <f>'mnt Data'!AJ17</f>
        <v>0</v>
      </c>
      <c r="AY14" s="31">
        <f>'mnt Data'!AK17</f>
        <v>0</v>
      </c>
    </row>
    <row r="15" spans="1:54" x14ac:dyDescent="0.25">
      <c r="A15">
        <v>14</v>
      </c>
      <c r="B15" s="32">
        <f t="shared" si="6"/>
        <v>0</v>
      </c>
      <c r="C15" s="32">
        <f t="shared" si="7"/>
        <v>0</v>
      </c>
      <c r="D15" s="32" t="str">
        <f t="shared" si="0"/>
        <v>No Gs</v>
      </c>
      <c r="E15" s="32">
        <f t="shared" si="3"/>
        <v>0</v>
      </c>
      <c r="F15" s="32" t="str">
        <f t="shared" si="4"/>
        <v>No Gs</v>
      </c>
      <c r="G15" s="32" t="str">
        <f t="shared" si="5"/>
        <v>No Gs</v>
      </c>
      <c r="H15" s="32" t="str">
        <f t="shared" si="8"/>
        <v>Gs is needed</v>
      </c>
      <c r="I15" s="32" t="str">
        <f t="shared" si="9"/>
        <v>Gs is needed</v>
      </c>
      <c r="J15" s="32" t="str">
        <f t="shared" si="10"/>
        <v>Gs is needed</v>
      </c>
      <c r="K15" s="32" t="str">
        <f t="shared" si="11"/>
        <v>Need Max and Min</v>
      </c>
      <c r="L15" s="32" t="str">
        <f t="shared" si="1"/>
        <v>Need Max and Min</v>
      </c>
      <c r="M15" s="32" t="str">
        <f t="shared" si="2"/>
        <v>Fail</v>
      </c>
      <c r="N15" s="32"/>
      <c r="O15" s="31">
        <f>'mnt Data'!A18</f>
        <v>0</v>
      </c>
      <c r="P15" s="31">
        <f>'mnt Data'!B18</f>
        <v>0</v>
      </c>
      <c r="Q15" s="31">
        <f>'mnt Data'!C18</f>
        <v>0</v>
      </c>
      <c r="R15" s="31">
        <f>'mnt Data'!D18</f>
        <v>0</v>
      </c>
      <c r="S15" s="31">
        <f>'mnt Data'!E18</f>
        <v>0</v>
      </c>
      <c r="T15" s="31">
        <f>'mnt Data'!F18</f>
        <v>0</v>
      </c>
      <c r="U15" s="31">
        <f>'mnt Data'!G18</f>
        <v>0</v>
      </c>
      <c r="V15" s="31">
        <f>'mnt Data'!H18</f>
        <v>0</v>
      </c>
      <c r="W15" s="31">
        <f>'mnt Data'!I18</f>
        <v>0</v>
      </c>
      <c r="X15" s="31">
        <f>'mnt Data'!J18</f>
        <v>0</v>
      </c>
      <c r="Y15" s="31">
        <f>'mnt Data'!K18</f>
        <v>0</v>
      </c>
      <c r="Z15" s="31">
        <f>'mnt Data'!L18</f>
        <v>0</v>
      </c>
      <c r="AA15" s="31">
        <f>'mnt Data'!M18</f>
        <v>0</v>
      </c>
      <c r="AB15" s="31">
        <f>'mnt Data'!N18</f>
        <v>0</v>
      </c>
      <c r="AC15" s="31">
        <f>'mnt Data'!O18</f>
        <v>0</v>
      </c>
      <c r="AD15" s="31">
        <f>'mnt Data'!P18</f>
        <v>0</v>
      </c>
      <c r="AE15" s="31">
        <f>'mnt Data'!Q18</f>
        <v>0</v>
      </c>
      <c r="AF15" s="31">
        <f>'mnt Data'!R18</f>
        <v>0</v>
      </c>
      <c r="AG15" s="31">
        <f>'mnt Data'!S18</f>
        <v>0</v>
      </c>
      <c r="AH15" s="31">
        <f>'mnt Data'!T18</f>
        <v>0</v>
      </c>
      <c r="AI15" s="31">
        <f>'mnt Data'!U18</f>
        <v>0</v>
      </c>
      <c r="AJ15" s="31">
        <f>'mnt Data'!V18</f>
        <v>0</v>
      </c>
      <c r="AK15" s="31">
        <f>'mnt Data'!W18</f>
        <v>0</v>
      </c>
      <c r="AL15" s="31">
        <f>'mnt Data'!X18</f>
        <v>0</v>
      </c>
      <c r="AM15" s="31">
        <f>'mnt Data'!Y18</f>
        <v>0</v>
      </c>
      <c r="AN15" s="31">
        <f>'mnt Data'!Z18</f>
        <v>0</v>
      </c>
      <c r="AO15" s="31">
        <f>'mnt Data'!AA18</f>
        <v>0</v>
      </c>
      <c r="AP15" s="31">
        <f>'mnt Data'!AB18</f>
        <v>0</v>
      </c>
      <c r="AQ15" s="31">
        <f>'mnt Data'!AC18</f>
        <v>0</v>
      </c>
      <c r="AR15" s="31">
        <f>'mnt Data'!AD18</f>
        <v>0</v>
      </c>
      <c r="AS15" s="31">
        <f>'mnt Data'!AE18</f>
        <v>0</v>
      </c>
      <c r="AT15" s="31">
        <f>'mnt Data'!AF18</f>
        <v>0</v>
      </c>
      <c r="AU15" s="31">
        <f>'mnt Data'!AG18</f>
        <v>0</v>
      </c>
      <c r="AV15" s="31">
        <f>'mnt Data'!AH18</f>
        <v>0</v>
      </c>
      <c r="AW15" s="31">
        <f>'mnt Data'!AI18</f>
        <v>0</v>
      </c>
      <c r="AX15" s="31">
        <f>'mnt Data'!AJ18</f>
        <v>0</v>
      </c>
      <c r="AY15" s="31">
        <f>'mnt Data'!AK18</f>
        <v>0</v>
      </c>
    </row>
    <row r="16" spans="1:54" x14ac:dyDescent="0.25">
      <c r="A16">
        <v>15</v>
      </c>
      <c r="B16" s="32">
        <f t="shared" si="6"/>
        <v>0</v>
      </c>
      <c r="C16" s="32">
        <f t="shared" si="7"/>
        <v>0</v>
      </c>
      <c r="D16" s="32" t="str">
        <f t="shared" si="0"/>
        <v>No Gs</v>
      </c>
      <c r="E16" s="32">
        <f t="shared" si="3"/>
        <v>0</v>
      </c>
      <c r="F16" s="32" t="str">
        <f t="shared" si="4"/>
        <v>No Gs</v>
      </c>
      <c r="G16" s="32" t="str">
        <f t="shared" si="5"/>
        <v>No Gs</v>
      </c>
      <c r="H16" s="32" t="str">
        <f t="shared" si="8"/>
        <v>Gs is needed</v>
      </c>
      <c r="I16" s="32" t="str">
        <f t="shared" si="9"/>
        <v>Gs is needed</v>
      </c>
      <c r="J16" s="32" t="str">
        <f t="shared" si="10"/>
        <v>Gs is needed</v>
      </c>
      <c r="K16" s="32" t="str">
        <f t="shared" si="11"/>
        <v>Need Max and Min</v>
      </c>
      <c r="L16" s="32" t="str">
        <f t="shared" si="1"/>
        <v>Need Max and Min</v>
      </c>
      <c r="M16" s="32" t="str">
        <f t="shared" si="2"/>
        <v>Fail</v>
      </c>
      <c r="N16" s="32"/>
      <c r="O16" s="31">
        <f>'mnt Data'!A19</f>
        <v>0</v>
      </c>
      <c r="P16" s="31">
        <f>'mnt Data'!B19</f>
        <v>0</v>
      </c>
      <c r="Q16" s="31">
        <f>'mnt Data'!C19</f>
        <v>0</v>
      </c>
      <c r="R16" s="31">
        <f>'mnt Data'!D19</f>
        <v>0</v>
      </c>
      <c r="S16" s="31">
        <f>'mnt Data'!E19</f>
        <v>0</v>
      </c>
      <c r="T16" s="31">
        <f>'mnt Data'!F19</f>
        <v>0</v>
      </c>
      <c r="U16" s="31">
        <f>'mnt Data'!G19</f>
        <v>0</v>
      </c>
      <c r="V16" s="31">
        <f>'mnt Data'!H19</f>
        <v>0</v>
      </c>
      <c r="W16" s="31">
        <f>'mnt Data'!I19</f>
        <v>0</v>
      </c>
      <c r="X16" s="31">
        <f>'mnt Data'!J19</f>
        <v>0</v>
      </c>
      <c r="Y16" s="31">
        <f>'mnt Data'!K19</f>
        <v>0</v>
      </c>
      <c r="Z16" s="31">
        <f>'mnt Data'!L19</f>
        <v>0</v>
      </c>
      <c r="AA16" s="31">
        <f>'mnt Data'!M19</f>
        <v>0</v>
      </c>
      <c r="AB16" s="31">
        <f>'mnt Data'!N19</f>
        <v>0</v>
      </c>
      <c r="AC16" s="31">
        <f>'mnt Data'!O19</f>
        <v>0</v>
      </c>
      <c r="AD16" s="31">
        <f>'mnt Data'!P19</f>
        <v>0</v>
      </c>
      <c r="AE16" s="31">
        <f>'mnt Data'!Q19</f>
        <v>0</v>
      </c>
      <c r="AF16" s="31">
        <f>'mnt Data'!R19</f>
        <v>0</v>
      </c>
      <c r="AG16" s="31">
        <f>'mnt Data'!S19</f>
        <v>0</v>
      </c>
      <c r="AH16" s="31">
        <f>'mnt Data'!T19</f>
        <v>0</v>
      </c>
      <c r="AI16" s="31">
        <f>'mnt Data'!U19</f>
        <v>0</v>
      </c>
      <c r="AJ16" s="31">
        <f>'mnt Data'!V19</f>
        <v>0</v>
      </c>
      <c r="AK16" s="31">
        <f>'mnt Data'!W19</f>
        <v>0</v>
      </c>
      <c r="AL16" s="31">
        <f>'mnt Data'!X19</f>
        <v>0</v>
      </c>
      <c r="AM16" s="31">
        <f>'mnt Data'!Y19</f>
        <v>0</v>
      </c>
      <c r="AN16" s="31">
        <f>'mnt Data'!Z19</f>
        <v>0</v>
      </c>
      <c r="AO16" s="31">
        <f>'mnt Data'!AA19</f>
        <v>0</v>
      </c>
      <c r="AP16" s="31">
        <f>'mnt Data'!AB19</f>
        <v>0</v>
      </c>
      <c r="AQ16" s="31">
        <f>'mnt Data'!AC19</f>
        <v>0</v>
      </c>
      <c r="AR16" s="31">
        <f>'mnt Data'!AD19</f>
        <v>0</v>
      </c>
      <c r="AS16" s="31">
        <f>'mnt Data'!AE19</f>
        <v>0</v>
      </c>
      <c r="AT16" s="31">
        <f>'mnt Data'!AF19</f>
        <v>0</v>
      </c>
      <c r="AU16" s="31">
        <f>'mnt Data'!AG19</f>
        <v>0</v>
      </c>
      <c r="AV16" s="31">
        <f>'mnt Data'!AH19</f>
        <v>0</v>
      </c>
      <c r="AW16" s="31">
        <f>'mnt Data'!AI19</f>
        <v>0</v>
      </c>
      <c r="AX16" s="31">
        <f>'mnt Data'!AJ19</f>
        <v>0</v>
      </c>
      <c r="AY16" s="31">
        <f>'mnt Data'!AK19</f>
        <v>0</v>
      </c>
    </row>
    <row r="17" spans="1:51" x14ac:dyDescent="0.25">
      <c r="A17">
        <v>16</v>
      </c>
      <c r="B17" s="32">
        <f t="shared" si="6"/>
        <v>0</v>
      </c>
      <c r="C17" s="32">
        <f t="shared" si="7"/>
        <v>0</v>
      </c>
      <c r="D17" s="32" t="str">
        <f t="shared" si="0"/>
        <v>No Gs</v>
      </c>
      <c r="E17" s="32">
        <f t="shared" si="3"/>
        <v>0</v>
      </c>
      <c r="F17" s="32" t="str">
        <f t="shared" si="4"/>
        <v>No Gs</v>
      </c>
      <c r="G17" s="32" t="str">
        <f t="shared" si="5"/>
        <v>No Gs</v>
      </c>
      <c r="H17" s="32" t="str">
        <f t="shared" si="8"/>
        <v>Gs is needed</v>
      </c>
      <c r="I17" s="32" t="str">
        <f t="shared" si="9"/>
        <v>Gs is needed</v>
      </c>
      <c r="J17" s="32" t="str">
        <f t="shared" si="10"/>
        <v>Gs is needed</v>
      </c>
      <c r="K17" s="32" t="str">
        <f t="shared" si="11"/>
        <v>Need Max and Min</v>
      </c>
      <c r="L17" s="32" t="str">
        <f t="shared" si="1"/>
        <v>Need Max and Min</v>
      </c>
      <c r="M17" s="32" t="str">
        <f t="shared" si="2"/>
        <v>Fail</v>
      </c>
      <c r="N17" s="32"/>
      <c r="O17" s="31">
        <f>'mnt Data'!A20</f>
        <v>0</v>
      </c>
      <c r="P17" s="31">
        <f>'mnt Data'!B20</f>
        <v>0</v>
      </c>
      <c r="Q17" s="31">
        <f>'mnt Data'!C20</f>
        <v>0</v>
      </c>
      <c r="R17" s="31">
        <f>'mnt Data'!D20</f>
        <v>0</v>
      </c>
      <c r="S17" s="31">
        <f>'mnt Data'!E20</f>
        <v>0</v>
      </c>
      <c r="T17" s="31">
        <f>'mnt Data'!F20</f>
        <v>0</v>
      </c>
      <c r="U17" s="31">
        <f>'mnt Data'!G20</f>
        <v>0</v>
      </c>
      <c r="V17" s="31">
        <f>'mnt Data'!H20</f>
        <v>0</v>
      </c>
      <c r="W17" s="31">
        <f>'mnt Data'!I20</f>
        <v>0</v>
      </c>
      <c r="X17" s="31">
        <f>'mnt Data'!J20</f>
        <v>0</v>
      </c>
      <c r="Y17" s="31">
        <f>'mnt Data'!K20</f>
        <v>0</v>
      </c>
      <c r="Z17" s="31">
        <f>'mnt Data'!L20</f>
        <v>0</v>
      </c>
      <c r="AA17" s="31">
        <f>'mnt Data'!M20</f>
        <v>0</v>
      </c>
      <c r="AB17" s="31">
        <f>'mnt Data'!N20</f>
        <v>0</v>
      </c>
      <c r="AC17" s="31">
        <f>'mnt Data'!O20</f>
        <v>0</v>
      </c>
      <c r="AD17" s="31">
        <f>'mnt Data'!P20</f>
        <v>0</v>
      </c>
      <c r="AE17" s="31">
        <f>'mnt Data'!Q20</f>
        <v>0</v>
      </c>
      <c r="AF17" s="31">
        <f>'mnt Data'!R20</f>
        <v>0</v>
      </c>
      <c r="AG17" s="31">
        <f>'mnt Data'!S20</f>
        <v>0</v>
      </c>
      <c r="AH17" s="31">
        <f>'mnt Data'!T20</f>
        <v>0</v>
      </c>
      <c r="AI17" s="31">
        <f>'mnt Data'!U20</f>
        <v>0</v>
      </c>
      <c r="AJ17" s="31">
        <f>'mnt Data'!V20</f>
        <v>0</v>
      </c>
      <c r="AK17" s="31">
        <f>'mnt Data'!W20</f>
        <v>0</v>
      </c>
      <c r="AL17" s="31">
        <f>'mnt Data'!X20</f>
        <v>0</v>
      </c>
      <c r="AM17" s="31">
        <f>'mnt Data'!Y20</f>
        <v>0</v>
      </c>
      <c r="AN17" s="31">
        <f>'mnt Data'!Z20</f>
        <v>0</v>
      </c>
      <c r="AO17" s="31">
        <f>'mnt Data'!AA20</f>
        <v>0</v>
      </c>
      <c r="AP17" s="31">
        <f>'mnt Data'!AB20</f>
        <v>0</v>
      </c>
      <c r="AQ17" s="31">
        <f>'mnt Data'!AC20</f>
        <v>0</v>
      </c>
      <c r="AR17" s="31">
        <f>'mnt Data'!AD20</f>
        <v>0</v>
      </c>
      <c r="AS17" s="31">
        <f>'mnt Data'!AE20</f>
        <v>0</v>
      </c>
      <c r="AT17" s="31">
        <f>'mnt Data'!AF20</f>
        <v>0</v>
      </c>
      <c r="AU17" s="31">
        <f>'mnt Data'!AG20</f>
        <v>0</v>
      </c>
      <c r="AV17" s="31">
        <f>'mnt Data'!AH20</f>
        <v>0</v>
      </c>
      <c r="AW17" s="31">
        <f>'mnt Data'!AI20</f>
        <v>0</v>
      </c>
      <c r="AX17" s="31">
        <f>'mnt Data'!AJ20</f>
        <v>0</v>
      </c>
      <c r="AY17" s="31">
        <f>'mnt Data'!AK20</f>
        <v>0</v>
      </c>
    </row>
    <row r="18" spans="1:51" x14ac:dyDescent="0.25">
      <c r="A18">
        <v>17</v>
      </c>
      <c r="B18" s="32">
        <f t="shared" si="6"/>
        <v>0</v>
      </c>
      <c r="C18" s="32">
        <f t="shared" si="7"/>
        <v>0</v>
      </c>
      <c r="D18" s="32" t="str">
        <f t="shared" si="0"/>
        <v>No Gs</v>
      </c>
      <c r="E18" s="32">
        <f t="shared" si="3"/>
        <v>0</v>
      </c>
      <c r="F18" s="32" t="str">
        <f t="shared" si="4"/>
        <v>No Gs</v>
      </c>
      <c r="G18" s="32" t="str">
        <f t="shared" si="5"/>
        <v>No Gs</v>
      </c>
      <c r="H18" s="32" t="str">
        <f t="shared" si="8"/>
        <v>Gs is needed</v>
      </c>
      <c r="I18" s="32" t="str">
        <f t="shared" si="9"/>
        <v>Gs is needed</v>
      </c>
      <c r="J18" s="32" t="str">
        <f t="shared" si="10"/>
        <v>Gs is needed</v>
      </c>
      <c r="K18" s="32" t="str">
        <f t="shared" si="11"/>
        <v>Need Max and Min</v>
      </c>
      <c r="L18" s="32" t="str">
        <f t="shared" si="1"/>
        <v>Need Max and Min</v>
      </c>
      <c r="M18" s="32" t="str">
        <f t="shared" si="2"/>
        <v>Fail</v>
      </c>
      <c r="N18" s="32"/>
      <c r="O18" s="31">
        <f>'mnt Data'!A21</f>
        <v>0</v>
      </c>
      <c r="P18" s="31">
        <f>'mnt Data'!B21</f>
        <v>0</v>
      </c>
      <c r="Q18" s="31">
        <f>'mnt Data'!C21</f>
        <v>0</v>
      </c>
      <c r="R18" s="31">
        <f>'mnt Data'!D21</f>
        <v>0</v>
      </c>
      <c r="S18" s="31">
        <f>'mnt Data'!E21</f>
        <v>0</v>
      </c>
      <c r="T18" s="31">
        <f>'mnt Data'!F21</f>
        <v>0</v>
      </c>
      <c r="U18" s="31">
        <f>'mnt Data'!G21</f>
        <v>0</v>
      </c>
      <c r="V18" s="31">
        <f>'mnt Data'!H21</f>
        <v>0</v>
      </c>
      <c r="W18" s="31">
        <f>'mnt Data'!I21</f>
        <v>0</v>
      </c>
      <c r="X18" s="31">
        <f>'mnt Data'!J21</f>
        <v>0</v>
      </c>
      <c r="Y18" s="31">
        <f>'mnt Data'!K21</f>
        <v>0</v>
      </c>
      <c r="Z18" s="31">
        <f>'mnt Data'!L21</f>
        <v>0</v>
      </c>
      <c r="AA18" s="31">
        <f>'mnt Data'!M21</f>
        <v>0</v>
      </c>
      <c r="AB18" s="31">
        <f>'mnt Data'!N21</f>
        <v>0</v>
      </c>
      <c r="AC18" s="31">
        <f>'mnt Data'!O21</f>
        <v>0</v>
      </c>
      <c r="AD18" s="31">
        <f>'mnt Data'!P21</f>
        <v>0</v>
      </c>
      <c r="AE18" s="31">
        <f>'mnt Data'!Q21</f>
        <v>0</v>
      </c>
      <c r="AF18" s="31">
        <f>'mnt Data'!R21</f>
        <v>0</v>
      </c>
      <c r="AG18" s="31">
        <f>'mnt Data'!S21</f>
        <v>0</v>
      </c>
      <c r="AH18" s="31">
        <f>'mnt Data'!T21</f>
        <v>0</v>
      </c>
      <c r="AI18" s="31">
        <f>'mnt Data'!U21</f>
        <v>0</v>
      </c>
      <c r="AJ18" s="31">
        <f>'mnt Data'!V21</f>
        <v>0</v>
      </c>
      <c r="AK18" s="31">
        <f>'mnt Data'!W21</f>
        <v>0</v>
      </c>
      <c r="AL18" s="31">
        <f>'mnt Data'!X21</f>
        <v>0</v>
      </c>
      <c r="AM18" s="31">
        <f>'mnt Data'!Y21</f>
        <v>0</v>
      </c>
      <c r="AN18" s="31">
        <f>'mnt Data'!Z21</f>
        <v>0</v>
      </c>
      <c r="AO18" s="31">
        <f>'mnt Data'!AA21</f>
        <v>0</v>
      </c>
      <c r="AP18" s="31">
        <f>'mnt Data'!AB21</f>
        <v>0</v>
      </c>
      <c r="AQ18" s="31">
        <f>'mnt Data'!AC21</f>
        <v>0</v>
      </c>
      <c r="AR18" s="31">
        <f>'mnt Data'!AD21</f>
        <v>0</v>
      </c>
      <c r="AS18" s="31">
        <f>'mnt Data'!AE21</f>
        <v>0</v>
      </c>
      <c r="AT18" s="31">
        <f>'mnt Data'!AF21</f>
        <v>0</v>
      </c>
      <c r="AU18" s="31">
        <f>'mnt Data'!AG21</f>
        <v>0</v>
      </c>
      <c r="AV18" s="31">
        <f>'mnt Data'!AH21</f>
        <v>0</v>
      </c>
      <c r="AW18" s="31">
        <f>'mnt Data'!AI21</f>
        <v>0</v>
      </c>
      <c r="AX18" s="31">
        <f>'mnt Data'!AJ21</f>
        <v>0</v>
      </c>
      <c r="AY18" s="31">
        <f>'mnt Data'!AK21</f>
        <v>0</v>
      </c>
    </row>
    <row r="19" spans="1:51" x14ac:dyDescent="0.25">
      <c r="A19">
        <v>18</v>
      </c>
      <c r="B19" s="32">
        <f t="shared" si="6"/>
        <v>0</v>
      </c>
      <c r="C19" s="32">
        <f t="shared" si="7"/>
        <v>0</v>
      </c>
      <c r="D19" s="32" t="str">
        <f t="shared" si="0"/>
        <v>No Gs</v>
      </c>
      <c r="E19" s="32">
        <f t="shared" si="3"/>
        <v>0</v>
      </c>
      <c r="F19" s="32" t="str">
        <f t="shared" si="4"/>
        <v>No Gs</v>
      </c>
      <c r="G19" s="32" t="str">
        <f t="shared" si="5"/>
        <v>No Gs</v>
      </c>
      <c r="H19" s="32" t="str">
        <f t="shared" si="8"/>
        <v>Gs is needed</v>
      </c>
      <c r="I19" s="32" t="str">
        <f t="shared" si="9"/>
        <v>Gs is needed</v>
      </c>
      <c r="J19" s="32" t="str">
        <f t="shared" si="10"/>
        <v>Gs is needed</v>
      </c>
      <c r="K19" s="32" t="str">
        <f t="shared" si="11"/>
        <v>Need Max and Min</v>
      </c>
      <c r="L19" s="32" t="str">
        <f t="shared" si="1"/>
        <v>Need Max and Min</v>
      </c>
      <c r="M19" s="32" t="str">
        <f t="shared" si="2"/>
        <v>Fail</v>
      </c>
      <c r="N19" s="32"/>
      <c r="O19" s="31">
        <f>'mnt Data'!A22</f>
        <v>0</v>
      </c>
      <c r="P19" s="31">
        <f>'mnt Data'!B22</f>
        <v>0</v>
      </c>
      <c r="Q19" s="31">
        <f>'mnt Data'!C22</f>
        <v>0</v>
      </c>
      <c r="R19" s="31">
        <f>'mnt Data'!D22</f>
        <v>0</v>
      </c>
      <c r="S19" s="31">
        <f>'mnt Data'!E22</f>
        <v>0</v>
      </c>
      <c r="T19" s="31">
        <f>'mnt Data'!F22</f>
        <v>0</v>
      </c>
      <c r="U19" s="31">
        <f>'mnt Data'!G22</f>
        <v>0</v>
      </c>
      <c r="V19" s="31">
        <f>'mnt Data'!H22</f>
        <v>0</v>
      </c>
      <c r="W19" s="31">
        <f>'mnt Data'!I22</f>
        <v>0</v>
      </c>
      <c r="X19" s="31">
        <f>'mnt Data'!J22</f>
        <v>0</v>
      </c>
      <c r="Y19" s="31">
        <f>'mnt Data'!K22</f>
        <v>0</v>
      </c>
      <c r="Z19" s="31">
        <f>'mnt Data'!L22</f>
        <v>0</v>
      </c>
      <c r="AA19" s="31">
        <f>'mnt Data'!M22</f>
        <v>0</v>
      </c>
      <c r="AB19" s="31">
        <f>'mnt Data'!N22</f>
        <v>0</v>
      </c>
      <c r="AC19" s="31">
        <f>'mnt Data'!O22</f>
        <v>0</v>
      </c>
      <c r="AD19" s="31">
        <f>'mnt Data'!P22</f>
        <v>0</v>
      </c>
      <c r="AE19" s="31">
        <f>'mnt Data'!Q22</f>
        <v>0</v>
      </c>
      <c r="AF19" s="31">
        <f>'mnt Data'!R22</f>
        <v>0</v>
      </c>
      <c r="AG19" s="31">
        <f>'mnt Data'!S22</f>
        <v>0</v>
      </c>
      <c r="AH19" s="31">
        <f>'mnt Data'!T22</f>
        <v>0</v>
      </c>
      <c r="AI19" s="31">
        <f>'mnt Data'!U22</f>
        <v>0</v>
      </c>
      <c r="AJ19" s="31">
        <f>'mnt Data'!V22</f>
        <v>0</v>
      </c>
      <c r="AK19" s="31">
        <f>'mnt Data'!W22</f>
        <v>0</v>
      </c>
      <c r="AL19" s="31">
        <f>'mnt Data'!X22</f>
        <v>0</v>
      </c>
      <c r="AM19" s="31">
        <f>'mnt Data'!Y22</f>
        <v>0</v>
      </c>
      <c r="AN19" s="31">
        <f>'mnt Data'!Z22</f>
        <v>0</v>
      </c>
      <c r="AO19" s="31">
        <f>'mnt Data'!AA22</f>
        <v>0</v>
      </c>
      <c r="AP19" s="31">
        <f>'mnt Data'!AB22</f>
        <v>0</v>
      </c>
      <c r="AQ19" s="31">
        <f>'mnt Data'!AC22</f>
        <v>0</v>
      </c>
      <c r="AR19" s="31">
        <f>'mnt Data'!AD22</f>
        <v>0</v>
      </c>
      <c r="AS19" s="31">
        <f>'mnt Data'!AE22</f>
        <v>0</v>
      </c>
      <c r="AT19" s="31">
        <f>'mnt Data'!AF22</f>
        <v>0</v>
      </c>
      <c r="AU19" s="31">
        <f>'mnt Data'!AG22</f>
        <v>0</v>
      </c>
      <c r="AV19" s="31">
        <f>'mnt Data'!AH22</f>
        <v>0</v>
      </c>
      <c r="AW19" s="31">
        <f>'mnt Data'!AI22</f>
        <v>0</v>
      </c>
      <c r="AX19" s="31">
        <f>'mnt Data'!AJ22</f>
        <v>0</v>
      </c>
      <c r="AY19" s="31">
        <f>'mnt Data'!AK22</f>
        <v>0</v>
      </c>
    </row>
    <row r="20" spans="1:51" x14ac:dyDescent="0.25">
      <c r="A20">
        <v>19</v>
      </c>
      <c r="B20" s="32">
        <f t="shared" si="6"/>
        <v>0</v>
      </c>
      <c r="C20" s="32">
        <f t="shared" si="7"/>
        <v>0</v>
      </c>
      <c r="D20" s="32" t="str">
        <f t="shared" si="0"/>
        <v>No Gs</v>
      </c>
      <c r="E20" s="32">
        <f t="shared" si="3"/>
        <v>0</v>
      </c>
      <c r="F20" s="32" t="str">
        <f t="shared" si="4"/>
        <v>No Gs</v>
      </c>
      <c r="G20" s="32" t="str">
        <f t="shared" si="5"/>
        <v>No Gs</v>
      </c>
      <c r="H20" s="32" t="str">
        <f t="shared" si="8"/>
        <v>Gs is needed</v>
      </c>
      <c r="I20" s="32" t="str">
        <f t="shared" si="9"/>
        <v>Gs is needed</v>
      </c>
      <c r="J20" s="32" t="str">
        <f t="shared" si="10"/>
        <v>Gs is needed</v>
      </c>
      <c r="K20" s="32" t="str">
        <f t="shared" si="11"/>
        <v>Need Max and Min</v>
      </c>
      <c r="L20" s="32" t="str">
        <f t="shared" si="1"/>
        <v>Need Max and Min</v>
      </c>
      <c r="M20" s="32" t="str">
        <f t="shared" si="2"/>
        <v>Fail</v>
      </c>
      <c r="N20" s="32"/>
      <c r="O20" s="31">
        <f>'mnt Data'!A23</f>
        <v>0</v>
      </c>
      <c r="P20" s="31">
        <f>'mnt Data'!B23</f>
        <v>0</v>
      </c>
      <c r="Q20" s="31">
        <f>'mnt Data'!C23</f>
        <v>0</v>
      </c>
      <c r="R20" s="31">
        <f>'mnt Data'!D23</f>
        <v>0</v>
      </c>
      <c r="S20" s="31">
        <f>'mnt Data'!E23</f>
        <v>0</v>
      </c>
      <c r="T20" s="31">
        <f>'mnt Data'!F23</f>
        <v>0</v>
      </c>
      <c r="U20" s="31">
        <f>'mnt Data'!G23</f>
        <v>0</v>
      </c>
      <c r="V20" s="31">
        <f>'mnt Data'!H23</f>
        <v>0</v>
      </c>
      <c r="W20" s="31">
        <f>'mnt Data'!I23</f>
        <v>0</v>
      </c>
      <c r="X20" s="31">
        <f>'mnt Data'!J23</f>
        <v>0</v>
      </c>
      <c r="Y20" s="31">
        <f>'mnt Data'!K23</f>
        <v>0</v>
      </c>
      <c r="Z20" s="31">
        <f>'mnt Data'!L23</f>
        <v>0</v>
      </c>
      <c r="AA20" s="31">
        <f>'mnt Data'!M23</f>
        <v>0</v>
      </c>
      <c r="AB20" s="31">
        <f>'mnt Data'!N23</f>
        <v>0</v>
      </c>
      <c r="AC20" s="31">
        <f>'mnt Data'!O23</f>
        <v>0</v>
      </c>
      <c r="AD20" s="31">
        <f>'mnt Data'!P23</f>
        <v>0</v>
      </c>
      <c r="AE20" s="31">
        <f>'mnt Data'!Q23</f>
        <v>0</v>
      </c>
      <c r="AF20" s="31">
        <f>'mnt Data'!R23</f>
        <v>0</v>
      </c>
      <c r="AG20" s="31">
        <f>'mnt Data'!S23</f>
        <v>0</v>
      </c>
      <c r="AH20" s="31">
        <f>'mnt Data'!T23</f>
        <v>0</v>
      </c>
      <c r="AI20" s="31">
        <f>'mnt Data'!U23</f>
        <v>0</v>
      </c>
      <c r="AJ20" s="31">
        <f>'mnt Data'!V23</f>
        <v>0</v>
      </c>
      <c r="AK20" s="31">
        <f>'mnt Data'!W23</f>
        <v>0</v>
      </c>
      <c r="AL20" s="31">
        <f>'mnt Data'!X23</f>
        <v>0</v>
      </c>
      <c r="AM20" s="31">
        <f>'mnt Data'!Y23</f>
        <v>0</v>
      </c>
      <c r="AN20" s="31">
        <f>'mnt Data'!Z23</f>
        <v>0</v>
      </c>
      <c r="AO20" s="31">
        <f>'mnt Data'!AA23</f>
        <v>0</v>
      </c>
      <c r="AP20" s="31">
        <f>'mnt Data'!AB23</f>
        <v>0</v>
      </c>
      <c r="AQ20" s="31">
        <f>'mnt Data'!AC23</f>
        <v>0</v>
      </c>
      <c r="AR20" s="31">
        <f>'mnt Data'!AD23</f>
        <v>0</v>
      </c>
      <c r="AS20" s="31">
        <f>'mnt Data'!AE23</f>
        <v>0</v>
      </c>
      <c r="AT20" s="31">
        <f>'mnt Data'!AF23</f>
        <v>0</v>
      </c>
      <c r="AU20" s="31">
        <f>'mnt Data'!AG23</f>
        <v>0</v>
      </c>
      <c r="AV20" s="31">
        <f>'mnt Data'!AH23</f>
        <v>0</v>
      </c>
      <c r="AW20" s="31">
        <f>'mnt Data'!AI23</f>
        <v>0</v>
      </c>
      <c r="AX20" s="31">
        <f>'mnt Data'!AJ23</f>
        <v>0</v>
      </c>
      <c r="AY20" s="31">
        <f>'mnt Data'!AK23</f>
        <v>0</v>
      </c>
    </row>
    <row r="21" spans="1:51" x14ac:dyDescent="0.25">
      <c r="A21">
        <v>20</v>
      </c>
      <c r="B21" s="32">
        <f t="shared" si="6"/>
        <v>0</v>
      </c>
      <c r="C21" s="32">
        <f t="shared" si="7"/>
        <v>0</v>
      </c>
      <c r="D21" s="32" t="str">
        <f t="shared" si="0"/>
        <v>No Gs</v>
      </c>
      <c r="E21" s="32">
        <f t="shared" si="3"/>
        <v>0</v>
      </c>
      <c r="F21" s="32" t="str">
        <f t="shared" si="4"/>
        <v>No Gs</v>
      </c>
      <c r="G21" s="32" t="str">
        <f t="shared" si="5"/>
        <v>No Gs</v>
      </c>
      <c r="H21" s="32" t="str">
        <f t="shared" si="8"/>
        <v>Gs is needed</v>
      </c>
      <c r="I21" s="32" t="str">
        <f t="shared" si="9"/>
        <v>Gs is needed</v>
      </c>
      <c r="J21" s="32" t="str">
        <f t="shared" si="10"/>
        <v>Gs is needed</v>
      </c>
      <c r="K21" s="32" t="str">
        <f t="shared" si="11"/>
        <v>Need Max and Min</v>
      </c>
      <c r="L21" s="32" t="str">
        <f t="shared" si="1"/>
        <v>Need Max and Min</v>
      </c>
      <c r="M21" s="32" t="str">
        <f t="shared" si="2"/>
        <v>Fail</v>
      </c>
      <c r="N21" s="32"/>
      <c r="O21" s="31">
        <f>'mnt Data'!A24</f>
        <v>0</v>
      </c>
      <c r="P21" s="31">
        <f>'mnt Data'!B24</f>
        <v>0</v>
      </c>
      <c r="Q21" s="31">
        <f>'mnt Data'!C24</f>
        <v>0</v>
      </c>
      <c r="R21" s="31">
        <f>'mnt Data'!D24</f>
        <v>0</v>
      </c>
      <c r="S21" s="31">
        <f>'mnt Data'!E24</f>
        <v>0</v>
      </c>
      <c r="T21" s="31">
        <f>'mnt Data'!F24</f>
        <v>0</v>
      </c>
      <c r="U21" s="31">
        <f>'mnt Data'!G24</f>
        <v>0</v>
      </c>
      <c r="V21" s="31">
        <f>'mnt Data'!H24</f>
        <v>0</v>
      </c>
      <c r="W21" s="31">
        <f>'mnt Data'!I24</f>
        <v>0</v>
      </c>
      <c r="X21" s="31">
        <f>'mnt Data'!J24</f>
        <v>0</v>
      </c>
      <c r="Y21" s="31">
        <f>'mnt Data'!K24</f>
        <v>0</v>
      </c>
      <c r="Z21" s="31">
        <f>'mnt Data'!L24</f>
        <v>0</v>
      </c>
      <c r="AA21" s="31">
        <f>'mnt Data'!M24</f>
        <v>0</v>
      </c>
      <c r="AB21" s="31">
        <f>'mnt Data'!N24</f>
        <v>0</v>
      </c>
      <c r="AC21" s="31">
        <f>'mnt Data'!O24</f>
        <v>0</v>
      </c>
      <c r="AD21" s="31">
        <f>'mnt Data'!P24</f>
        <v>0</v>
      </c>
      <c r="AE21" s="31">
        <f>'mnt Data'!Q24</f>
        <v>0</v>
      </c>
      <c r="AF21" s="31">
        <f>'mnt Data'!R24</f>
        <v>0</v>
      </c>
      <c r="AG21" s="31">
        <f>'mnt Data'!S24</f>
        <v>0</v>
      </c>
      <c r="AH21" s="31">
        <f>'mnt Data'!T24</f>
        <v>0</v>
      </c>
      <c r="AI21" s="31">
        <f>'mnt Data'!U24</f>
        <v>0</v>
      </c>
      <c r="AJ21" s="31">
        <f>'mnt Data'!V24</f>
        <v>0</v>
      </c>
      <c r="AK21" s="31">
        <f>'mnt Data'!W24</f>
        <v>0</v>
      </c>
      <c r="AL21" s="31">
        <f>'mnt Data'!X24</f>
        <v>0</v>
      </c>
      <c r="AM21" s="31">
        <f>'mnt Data'!Y24</f>
        <v>0</v>
      </c>
      <c r="AN21" s="31">
        <f>'mnt Data'!Z24</f>
        <v>0</v>
      </c>
      <c r="AO21" s="31">
        <f>'mnt Data'!AA24</f>
        <v>0</v>
      </c>
      <c r="AP21" s="31">
        <f>'mnt Data'!AB24</f>
        <v>0</v>
      </c>
      <c r="AQ21" s="31">
        <f>'mnt Data'!AC24</f>
        <v>0</v>
      </c>
      <c r="AR21" s="31">
        <f>'mnt Data'!AD24</f>
        <v>0</v>
      </c>
      <c r="AS21" s="31">
        <f>'mnt Data'!AE24</f>
        <v>0</v>
      </c>
      <c r="AT21" s="31">
        <f>'mnt Data'!AF24</f>
        <v>0</v>
      </c>
      <c r="AU21" s="31">
        <f>'mnt Data'!AG24</f>
        <v>0</v>
      </c>
      <c r="AV21" s="31">
        <f>'mnt Data'!AH24</f>
        <v>0</v>
      </c>
      <c r="AW21" s="31">
        <f>'mnt Data'!AI24</f>
        <v>0</v>
      </c>
      <c r="AX21" s="31">
        <f>'mnt Data'!AJ24</f>
        <v>0</v>
      </c>
      <c r="AY21" s="31">
        <f>'mnt Data'!AK24</f>
        <v>0</v>
      </c>
    </row>
    <row r="22" spans="1:51" x14ac:dyDescent="0.25">
      <c r="A22">
        <v>21</v>
      </c>
      <c r="B22" s="32">
        <f t="shared" si="6"/>
        <v>0</v>
      </c>
      <c r="C22" s="32">
        <f t="shared" si="7"/>
        <v>0</v>
      </c>
      <c r="D22" s="32" t="str">
        <f t="shared" si="0"/>
        <v>No Gs</v>
      </c>
      <c r="E22" s="32">
        <f t="shared" si="3"/>
        <v>0</v>
      </c>
      <c r="F22" s="32" t="str">
        <f t="shared" si="4"/>
        <v>No Gs</v>
      </c>
      <c r="G22" s="32" t="str">
        <f t="shared" si="5"/>
        <v>No Gs</v>
      </c>
      <c r="H22" s="32" t="str">
        <f t="shared" si="8"/>
        <v>Gs is needed</v>
      </c>
      <c r="I22" s="32" t="str">
        <f t="shared" si="9"/>
        <v>Gs is needed</v>
      </c>
      <c r="J22" s="32" t="str">
        <f t="shared" si="10"/>
        <v>Gs is needed</v>
      </c>
      <c r="K22" s="32" t="str">
        <f t="shared" si="11"/>
        <v>Need Max and Min</v>
      </c>
      <c r="L22" s="32" t="str">
        <f t="shared" si="1"/>
        <v>Need Max and Min</v>
      </c>
      <c r="M22" s="32" t="str">
        <f t="shared" si="2"/>
        <v>Fail</v>
      </c>
      <c r="N22" s="32"/>
      <c r="O22" s="31">
        <f>'mnt Data'!A25</f>
        <v>0</v>
      </c>
      <c r="P22" s="31">
        <f>'mnt Data'!B25</f>
        <v>0</v>
      </c>
      <c r="Q22" s="31">
        <f>'mnt Data'!C25</f>
        <v>0</v>
      </c>
      <c r="R22" s="31">
        <f>'mnt Data'!D25</f>
        <v>0</v>
      </c>
      <c r="S22" s="31">
        <f>'mnt Data'!E25</f>
        <v>0</v>
      </c>
      <c r="T22" s="31">
        <f>'mnt Data'!F25</f>
        <v>0</v>
      </c>
      <c r="U22" s="31">
        <f>'mnt Data'!G25</f>
        <v>0</v>
      </c>
      <c r="V22" s="31">
        <f>'mnt Data'!H25</f>
        <v>0</v>
      </c>
      <c r="W22" s="31">
        <f>'mnt Data'!I25</f>
        <v>0</v>
      </c>
      <c r="X22" s="31">
        <f>'mnt Data'!J25</f>
        <v>0</v>
      </c>
      <c r="Y22" s="31">
        <f>'mnt Data'!K25</f>
        <v>0</v>
      </c>
      <c r="Z22" s="31">
        <f>'mnt Data'!L25</f>
        <v>0</v>
      </c>
      <c r="AA22" s="31">
        <f>'mnt Data'!M25</f>
        <v>0</v>
      </c>
      <c r="AB22" s="31">
        <f>'mnt Data'!N25</f>
        <v>0</v>
      </c>
      <c r="AC22" s="31">
        <f>'mnt Data'!O25</f>
        <v>0</v>
      </c>
      <c r="AD22" s="31">
        <f>'mnt Data'!P25</f>
        <v>0</v>
      </c>
      <c r="AE22" s="31">
        <f>'mnt Data'!Q25</f>
        <v>0</v>
      </c>
      <c r="AF22" s="31">
        <f>'mnt Data'!R25</f>
        <v>0</v>
      </c>
      <c r="AG22" s="31">
        <f>'mnt Data'!S25</f>
        <v>0</v>
      </c>
      <c r="AH22" s="31">
        <f>'mnt Data'!T25</f>
        <v>0</v>
      </c>
      <c r="AI22" s="31">
        <f>'mnt Data'!U25</f>
        <v>0</v>
      </c>
      <c r="AJ22" s="31">
        <f>'mnt Data'!V25</f>
        <v>0</v>
      </c>
      <c r="AK22" s="31">
        <f>'mnt Data'!W25</f>
        <v>0</v>
      </c>
      <c r="AL22" s="31">
        <f>'mnt Data'!X25</f>
        <v>0</v>
      </c>
      <c r="AM22" s="31">
        <f>'mnt Data'!Y25</f>
        <v>0</v>
      </c>
      <c r="AN22" s="31">
        <f>'mnt Data'!Z25</f>
        <v>0</v>
      </c>
      <c r="AO22" s="31">
        <f>'mnt Data'!AA25</f>
        <v>0</v>
      </c>
      <c r="AP22" s="31">
        <f>'mnt Data'!AB25</f>
        <v>0</v>
      </c>
      <c r="AQ22" s="31">
        <f>'mnt Data'!AC25</f>
        <v>0</v>
      </c>
      <c r="AR22" s="31">
        <f>'mnt Data'!AD25</f>
        <v>0</v>
      </c>
      <c r="AS22" s="31">
        <f>'mnt Data'!AE25</f>
        <v>0</v>
      </c>
      <c r="AT22" s="31">
        <f>'mnt Data'!AF25</f>
        <v>0</v>
      </c>
      <c r="AU22" s="31">
        <f>'mnt Data'!AG25</f>
        <v>0</v>
      </c>
      <c r="AV22" s="31">
        <f>'mnt Data'!AH25</f>
        <v>0</v>
      </c>
      <c r="AW22" s="31">
        <f>'mnt Data'!AI25</f>
        <v>0</v>
      </c>
      <c r="AX22" s="31">
        <f>'mnt Data'!AJ25</f>
        <v>0</v>
      </c>
      <c r="AY22" s="31">
        <f>'mnt Data'!AK25</f>
        <v>0</v>
      </c>
    </row>
    <row r="23" spans="1:51" x14ac:dyDescent="0.25">
      <c r="A23">
        <v>22</v>
      </c>
      <c r="B23" s="32">
        <f t="shared" si="6"/>
        <v>0</v>
      </c>
      <c r="C23" s="32">
        <f t="shared" si="7"/>
        <v>0</v>
      </c>
      <c r="D23" s="32" t="str">
        <f t="shared" si="0"/>
        <v>No Gs</v>
      </c>
      <c r="E23" s="32">
        <f t="shared" si="3"/>
        <v>0</v>
      </c>
      <c r="F23" s="32" t="str">
        <f t="shared" si="4"/>
        <v>No Gs</v>
      </c>
      <c r="G23" s="32" t="str">
        <f t="shared" si="5"/>
        <v>No Gs</v>
      </c>
      <c r="H23" s="32" t="str">
        <f t="shared" si="8"/>
        <v>Gs is needed</v>
      </c>
      <c r="I23" s="32" t="str">
        <f t="shared" si="9"/>
        <v>Gs is needed</v>
      </c>
      <c r="J23" s="32" t="str">
        <f t="shared" si="10"/>
        <v>Gs is needed</v>
      </c>
      <c r="K23" s="32" t="str">
        <f t="shared" si="11"/>
        <v>Need Max and Min</v>
      </c>
      <c r="L23" s="32" t="str">
        <f t="shared" si="1"/>
        <v>Need Max and Min</v>
      </c>
      <c r="M23" s="32" t="str">
        <f t="shared" si="2"/>
        <v>Fail</v>
      </c>
      <c r="N23" s="32"/>
      <c r="O23" s="31">
        <f>'mnt Data'!A26</f>
        <v>0</v>
      </c>
      <c r="P23" s="31">
        <f>'mnt Data'!B26</f>
        <v>0</v>
      </c>
      <c r="Q23" s="31">
        <f>'mnt Data'!C26</f>
        <v>0</v>
      </c>
      <c r="R23" s="31">
        <f>'mnt Data'!D26</f>
        <v>0</v>
      </c>
      <c r="S23" s="31">
        <f>'mnt Data'!E26</f>
        <v>0</v>
      </c>
      <c r="T23" s="31">
        <f>'mnt Data'!F26</f>
        <v>0</v>
      </c>
      <c r="U23" s="31">
        <f>'mnt Data'!G26</f>
        <v>0</v>
      </c>
      <c r="V23" s="31">
        <f>'mnt Data'!H26</f>
        <v>0</v>
      </c>
      <c r="W23" s="31">
        <f>'mnt Data'!I26</f>
        <v>0</v>
      </c>
      <c r="X23" s="31">
        <f>'mnt Data'!J26</f>
        <v>0</v>
      </c>
      <c r="Y23" s="31">
        <f>'mnt Data'!K26</f>
        <v>0</v>
      </c>
      <c r="Z23" s="31">
        <f>'mnt Data'!L26</f>
        <v>0</v>
      </c>
      <c r="AA23" s="31">
        <f>'mnt Data'!M26</f>
        <v>0</v>
      </c>
      <c r="AB23" s="31">
        <f>'mnt Data'!N26</f>
        <v>0</v>
      </c>
      <c r="AC23" s="31">
        <f>'mnt Data'!O26</f>
        <v>0</v>
      </c>
      <c r="AD23" s="31">
        <f>'mnt Data'!P26</f>
        <v>0</v>
      </c>
      <c r="AE23" s="31">
        <f>'mnt Data'!Q26</f>
        <v>0</v>
      </c>
      <c r="AF23" s="31">
        <f>'mnt Data'!R26</f>
        <v>0</v>
      </c>
      <c r="AG23" s="31">
        <f>'mnt Data'!S26</f>
        <v>0</v>
      </c>
      <c r="AH23" s="31">
        <f>'mnt Data'!T26</f>
        <v>0</v>
      </c>
      <c r="AI23" s="31">
        <f>'mnt Data'!U26</f>
        <v>0</v>
      </c>
      <c r="AJ23" s="31">
        <f>'mnt Data'!V26</f>
        <v>0</v>
      </c>
      <c r="AK23" s="31">
        <f>'mnt Data'!W26</f>
        <v>0</v>
      </c>
      <c r="AL23" s="31">
        <f>'mnt Data'!X26</f>
        <v>0</v>
      </c>
      <c r="AM23" s="31">
        <f>'mnt Data'!Y26</f>
        <v>0</v>
      </c>
      <c r="AN23" s="31">
        <f>'mnt Data'!Z26</f>
        <v>0</v>
      </c>
      <c r="AO23" s="31">
        <f>'mnt Data'!AA26</f>
        <v>0</v>
      </c>
      <c r="AP23" s="31">
        <f>'mnt Data'!AB26</f>
        <v>0</v>
      </c>
      <c r="AQ23" s="31">
        <f>'mnt Data'!AC26</f>
        <v>0</v>
      </c>
      <c r="AR23" s="31">
        <f>'mnt Data'!AD26</f>
        <v>0</v>
      </c>
      <c r="AS23" s="31">
        <f>'mnt Data'!AE26</f>
        <v>0</v>
      </c>
      <c r="AT23" s="31">
        <f>'mnt Data'!AF26</f>
        <v>0</v>
      </c>
      <c r="AU23" s="31">
        <f>'mnt Data'!AG26</f>
        <v>0</v>
      </c>
      <c r="AV23" s="31">
        <f>'mnt Data'!AH26</f>
        <v>0</v>
      </c>
      <c r="AW23" s="31">
        <f>'mnt Data'!AI26</f>
        <v>0</v>
      </c>
      <c r="AX23" s="31">
        <f>'mnt Data'!AJ26</f>
        <v>0</v>
      </c>
      <c r="AY23" s="31">
        <f>'mnt Data'!AK26</f>
        <v>0</v>
      </c>
    </row>
    <row r="24" spans="1:51" x14ac:dyDescent="0.25">
      <c r="A24">
        <v>23</v>
      </c>
      <c r="B24" s="32">
        <f t="shared" si="6"/>
        <v>0</v>
      </c>
      <c r="C24" s="32">
        <f t="shared" si="7"/>
        <v>0</v>
      </c>
      <c r="D24" s="32" t="str">
        <f t="shared" si="0"/>
        <v>No Gs</v>
      </c>
      <c r="E24" s="32">
        <f t="shared" si="3"/>
        <v>0</v>
      </c>
      <c r="F24" s="32" t="str">
        <f t="shared" si="4"/>
        <v>No Gs</v>
      </c>
      <c r="G24" s="32" t="str">
        <f t="shared" si="5"/>
        <v>No Gs</v>
      </c>
      <c r="H24" s="32" t="str">
        <f t="shared" si="8"/>
        <v>Gs is needed</v>
      </c>
      <c r="I24" s="32" t="str">
        <f t="shared" si="9"/>
        <v>Gs is needed</v>
      </c>
      <c r="J24" s="32" t="str">
        <f t="shared" si="10"/>
        <v>Gs is needed</v>
      </c>
      <c r="K24" s="32" t="str">
        <f t="shared" si="11"/>
        <v>Need Max and Min</v>
      </c>
      <c r="L24" s="32" t="str">
        <f t="shared" si="1"/>
        <v>Need Max and Min</v>
      </c>
      <c r="M24" s="32" t="str">
        <f t="shared" si="2"/>
        <v>Fail</v>
      </c>
      <c r="N24" s="32"/>
      <c r="O24" s="31">
        <f>'mnt Data'!A27</f>
        <v>0</v>
      </c>
      <c r="P24" s="31">
        <f>'mnt Data'!B27</f>
        <v>0</v>
      </c>
      <c r="Q24" s="31">
        <f>'mnt Data'!C27</f>
        <v>0</v>
      </c>
      <c r="R24" s="31">
        <f>'mnt Data'!D27</f>
        <v>0</v>
      </c>
      <c r="S24" s="31">
        <f>'mnt Data'!E27</f>
        <v>0</v>
      </c>
      <c r="T24" s="31">
        <f>'mnt Data'!F27</f>
        <v>0</v>
      </c>
      <c r="U24" s="31">
        <f>'mnt Data'!G27</f>
        <v>0</v>
      </c>
      <c r="V24" s="31">
        <f>'mnt Data'!H27</f>
        <v>0</v>
      </c>
      <c r="W24" s="31">
        <f>'mnt Data'!I27</f>
        <v>0</v>
      </c>
      <c r="X24" s="31">
        <f>'mnt Data'!J27</f>
        <v>0</v>
      </c>
      <c r="Y24" s="31">
        <f>'mnt Data'!K27</f>
        <v>0</v>
      </c>
      <c r="Z24" s="31">
        <f>'mnt Data'!L27</f>
        <v>0</v>
      </c>
      <c r="AA24" s="31">
        <f>'mnt Data'!M27</f>
        <v>0</v>
      </c>
      <c r="AB24" s="31">
        <f>'mnt Data'!N27</f>
        <v>0</v>
      </c>
      <c r="AC24" s="31">
        <f>'mnt Data'!O27</f>
        <v>0</v>
      </c>
      <c r="AD24" s="31">
        <f>'mnt Data'!P27</f>
        <v>0</v>
      </c>
      <c r="AE24" s="31">
        <f>'mnt Data'!Q27</f>
        <v>0</v>
      </c>
      <c r="AF24" s="31">
        <f>'mnt Data'!R27</f>
        <v>0</v>
      </c>
      <c r="AG24" s="31">
        <f>'mnt Data'!S27</f>
        <v>0</v>
      </c>
      <c r="AH24" s="31">
        <f>'mnt Data'!T27</f>
        <v>0</v>
      </c>
      <c r="AI24" s="31">
        <f>'mnt Data'!U27</f>
        <v>0</v>
      </c>
      <c r="AJ24" s="31">
        <f>'mnt Data'!V27</f>
        <v>0</v>
      </c>
      <c r="AK24" s="31">
        <f>'mnt Data'!W27</f>
        <v>0</v>
      </c>
      <c r="AL24" s="31">
        <f>'mnt Data'!X27</f>
        <v>0</v>
      </c>
      <c r="AM24" s="31">
        <f>'mnt Data'!Y27</f>
        <v>0</v>
      </c>
      <c r="AN24" s="31">
        <f>'mnt Data'!Z27</f>
        <v>0</v>
      </c>
      <c r="AO24" s="31">
        <f>'mnt Data'!AA27</f>
        <v>0</v>
      </c>
      <c r="AP24" s="31">
        <f>'mnt Data'!AB27</f>
        <v>0</v>
      </c>
      <c r="AQ24" s="31">
        <f>'mnt Data'!AC27</f>
        <v>0</v>
      </c>
      <c r="AR24" s="31">
        <f>'mnt Data'!AD27</f>
        <v>0</v>
      </c>
      <c r="AS24" s="31">
        <f>'mnt Data'!AE27</f>
        <v>0</v>
      </c>
      <c r="AT24" s="31">
        <f>'mnt Data'!AF27</f>
        <v>0</v>
      </c>
      <c r="AU24" s="31">
        <f>'mnt Data'!AG27</f>
        <v>0</v>
      </c>
      <c r="AV24" s="31">
        <f>'mnt Data'!AH27</f>
        <v>0</v>
      </c>
      <c r="AW24" s="31">
        <f>'mnt Data'!AI27</f>
        <v>0</v>
      </c>
      <c r="AX24" s="31">
        <f>'mnt Data'!AJ27</f>
        <v>0</v>
      </c>
      <c r="AY24" s="31">
        <f>'mnt Data'!AK27</f>
        <v>0</v>
      </c>
    </row>
    <row r="25" spans="1:51" x14ac:dyDescent="0.25">
      <c r="A25">
        <v>24</v>
      </c>
      <c r="B25" s="32">
        <f t="shared" si="6"/>
        <v>0</v>
      </c>
      <c r="C25" s="32">
        <f t="shared" si="7"/>
        <v>0</v>
      </c>
      <c r="D25" s="32" t="str">
        <f t="shared" si="0"/>
        <v>No Gs</v>
      </c>
      <c r="E25" s="32">
        <f t="shared" si="3"/>
        <v>0</v>
      </c>
      <c r="F25" s="32" t="str">
        <f t="shared" si="4"/>
        <v>No Gs</v>
      </c>
      <c r="G25" s="32" t="str">
        <f t="shared" si="5"/>
        <v>No Gs</v>
      </c>
      <c r="H25" s="32" t="str">
        <f t="shared" si="8"/>
        <v>Gs is needed</v>
      </c>
      <c r="I25" s="32" t="str">
        <f t="shared" si="9"/>
        <v>Gs is needed</v>
      </c>
      <c r="J25" s="32" t="str">
        <f t="shared" si="10"/>
        <v>Gs is needed</v>
      </c>
      <c r="K25" s="32" t="str">
        <f t="shared" si="11"/>
        <v>Need Max and Min</v>
      </c>
      <c r="L25" s="32" t="str">
        <f t="shared" si="1"/>
        <v>Need Max and Min</v>
      </c>
      <c r="M25" s="32" t="str">
        <f t="shared" si="2"/>
        <v>Fail</v>
      </c>
      <c r="N25" s="32"/>
      <c r="O25" s="31">
        <f>'mnt Data'!A28</f>
        <v>0</v>
      </c>
      <c r="P25" s="31">
        <f>'mnt Data'!B28</f>
        <v>0</v>
      </c>
      <c r="Q25" s="31">
        <f>'mnt Data'!C28</f>
        <v>0</v>
      </c>
      <c r="R25" s="31">
        <f>'mnt Data'!D28</f>
        <v>0</v>
      </c>
      <c r="S25" s="31">
        <f>'mnt Data'!E28</f>
        <v>0</v>
      </c>
      <c r="T25" s="31">
        <f>'mnt Data'!F28</f>
        <v>0</v>
      </c>
      <c r="U25" s="31">
        <f>'mnt Data'!G28</f>
        <v>0</v>
      </c>
      <c r="V25" s="31">
        <f>'mnt Data'!H28</f>
        <v>0</v>
      </c>
      <c r="W25" s="31">
        <f>'mnt Data'!I28</f>
        <v>0</v>
      </c>
      <c r="X25" s="31">
        <f>'mnt Data'!J28</f>
        <v>0</v>
      </c>
      <c r="Y25" s="31">
        <f>'mnt Data'!K28</f>
        <v>0</v>
      </c>
      <c r="Z25" s="31">
        <f>'mnt Data'!L28</f>
        <v>0</v>
      </c>
      <c r="AA25" s="31">
        <f>'mnt Data'!M28</f>
        <v>0</v>
      </c>
      <c r="AB25" s="31">
        <f>'mnt Data'!N28</f>
        <v>0</v>
      </c>
      <c r="AC25" s="31">
        <f>'mnt Data'!O28</f>
        <v>0</v>
      </c>
      <c r="AD25" s="31">
        <f>'mnt Data'!P28</f>
        <v>0</v>
      </c>
      <c r="AE25" s="31">
        <f>'mnt Data'!Q28</f>
        <v>0</v>
      </c>
      <c r="AF25" s="31">
        <f>'mnt Data'!R28</f>
        <v>0</v>
      </c>
      <c r="AG25" s="31">
        <f>'mnt Data'!S28</f>
        <v>0</v>
      </c>
      <c r="AH25" s="31">
        <f>'mnt Data'!T28</f>
        <v>0</v>
      </c>
      <c r="AI25" s="31">
        <f>'mnt Data'!U28</f>
        <v>0</v>
      </c>
      <c r="AJ25" s="31">
        <f>'mnt Data'!V28</f>
        <v>0</v>
      </c>
      <c r="AK25" s="31">
        <f>'mnt Data'!W28</f>
        <v>0</v>
      </c>
      <c r="AL25" s="31">
        <f>'mnt Data'!X28</f>
        <v>0</v>
      </c>
      <c r="AM25" s="31">
        <f>'mnt Data'!Y28</f>
        <v>0</v>
      </c>
      <c r="AN25" s="31">
        <f>'mnt Data'!Z28</f>
        <v>0</v>
      </c>
      <c r="AO25" s="31">
        <f>'mnt Data'!AA28</f>
        <v>0</v>
      </c>
      <c r="AP25" s="31">
        <f>'mnt Data'!AB28</f>
        <v>0</v>
      </c>
      <c r="AQ25" s="31">
        <f>'mnt Data'!AC28</f>
        <v>0</v>
      </c>
      <c r="AR25" s="31">
        <f>'mnt Data'!AD28</f>
        <v>0</v>
      </c>
      <c r="AS25" s="31">
        <f>'mnt Data'!AE28</f>
        <v>0</v>
      </c>
      <c r="AT25" s="31">
        <f>'mnt Data'!AF28</f>
        <v>0</v>
      </c>
      <c r="AU25" s="31">
        <f>'mnt Data'!AG28</f>
        <v>0</v>
      </c>
      <c r="AV25" s="31">
        <f>'mnt Data'!AH28</f>
        <v>0</v>
      </c>
      <c r="AW25" s="31">
        <f>'mnt Data'!AI28</f>
        <v>0</v>
      </c>
      <c r="AX25" s="31">
        <f>'mnt Data'!AJ28</f>
        <v>0</v>
      </c>
      <c r="AY25" s="31">
        <f>'mnt Data'!AK28</f>
        <v>0</v>
      </c>
    </row>
    <row r="26" spans="1:51" x14ac:dyDescent="0.25">
      <c r="A26">
        <v>25</v>
      </c>
      <c r="B26" s="32">
        <f t="shared" si="6"/>
        <v>0</v>
      </c>
      <c r="C26" s="32">
        <f t="shared" si="7"/>
        <v>0</v>
      </c>
      <c r="D26" s="32" t="str">
        <f t="shared" si="0"/>
        <v>No Gs</v>
      </c>
      <c r="E26" s="32">
        <f t="shared" si="3"/>
        <v>0</v>
      </c>
      <c r="F26" s="32" t="str">
        <f t="shared" si="4"/>
        <v>No Gs</v>
      </c>
      <c r="G26" s="32" t="str">
        <f t="shared" si="5"/>
        <v>No Gs</v>
      </c>
      <c r="H26" s="32" t="str">
        <f t="shared" si="8"/>
        <v>Gs is needed</v>
      </c>
      <c r="I26" s="32" t="str">
        <f t="shared" si="9"/>
        <v>Gs is needed</v>
      </c>
      <c r="J26" s="32" t="str">
        <f t="shared" si="10"/>
        <v>Gs is needed</v>
      </c>
      <c r="K26" s="32" t="str">
        <f t="shared" si="11"/>
        <v>Need Max and Min</v>
      </c>
      <c r="L26" s="32" t="str">
        <f t="shared" si="1"/>
        <v>Need Max and Min</v>
      </c>
      <c r="M26" s="32" t="str">
        <f t="shared" si="2"/>
        <v>Fail</v>
      </c>
      <c r="N26" s="32"/>
      <c r="O26" s="31">
        <f>'mnt Data'!A29</f>
        <v>0</v>
      </c>
      <c r="P26" s="31">
        <f>'mnt Data'!B29</f>
        <v>0</v>
      </c>
      <c r="Q26" s="31">
        <f>'mnt Data'!C29</f>
        <v>0</v>
      </c>
      <c r="R26" s="31">
        <f>'mnt Data'!D29</f>
        <v>0</v>
      </c>
      <c r="S26" s="31">
        <f>'mnt Data'!E29</f>
        <v>0</v>
      </c>
      <c r="T26" s="31">
        <f>'mnt Data'!F29</f>
        <v>0</v>
      </c>
      <c r="U26" s="31">
        <f>'mnt Data'!G29</f>
        <v>0</v>
      </c>
      <c r="V26" s="31">
        <f>'mnt Data'!H29</f>
        <v>0</v>
      </c>
      <c r="W26" s="31">
        <f>'mnt Data'!I29</f>
        <v>0</v>
      </c>
      <c r="X26" s="31">
        <f>'mnt Data'!J29</f>
        <v>0</v>
      </c>
      <c r="Y26" s="31">
        <f>'mnt Data'!K29</f>
        <v>0</v>
      </c>
      <c r="Z26" s="31">
        <f>'mnt Data'!L29</f>
        <v>0</v>
      </c>
      <c r="AA26" s="31">
        <f>'mnt Data'!M29</f>
        <v>0</v>
      </c>
      <c r="AB26" s="31">
        <f>'mnt Data'!N29</f>
        <v>0</v>
      </c>
      <c r="AC26" s="31">
        <f>'mnt Data'!O29</f>
        <v>0</v>
      </c>
      <c r="AD26" s="31">
        <f>'mnt Data'!P29</f>
        <v>0</v>
      </c>
      <c r="AE26" s="31">
        <f>'mnt Data'!Q29</f>
        <v>0</v>
      </c>
      <c r="AF26" s="31">
        <f>'mnt Data'!R29</f>
        <v>0</v>
      </c>
      <c r="AG26" s="31">
        <f>'mnt Data'!S29</f>
        <v>0</v>
      </c>
      <c r="AH26" s="31">
        <f>'mnt Data'!T29</f>
        <v>0</v>
      </c>
      <c r="AI26" s="31">
        <f>'mnt Data'!U29</f>
        <v>0</v>
      </c>
      <c r="AJ26" s="31">
        <f>'mnt Data'!V29</f>
        <v>0</v>
      </c>
      <c r="AK26" s="31">
        <f>'mnt Data'!W29</f>
        <v>0</v>
      </c>
      <c r="AL26" s="31">
        <f>'mnt Data'!X29</f>
        <v>0</v>
      </c>
      <c r="AM26" s="31">
        <f>'mnt Data'!Y29</f>
        <v>0</v>
      </c>
      <c r="AN26" s="31">
        <f>'mnt Data'!Z29</f>
        <v>0</v>
      </c>
      <c r="AO26" s="31">
        <f>'mnt Data'!AA29</f>
        <v>0</v>
      </c>
      <c r="AP26" s="31">
        <f>'mnt Data'!AB29</f>
        <v>0</v>
      </c>
      <c r="AQ26" s="31">
        <f>'mnt Data'!AC29</f>
        <v>0</v>
      </c>
      <c r="AR26" s="31">
        <f>'mnt Data'!AD29</f>
        <v>0</v>
      </c>
      <c r="AS26" s="31">
        <f>'mnt Data'!AE29</f>
        <v>0</v>
      </c>
      <c r="AT26" s="31">
        <f>'mnt Data'!AF29</f>
        <v>0</v>
      </c>
      <c r="AU26" s="31">
        <f>'mnt Data'!AG29</f>
        <v>0</v>
      </c>
      <c r="AV26" s="31">
        <f>'mnt Data'!AH29</f>
        <v>0</v>
      </c>
      <c r="AW26" s="31">
        <f>'mnt Data'!AI29</f>
        <v>0</v>
      </c>
      <c r="AX26" s="31">
        <f>'mnt Data'!AJ29</f>
        <v>0</v>
      </c>
      <c r="AY26" s="31">
        <f>'mnt Data'!AK29</f>
        <v>0</v>
      </c>
    </row>
    <row r="27" spans="1:51" x14ac:dyDescent="0.25">
      <c r="A27">
        <v>26</v>
      </c>
      <c r="B27" s="32">
        <f t="shared" si="6"/>
        <v>0</v>
      </c>
      <c r="C27" s="32">
        <f t="shared" si="7"/>
        <v>0</v>
      </c>
      <c r="D27" s="32" t="str">
        <f t="shared" si="0"/>
        <v>No Gs</v>
      </c>
      <c r="E27" s="32">
        <f t="shared" si="3"/>
        <v>0</v>
      </c>
      <c r="F27" s="32" t="str">
        <f t="shared" si="4"/>
        <v>No Gs</v>
      </c>
      <c r="G27" s="32" t="str">
        <f t="shared" si="5"/>
        <v>No Gs</v>
      </c>
      <c r="H27" s="32" t="str">
        <f t="shared" si="8"/>
        <v>Gs is needed</v>
      </c>
      <c r="I27" s="32" t="str">
        <f t="shared" si="9"/>
        <v>Gs is needed</v>
      </c>
      <c r="J27" s="32" t="str">
        <f t="shared" si="10"/>
        <v>Gs is needed</v>
      </c>
      <c r="K27" s="32" t="str">
        <f t="shared" si="11"/>
        <v>Need Max and Min</v>
      </c>
      <c r="L27" s="32" t="str">
        <f t="shared" si="1"/>
        <v>Need Max and Min</v>
      </c>
      <c r="M27" s="32" t="str">
        <f t="shared" si="2"/>
        <v>Fail</v>
      </c>
      <c r="N27" s="32"/>
      <c r="O27" s="31">
        <f>'mnt Data'!A30</f>
        <v>0</v>
      </c>
      <c r="P27" s="31">
        <f>'mnt Data'!B30</f>
        <v>0</v>
      </c>
      <c r="Q27" s="31">
        <f>'mnt Data'!C30</f>
        <v>0</v>
      </c>
      <c r="R27" s="31">
        <f>'mnt Data'!D30</f>
        <v>0</v>
      </c>
      <c r="S27" s="31">
        <f>'mnt Data'!E30</f>
        <v>0</v>
      </c>
      <c r="T27" s="31">
        <f>'mnt Data'!F30</f>
        <v>0</v>
      </c>
      <c r="U27" s="31">
        <f>'mnt Data'!G30</f>
        <v>0</v>
      </c>
      <c r="V27" s="31">
        <f>'mnt Data'!H30</f>
        <v>0</v>
      </c>
      <c r="W27" s="31">
        <f>'mnt Data'!I30</f>
        <v>0</v>
      </c>
      <c r="X27" s="31">
        <f>'mnt Data'!J30</f>
        <v>0</v>
      </c>
      <c r="Y27" s="31">
        <f>'mnt Data'!K30</f>
        <v>0</v>
      </c>
      <c r="Z27" s="31">
        <f>'mnt Data'!L30</f>
        <v>0</v>
      </c>
      <c r="AA27" s="31">
        <f>'mnt Data'!M30</f>
        <v>0</v>
      </c>
      <c r="AB27" s="31">
        <f>'mnt Data'!N30</f>
        <v>0</v>
      </c>
      <c r="AC27" s="31">
        <f>'mnt Data'!O30</f>
        <v>0</v>
      </c>
      <c r="AD27" s="31">
        <f>'mnt Data'!P30</f>
        <v>0</v>
      </c>
      <c r="AE27" s="31">
        <f>'mnt Data'!Q30</f>
        <v>0</v>
      </c>
      <c r="AF27" s="31">
        <f>'mnt Data'!R30</f>
        <v>0</v>
      </c>
      <c r="AG27" s="31">
        <f>'mnt Data'!S30</f>
        <v>0</v>
      </c>
      <c r="AH27" s="31">
        <f>'mnt Data'!T30</f>
        <v>0</v>
      </c>
      <c r="AI27" s="31">
        <f>'mnt Data'!U30</f>
        <v>0</v>
      </c>
      <c r="AJ27" s="31">
        <f>'mnt Data'!V30</f>
        <v>0</v>
      </c>
      <c r="AK27" s="31">
        <f>'mnt Data'!W30</f>
        <v>0</v>
      </c>
      <c r="AL27" s="31">
        <f>'mnt Data'!X30</f>
        <v>0</v>
      </c>
      <c r="AM27" s="31">
        <f>'mnt Data'!Y30</f>
        <v>0</v>
      </c>
      <c r="AN27" s="31">
        <f>'mnt Data'!Z30</f>
        <v>0</v>
      </c>
      <c r="AO27" s="31">
        <f>'mnt Data'!AA30</f>
        <v>0</v>
      </c>
      <c r="AP27" s="31">
        <f>'mnt Data'!AB30</f>
        <v>0</v>
      </c>
      <c r="AQ27" s="31">
        <f>'mnt Data'!AC30</f>
        <v>0</v>
      </c>
      <c r="AR27" s="31">
        <f>'mnt Data'!AD30</f>
        <v>0</v>
      </c>
      <c r="AS27" s="31">
        <f>'mnt Data'!AE30</f>
        <v>0</v>
      </c>
      <c r="AT27" s="31">
        <f>'mnt Data'!AF30</f>
        <v>0</v>
      </c>
      <c r="AU27" s="31">
        <f>'mnt Data'!AG30</f>
        <v>0</v>
      </c>
      <c r="AV27" s="31">
        <f>'mnt Data'!AH30</f>
        <v>0</v>
      </c>
      <c r="AW27" s="31">
        <f>'mnt Data'!AI30</f>
        <v>0</v>
      </c>
      <c r="AX27" s="31">
        <f>'mnt Data'!AJ30</f>
        <v>0</v>
      </c>
      <c r="AY27" s="31">
        <f>'mnt Data'!AK30</f>
        <v>0</v>
      </c>
    </row>
    <row r="28" spans="1:51" x14ac:dyDescent="0.25">
      <c r="A28">
        <v>27</v>
      </c>
      <c r="B28" s="32">
        <f t="shared" si="6"/>
        <v>0</v>
      </c>
      <c r="C28" s="32">
        <f t="shared" si="7"/>
        <v>0</v>
      </c>
      <c r="D28" s="32" t="str">
        <f t="shared" si="0"/>
        <v>No Gs</v>
      </c>
      <c r="E28" s="32">
        <f t="shared" si="3"/>
        <v>0</v>
      </c>
      <c r="F28" s="32" t="str">
        <f t="shared" si="4"/>
        <v>No Gs</v>
      </c>
      <c r="G28" s="32" t="str">
        <f t="shared" si="5"/>
        <v>No Gs</v>
      </c>
      <c r="H28" s="32" t="str">
        <f t="shared" si="8"/>
        <v>Gs is needed</v>
      </c>
      <c r="I28" s="32" t="str">
        <f t="shared" si="9"/>
        <v>Gs is needed</v>
      </c>
      <c r="J28" s="32" t="str">
        <f t="shared" si="10"/>
        <v>Gs is needed</v>
      </c>
      <c r="K28" s="32" t="str">
        <f t="shared" si="11"/>
        <v>Need Max and Min</v>
      </c>
      <c r="L28" s="32" t="str">
        <f t="shared" si="1"/>
        <v>Need Max and Min</v>
      </c>
      <c r="M28" s="32" t="str">
        <f t="shared" si="2"/>
        <v>Fail</v>
      </c>
      <c r="N28" s="32"/>
      <c r="O28" s="31">
        <f>'mnt Data'!A31</f>
        <v>0</v>
      </c>
      <c r="P28" s="31">
        <f>'mnt Data'!B31</f>
        <v>0</v>
      </c>
      <c r="Q28" s="31">
        <f>'mnt Data'!C31</f>
        <v>0</v>
      </c>
      <c r="R28" s="31">
        <f>'mnt Data'!D31</f>
        <v>0</v>
      </c>
      <c r="S28" s="31">
        <f>'mnt Data'!E31</f>
        <v>0</v>
      </c>
      <c r="T28" s="31">
        <f>'mnt Data'!F31</f>
        <v>0</v>
      </c>
      <c r="U28" s="31">
        <f>'mnt Data'!G31</f>
        <v>0</v>
      </c>
      <c r="V28" s="31">
        <f>'mnt Data'!H31</f>
        <v>0</v>
      </c>
      <c r="W28" s="31">
        <f>'mnt Data'!I31</f>
        <v>0</v>
      </c>
      <c r="X28" s="31">
        <f>'mnt Data'!J31</f>
        <v>0</v>
      </c>
      <c r="Y28" s="31">
        <f>'mnt Data'!K31</f>
        <v>0</v>
      </c>
      <c r="Z28" s="31">
        <f>'mnt Data'!L31</f>
        <v>0</v>
      </c>
      <c r="AA28" s="31">
        <f>'mnt Data'!M31</f>
        <v>0</v>
      </c>
      <c r="AB28" s="31">
        <f>'mnt Data'!N31</f>
        <v>0</v>
      </c>
      <c r="AC28" s="31">
        <f>'mnt Data'!O31</f>
        <v>0</v>
      </c>
      <c r="AD28" s="31">
        <f>'mnt Data'!P31</f>
        <v>0</v>
      </c>
      <c r="AE28" s="31">
        <f>'mnt Data'!Q31</f>
        <v>0</v>
      </c>
      <c r="AF28" s="31">
        <f>'mnt Data'!R31</f>
        <v>0</v>
      </c>
      <c r="AG28" s="31">
        <f>'mnt Data'!S31</f>
        <v>0</v>
      </c>
      <c r="AH28" s="31">
        <f>'mnt Data'!T31</f>
        <v>0</v>
      </c>
      <c r="AI28" s="31">
        <f>'mnt Data'!U31</f>
        <v>0</v>
      </c>
      <c r="AJ28" s="31">
        <f>'mnt Data'!V31</f>
        <v>0</v>
      </c>
      <c r="AK28" s="31">
        <f>'mnt Data'!W31</f>
        <v>0</v>
      </c>
      <c r="AL28" s="31">
        <f>'mnt Data'!X31</f>
        <v>0</v>
      </c>
      <c r="AM28" s="31">
        <f>'mnt Data'!Y31</f>
        <v>0</v>
      </c>
      <c r="AN28" s="31">
        <f>'mnt Data'!Z31</f>
        <v>0</v>
      </c>
      <c r="AO28" s="31">
        <f>'mnt Data'!AA31</f>
        <v>0</v>
      </c>
      <c r="AP28" s="31">
        <f>'mnt Data'!AB31</f>
        <v>0</v>
      </c>
      <c r="AQ28" s="31">
        <f>'mnt Data'!AC31</f>
        <v>0</v>
      </c>
      <c r="AR28" s="31">
        <f>'mnt Data'!AD31</f>
        <v>0</v>
      </c>
      <c r="AS28" s="31">
        <f>'mnt Data'!AE31</f>
        <v>0</v>
      </c>
      <c r="AT28" s="31">
        <f>'mnt Data'!AF31</f>
        <v>0</v>
      </c>
      <c r="AU28" s="31">
        <f>'mnt Data'!AG31</f>
        <v>0</v>
      </c>
      <c r="AV28" s="31">
        <f>'mnt Data'!AH31</f>
        <v>0</v>
      </c>
      <c r="AW28" s="31">
        <f>'mnt Data'!AI31</f>
        <v>0</v>
      </c>
      <c r="AX28" s="31">
        <f>'mnt Data'!AJ31</f>
        <v>0</v>
      </c>
      <c r="AY28" s="31">
        <f>'mnt Data'!AK31</f>
        <v>0</v>
      </c>
    </row>
    <row r="29" spans="1:51" x14ac:dyDescent="0.25">
      <c r="A29">
        <v>28</v>
      </c>
      <c r="B29" s="32">
        <f t="shared" si="6"/>
        <v>0</v>
      </c>
      <c r="C29" s="32">
        <f t="shared" si="7"/>
        <v>0</v>
      </c>
      <c r="D29" s="32" t="str">
        <f t="shared" si="0"/>
        <v>No Gs</v>
      </c>
      <c r="E29" s="32">
        <f t="shared" si="3"/>
        <v>0</v>
      </c>
      <c r="F29" s="32" t="str">
        <f t="shared" si="4"/>
        <v>No Gs</v>
      </c>
      <c r="G29" s="32" t="str">
        <f t="shared" si="5"/>
        <v>No Gs</v>
      </c>
      <c r="H29" s="32" t="str">
        <f t="shared" si="8"/>
        <v>Gs is needed</v>
      </c>
      <c r="I29" s="32" t="str">
        <f t="shared" si="9"/>
        <v>Gs is needed</v>
      </c>
      <c r="J29" s="32" t="str">
        <f t="shared" si="10"/>
        <v>Gs is needed</v>
      </c>
      <c r="K29" s="32" t="str">
        <f t="shared" si="11"/>
        <v>Need Max and Min</v>
      </c>
      <c r="L29" s="32" t="str">
        <f t="shared" si="1"/>
        <v>Need Max and Min</v>
      </c>
      <c r="M29" s="32" t="str">
        <f t="shared" si="2"/>
        <v>Fail</v>
      </c>
      <c r="N29" s="32"/>
      <c r="O29" s="31">
        <f>'mnt Data'!A32</f>
        <v>0</v>
      </c>
      <c r="P29" s="31">
        <f>'mnt Data'!B32</f>
        <v>0</v>
      </c>
      <c r="Q29" s="31">
        <f>'mnt Data'!C32</f>
        <v>0</v>
      </c>
      <c r="R29" s="31">
        <f>'mnt Data'!D32</f>
        <v>0</v>
      </c>
      <c r="S29" s="31">
        <f>'mnt Data'!E32</f>
        <v>0</v>
      </c>
      <c r="T29" s="31">
        <f>'mnt Data'!F32</f>
        <v>0</v>
      </c>
      <c r="U29" s="31">
        <f>'mnt Data'!G32</f>
        <v>0</v>
      </c>
      <c r="V29" s="31">
        <f>'mnt Data'!H32</f>
        <v>0</v>
      </c>
      <c r="W29" s="31">
        <f>'mnt Data'!I32</f>
        <v>0</v>
      </c>
      <c r="X29" s="31">
        <f>'mnt Data'!J32</f>
        <v>0</v>
      </c>
      <c r="Y29" s="31">
        <f>'mnt Data'!K32</f>
        <v>0</v>
      </c>
      <c r="Z29" s="31">
        <f>'mnt Data'!L32</f>
        <v>0</v>
      </c>
      <c r="AA29" s="31">
        <f>'mnt Data'!M32</f>
        <v>0</v>
      </c>
      <c r="AB29" s="31">
        <f>'mnt Data'!N32</f>
        <v>0</v>
      </c>
      <c r="AC29" s="31">
        <f>'mnt Data'!O32</f>
        <v>0</v>
      </c>
      <c r="AD29" s="31">
        <f>'mnt Data'!P32</f>
        <v>0</v>
      </c>
      <c r="AE29" s="31">
        <f>'mnt Data'!Q32</f>
        <v>0</v>
      </c>
      <c r="AF29" s="31">
        <f>'mnt Data'!R32</f>
        <v>0</v>
      </c>
      <c r="AG29" s="31">
        <f>'mnt Data'!S32</f>
        <v>0</v>
      </c>
      <c r="AH29" s="31">
        <f>'mnt Data'!T32</f>
        <v>0</v>
      </c>
      <c r="AI29" s="31">
        <f>'mnt Data'!U32</f>
        <v>0</v>
      </c>
      <c r="AJ29" s="31">
        <f>'mnt Data'!V32</f>
        <v>0</v>
      </c>
      <c r="AK29" s="31">
        <f>'mnt Data'!W32</f>
        <v>0</v>
      </c>
      <c r="AL29" s="31">
        <f>'mnt Data'!X32</f>
        <v>0</v>
      </c>
      <c r="AM29" s="31">
        <f>'mnt Data'!Y32</f>
        <v>0</v>
      </c>
      <c r="AN29" s="31">
        <f>'mnt Data'!Z32</f>
        <v>0</v>
      </c>
      <c r="AO29" s="31">
        <f>'mnt Data'!AA32</f>
        <v>0</v>
      </c>
      <c r="AP29" s="31">
        <f>'mnt Data'!AB32</f>
        <v>0</v>
      </c>
      <c r="AQ29" s="31">
        <f>'mnt Data'!AC32</f>
        <v>0</v>
      </c>
      <c r="AR29" s="31">
        <f>'mnt Data'!AD32</f>
        <v>0</v>
      </c>
      <c r="AS29" s="31">
        <f>'mnt Data'!AE32</f>
        <v>0</v>
      </c>
      <c r="AT29" s="31">
        <f>'mnt Data'!AF32</f>
        <v>0</v>
      </c>
      <c r="AU29" s="31">
        <f>'mnt Data'!AG32</f>
        <v>0</v>
      </c>
      <c r="AV29" s="31">
        <f>'mnt Data'!AH32</f>
        <v>0</v>
      </c>
      <c r="AW29" s="31">
        <f>'mnt Data'!AI32</f>
        <v>0</v>
      </c>
      <c r="AX29" s="31">
        <f>'mnt Data'!AJ32</f>
        <v>0</v>
      </c>
      <c r="AY29" s="31">
        <f>'mnt Data'!AK32</f>
        <v>0</v>
      </c>
    </row>
    <row r="30" spans="1:51" x14ac:dyDescent="0.25">
      <c r="A30">
        <v>29</v>
      </c>
      <c r="B30" s="32">
        <f t="shared" si="6"/>
        <v>0</v>
      </c>
      <c r="C30" s="32">
        <f t="shared" si="7"/>
        <v>0</v>
      </c>
      <c r="D30" s="32" t="str">
        <f t="shared" si="0"/>
        <v>No Gs</v>
      </c>
      <c r="E30" s="32">
        <f t="shared" si="3"/>
        <v>0</v>
      </c>
      <c r="F30" s="32" t="str">
        <f t="shared" si="4"/>
        <v>No Gs</v>
      </c>
      <c r="G30" s="32" t="str">
        <f t="shared" si="5"/>
        <v>No Gs</v>
      </c>
      <c r="H30" s="32" t="str">
        <f t="shared" si="8"/>
        <v>Gs is needed</v>
      </c>
      <c r="I30" s="32" t="str">
        <f t="shared" si="9"/>
        <v>Gs is needed</v>
      </c>
      <c r="J30" s="32" t="str">
        <f t="shared" si="10"/>
        <v>Gs is needed</v>
      </c>
      <c r="K30" s="32" t="str">
        <f t="shared" si="11"/>
        <v>Need Max and Min</v>
      </c>
      <c r="L30" s="32" t="str">
        <f t="shared" si="1"/>
        <v>Need Max and Min</v>
      </c>
      <c r="M30" s="32" t="str">
        <f t="shared" si="2"/>
        <v>Fail</v>
      </c>
      <c r="N30" s="32"/>
      <c r="O30" s="31">
        <f>'mnt Data'!A33</f>
        <v>0</v>
      </c>
      <c r="P30" s="31">
        <f>'mnt Data'!B33</f>
        <v>0</v>
      </c>
      <c r="Q30" s="31">
        <f>'mnt Data'!C33</f>
        <v>0</v>
      </c>
      <c r="R30" s="31">
        <f>'mnt Data'!D33</f>
        <v>0</v>
      </c>
      <c r="S30" s="31">
        <f>'mnt Data'!E33</f>
        <v>0</v>
      </c>
      <c r="T30" s="31">
        <f>'mnt Data'!F33</f>
        <v>0</v>
      </c>
      <c r="U30" s="31">
        <f>'mnt Data'!G33</f>
        <v>0</v>
      </c>
      <c r="V30" s="31">
        <f>'mnt Data'!H33</f>
        <v>0</v>
      </c>
      <c r="W30" s="31">
        <f>'mnt Data'!I33</f>
        <v>0</v>
      </c>
      <c r="X30" s="31">
        <f>'mnt Data'!J33</f>
        <v>0</v>
      </c>
      <c r="Y30" s="31">
        <f>'mnt Data'!K33</f>
        <v>0</v>
      </c>
      <c r="Z30" s="31">
        <f>'mnt Data'!L33</f>
        <v>0</v>
      </c>
      <c r="AA30" s="31">
        <f>'mnt Data'!M33</f>
        <v>0</v>
      </c>
      <c r="AB30" s="31">
        <f>'mnt Data'!N33</f>
        <v>0</v>
      </c>
      <c r="AC30" s="31">
        <f>'mnt Data'!O33</f>
        <v>0</v>
      </c>
      <c r="AD30" s="31">
        <f>'mnt Data'!P33</f>
        <v>0</v>
      </c>
      <c r="AE30" s="31">
        <f>'mnt Data'!Q33</f>
        <v>0</v>
      </c>
      <c r="AF30" s="31">
        <f>'mnt Data'!R33</f>
        <v>0</v>
      </c>
      <c r="AG30" s="31">
        <f>'mnt Data'!S33</f>
        <v>0</v>
      </c>
      <c r="AH30" s="31">
        <f>'mnt Data'!T33</f>
        <v>0</v>
      </c>
      <c r="AI30" s="31">
        <f>'mnt Data'!U33</f>
        <v>0</v>
      </c>
      <c r="AJ30" s="31">
        <f>'mnt Data'!V33</f>
        <v>0</v>
      </c>
      <c r="AK30" s="31">
        <f>'mnt Data'!W33</f>
        <v>0</v>
      </c>
      <c r="AL30" s="31">
        <f>'mnt Data'!X33</f>
        <v>0</v>
      </c>
      <c r="AM30" s="31">
        <f>'mnt Data'!Y33</f>
        <v>0</v>
      </c>
      <c r="AN30" s="31">
        <f>'mnt Data'!Z33</f>
        <v>0</v>
      </c>
      <c r="AO30" s="31">
        <f>'mnt Data'!AA33</f>
        <v>0</v>
      </c>
      <c r="AP30" s="31">
        <f>'mnt Data'!AB33</f>
        <v>0</v>
      </c>
      <c r="AQ30" s="31">
        <f>'mnt Data'!AC33</f>
        <v>0</v>
      </c>
      <c r="AR30" s="31">
        <f>'mnt Data'!AD33</f>
        <v>0</v>
      </c>
      <c r="AS30" s="31">
        <f>'mnt Data'!AE33</f>
        <v>0</v>
      </c>
      <c r="AT30" s="31">
        <f>'mnt Data'!AF33</f>
        <v>0</v>
      </c>
      <c r="AU30" s="31">
        <f>'mnt Data'!AG33</f>
        <v>0</v>
      </c>
      <c r="AV30" s="31">
        <f>'mnt Data'!AH33</f>
        <v>0</v>
      </c>
      <c r="AW30" s="31">
        <f>'mnt Data'!AI33</f>
        <v>0</v>
      </c>
      <c r="AX30" s="31">
        <f>'mnt Data'!AJ33</f>
        <v>0</v>
      </c>
      <c r="AY30" s="31">
        <f>'mnt Data'!AK33</f>
        <v>0</v>
      </c>
    </row>
    <row r="31" spans="1:51" x14ac:dyDescent="0.25">
      <c r="A31">
        <v>30</v>
      </c>
      <c r="B31" s="32">
        <f t="shared" si="6"/>
        <v>0</v>
      </c>
      <c r="C31" s="32">
        <f t="shared" si="7"/>
        <v>0</v>
      </c>
      <c r="D31" s="32" t="str">
        <f t="shared" si="0"/>
        <v>No Gs</v>
      </c>
      <c r="E31" s="32">
        <f t="shared" si="3"/>
        <v>0</v>
      </c>
      <c r="F31" s="32" t="str">
        <f t="shared" si="4"/>
        <v>No Gs</v>
      </c>
      <c r="G31" s="32" t="str">
        <f t="shared" si="5"/>
        <v>No Gs</v>
      </c>
      <c r="H31" s="32" t="str">
        <f t="shared" si="8"/>
        <v>Gs is needed</v>
      </c>
      <c r="I31" s="32" t="str">
        <f t="shared" si="9"/>
        <v>Gs is needed</v>
      </c>
      <c r="J31" s="32" t="str">
        <f t="shared" si="10"/>
        <v>Gs is needed</v>
      </c>
      <c r="K31" s="32" t="str">
        <f t="shared" si="11"/>
        <v>Need Max and Min</v>
      </c>
      <c r="L31" s="32" t="str">
        <f t="shared" si="1"/>
        <v>Need Max and Min</v>
      </c>
      <c r="M31" s="32" t="str">
        <f t="shared" si="2"/>
        <v>Fail</v>
      </c>
      <c r="N31" s="32"/>
      <c r="O31" s="31">
        <f>'mnt Data'!A34</f>
        <v>0</v>
      </c>
      <c r="P31" s="31">
        <f>'mnt Data'!B34</f>
        <v>0</v>
      </c>
      <c r="Q31" s="31">
        <f>'mnt Data'!C34</f>
        <v>0</v>
      </c>
      <c r="R31" s="31">
        <f>'mnt Data'!D34</f>
        <v>0</v>
      </c>
      <c r="S31" s="31">
        <f>'mnt Data'!E34</f>
        <v>0</v>
      </c>
      <c r="T31" s="31">
        <f>'mnt Data'!F34</f>
        <v>0</v>
      </c>
      <c r="U31" s="31">
        <f>'mnt Data'!G34</f>
        <v>0</v>
      </c>
      <c r="V31" s="31">
        <f>'mnt Data'!H34</f>
        <v>0</v>
      </c>
      <c r="W31" s="31">
        <f>'mnt Data'!I34</f>
        <v>0</v>
      </c>
      <c r="X31" s="31">
        <f>'mnt Data'!J34</f>
        <v>0</v>
      </c>
      <c r="Y31" s="31">
        <f>'mnt Data'!K34</f>
        <v>0</v>
      </c>
      <c r="Z31" s="31">
        <f>'mnt Data'!L34</f>
        <v>0</v>
      </c>
      <c r="AA31" s="31">
        <f>'mnt Data'!M34</f>
        <v>0</v>
      </c>
      <c r="AB31" s="31">
        <f>'mnt Data'!N34</f>
        <v>0</v>
      </c>
      <c r="AC31" s="31">
        <f>'mnt Data'!O34</f>
        <v>0</v>
      </c>
      <c r="AD31" s="31">
        <f>'mnt Data'!P34</f>
        <v>0</v>
      </c>
      <c r="AE31" s="31">
        <f>'mnt Data'!Q34</f>
        <v>0</v>
      </c>
      <c r="AF31" s="31">
        <f>'mnt Data'!R34</f>
        <v>0</v>
      </c>
      <c r="AG31" s="31">
        <f>'mnt Data'!S34</f>
        <v>0</v>
      </c>
      <c r="AH31" s="31">
        <f>'mnt Data'!T34</f>
        <v>0</v>
      </c>
      <c r="AI31" s="31">
        <f>'mnt Data'!U34</f>
        <v>0</v>
      </c>
      <c r="AJ31" s="31">
        <f>'mnt Data'!V34</f>
        <v>0</v>
      </c>
      <c r="AK31" s="31">
        <f>'mnt Data'!W34</f>
        <v>0</v>
      </c>
      <c r="AL31" s="31">
        <f>'mnt Data'!X34</f>
        <v>0</v>
      </c>
      <c r="AM31" s="31">
        <f>'mnt Data'!Y34</f>
        <v>0</v>
      </c>
      <c r="AN31" s="31">
        <f>'mnt Data'!Z34</f>
        <v>0</v>
      </c>
      <c r="AO31" s="31">
        <f>'mnt Data'!AA34</f>
        <v>0</v>
      </c>
      <c r="AP31" s="31">
        <f>'mnt Data'!AB34</f>
        <v>0</v>
      </c>
      <c r="AQ31" s="31">
        <f>'mnt Data'!AC34</f>
        <v>0</v>
      </c>
      <c r="AR31" s="31">
        <f>'mnt Data'!AD34</f>
        <v>0</v>
      </c>
      <c r="AS31" s="31">
        <f>'mnt Data'!AE34</f>
        <v>0</v>
      </c>
      <c r="AT31" s="31">
        <f>'mnt Data'!AF34</f>
        <v>0</v>
      </c>
      <c r="AU31" s="31">
        <f>'mnt Data'!AG34</f>
        <v>0</v>
      </c>
      <c r="AV31" s="31">
        <f>'mnt Data'!AH34</f>
        <v>0</v>
      </c>
      <c r="AW31" s="31">
        <f>'mnt Data'!AI34</f>
        <v>0</v>
      </c>
      <c r="AX31" s="31">
        <f>'mnt Data'!AJ34</f>
        <v>0</v>
      </c>
      <c r="AY31" s="31">
        <f>'mnt Data'!AK34</f>
        <v>0</v>
      </c>
    </row>
    <row r="32" spans="1:51" x14ac:dyDescent="0.25">
      <c r="A32">
        <v>31</v>
      </c>
      <c r="B32" s="32">
        <f t="shared" si="6"/>
        <v>0</v>
      </c>
      <c r="C32" s="32">
        <f t="shared" si="7"/>
        <v>0</v>
      </c>
      <c r="D32" s="32" t="str">
        <f t="shared" si="0"/>
        <v>No Gs</v>
      </c>
      <c r="E32" s="32">
        <f t="shared" si="3"/>
        <v>0</v>
      </c>
      <c r="F32" s="32" t="str">
        <f t="shared" si="4"/>
        <v>No Gs</v>
      </c>
      <c r="G32" s="32" t="str">
        <f t="shared" si="5"/>
        <v>No Gs</v>
      </c>
      <c r="H32" s="32" t="str">
        <f t="shared" si="8"/>
        <v>Gs is needed</v>
      </c>
      <c r="I32" s="32" t="str">
        <f t="shared" si="9"/>
        <v>Gs is needed</v>
      </c>
      <c r="J32" s="32" t="str">
        <f t="shared" si="10"/>
        <v>Gs is needed</v>
      </c>
      <c r="K32" s="32" t="str">
        <f t="shared" si="11"/>
        <v>Need Max and Min</v>
      </c>
      <c r="L32" s="32" t="str">
        <f t="shared" si="1"/>
        <v>Need Max and Min</v>
      </c>
      <c r="M32" s="32" t="str">
        <f t="shared" si="2"/>
        <v>Fail</v>
      </c>
      <c r="N32" s="32"/>
      <c r="O32" s="31">
        <f>'mnt Data'!A35</f>
        <v>0</v>
      </c>
      <c r="P32" s="31">
        <f>'mnt Data'!B35</f>
        <v>0</v>
      </c>
      <c r="Q32" s="31">
        <f>'mnt Data'!C35</f>
        <v>0</v>
      </c>
      <c r="R32" s="31">
        <f>'mnt Data'!D35</f>
        <v>0</v>
      </c>
      <c r="S32" s="31">
        <f>'mnt Data'!E35</f>
        <v>0</v>
      </c>
      <c r="T32" s="31">
        <f>'mnt Data'!F35</f>
        <v>0</v>
      </c>
      <c r="U32" s="31">
        <f>'mnt Data'!G35</f>
        <v>0</v>
      </c>
      <c r="V32" s="31">
        <f>'mnt Data'!H35</f>
        <v>0</v>
      </c>
      <c r="W32" s="31">
        <f>'mnt Data'!I35</f>
        <v>0</v>
      </c>
      <c r="X32" s="31">
        <f>'mnt Data'!J35</f>
        <v>0</v>
      </c>
      <c r="Y32" s="31">
        <f>'mnt Data'!K35</f>
        <v>0</v>
      </c>
      <c r="Z32" s="31">
        <f>'mnt Data'!L35</f>
        <v>0</v>
      </c>
      <c r="AA32" s="31">
        <f>'mnt Data'!M35</f>
        <v>0</v>
      </c>
      <c r="AB32" s="31">
        <f>'mnt Data'!N35</f>
        <v>0</v>
      </c>
      <c r="AC32" s="31">
        <f>'mnt Data'!O35</f>
        <v>0</v>
      </c>
      <c r="AD32" s="31">
        <f>'mnt Data'!P35</f>
        <v>0</v>
      </c>
      <c r="AE32" s="31">
        <f>'mnt Data'!Q35</f>
        <v>0</v>
      </c>
      <c r="AF32" s="31">
        <f>'mnt Data'!R35</f>
        <v>0</v>
      </c>
      <c r="AG32" s="31">
        <f>'mnt Data'!S35</f>
        <v>0</v>
      </c>
      <c r="AH32" s="31">
        <f>'mnt Data'!T35</f>
        <v>0</v>
      </c>
      <c r="AI32" s="31">
        <f>'mnt Data'!U35</f>
        <v>0</v>
      </c>
      <c r="AJ32" s="31">
        <f>'mnt Data'!V35</f>
        <v>0</v>
      </c>
      <c r="AK32" s="31">
        <f>'mnt Data'!W35</f>
        <v>0</v>
      </c>
      <c r="AL32" s="31">
        <f>'mnt Data'!X35</f>
        <v>0</v>
      </c>
      <c r="AM32" s="31">
        <f>'mnt Data'!Y35</f>
        <v>0</v>
      </c>
      <c r="AN32" s="31">
        <f>'mnt Data'!Z35</f>
        <v>0</v>
      </c>
      <c r="AO32" s="31">
        <f>'mnt Data'!AA35</f>
        <v>0</v>
      </c>
      <c r="AP32" s="31">
        <f>'mnt Data'!AB35</f>
        <v>0</v>
      </c>
      <c r="AQ32" s="31">
        <f>'mnt Data'!AC35</f>
        <v>0</v>
      </c>
      <c r="AR32" s="31">
        <f>'mnt Data'!AD35</f>
        <v>0</v>
      </c>
      <c r="AS32" s="31">
        <f>'mnt Data'!AE35</f>
        <v>0</v>
      </c>
      <c r="AT32" s="31">
        <f>'mnt Data'!AF35</f>
        <v>0</v>
      </c>
      <c r="AU32" s="31">
        <f>'mnt Data'!AG35</f>
        <v>0</v>
      </c>
      <c r="AV32" s="31">
        <f>'mnt Data'!AH35</f>
        <v>0</v>
      </c>
      <c r="AW32" s="31">
        <f>'mnt Data'!AI35</f>
        <v>0</v>
      </c>
      <c r="AX32" s="31">
        <f>'mnt Data'!AJ35</f>
        <v>0</v>
      </c>
      <c r="AY32" s="31">
        <f>'mnt Data'!AK35</f>
        <v>0</v>
      </c>
    </row>
    <row r="33" spans="1:51" x14ac:dyDescent="0.25">
      <c r="A33">
        <v>32</v>
      </c>
      <c r="B33" s="32">
        <f t="shared" si="6"/>
        <v>0</v>
      </c>
      <c r="C33" s="32">
        <f t="shared" si="7"/>
        <v>0</v>
      </c>
      <c r="D33" s="32" t="str">
        <f t="shared" si="0"/>
        <v>No Gs</v>
      </c>
      <c r="E33" s="32">
        <f t="shared" si="3"/>
        <v>0</v>
      </c>
      <c r="F33" s="32" t="str">
        <f t="shared" si="4"/>
        <v>No Gs</v>
      </c>
      <c r="G33" s="32" t="str">
        <f t="shared" si="5"/>
        <v>No Gs</v>
      </c>
      <c r="H33" s="32" t="str">
        <f t="shared" si="8"/>
        <v>Gs is needed</v>
      </c>
      <c r="I33" s="32" t="str">
        <f t="shared" si="9"/>
        <v>Gs is needed</v>
      </c>
      <c r="J33" s="32" t="str">
        <f t="shared" si="10"/>
        <v>Gs is needed</v>
      </c>
      <c r="K33" s="32" t="str">
        <f t="shared" si="11"/>
        <v>Need Max and Min</v>
      </c>
      <c r="L33" s="32" t="str">
        <f t="shared" si="1"/>
        <v>Need Max and Min</v>
      </c>
      <c r="M33" s="32" t="str">
        <f t="shared" si="2"/>
        <v>Fail</v>
      </c>
      <c r="N33" s="32"/>
      <c r="O33" s="31">
        <f>'mnt Data'!A36</f>
        <v>0</v>
      </c>
      <c r="P33" s="31">
        <f>'mnt Data'!B36</f>
        <v>0</v>
      </c>
      <c r="Q33" s="31">
        <f>'mnt Data'!C36</f>
        <v>0</v>
      </c>
      <c r="R33" s="31">
        <f>'mnt Data'!D36</f>
        <v>0</v>
      </c>
      <c r="S33" s="31">
        <f>'mnt Data'!E36</f>
        <v>0</v>
      </c>
      <c r="T33" s="31">
        <f>'mnt Data'!F36</f>
        <v>0</v>
      </c>
      <c r="U33" s="31">
        <f>'mnt Data'!G36</f>
        <v>0</v>
      </c>
      <c r="V33" s="31">
        <f>'mnt Data'!H36</f>
        <v>0</v>
      </c>
      <c r="W33" s="31">
        <f>'mnt Data'!I36</f>
        <v>0</v>
      </c>
      <c r="X33" s="31">
        <f>'mnt Data'!J36</f>
        <v>0</v>
      </c>
      <c r="Y33" s="31">
        <f>'mnt Data'!K36</f>
        <v>0</v>
      </c>
      <c r="Z33" s="31">
        <f>'mnt Data'!L36</f>
        <v>0</v>
      </c>
      <c r="AA33" s="31">
        <f>'mnt Data'!M36</f>
        <v>0</v>
      </c>
      <c r="AB33" s="31">
        <f>'mnt Data'!N36</f>
        <v>0</v>
      </c>
      <c r="AC33" s="31">
        <f>'mnt Data'!O36</f>
        <v>0</v>
      </c>
      <c r="AD33" s="31">
        <f>'mnt Data'!P36</f>
        <v>0</v>
      </c>
      <c r="AE33" s="31">
        <f>'mnt Data'!Q36</f>
        <v>0</v>
      </c>
      <c r="AF33" s="31">
        <f>'mnt Data'!R36</f>
        <v>0</v>
      </c>
      <c r="AG33" s="31">
        <f>'mnt Data'!S36</f>
        <v>0</v>
      </c>
      <c r="AH33" s="31">
        <f>'mnt Data'!T36</f>
        <v>0</v>
      </c>
      <c r="AI33" s="31">
        <f>'mnt Data'!U36</f>
        <v>0</v>
      </c>
      <c r="AJ33" s="31">
        <f>'mnt Data'!V36</f>
        <v>0</v>
      </c>
      <c r="AK33" s="31">
        <f>'mnt Data'!W36</f>
        <v>0</v>
      </c>
      <c r="AL33" s="31">
        <f>'mnt Data'!X36</f>
        <v>0</v>
      </c>
      <c r="AM33" s="31">
        <f>'mnt Data'!Y36</f>
        <v>0</v>
      </c>
      <c r="AN33" s="31">
        <f>'mnt Data'!Z36</f>
        <v>0</v>
      </c>
      <c r="AO33" s="31">
        <f>'mnt Data'!AA36</f>
        <v>0</v>
      </c>
      <c r="AP33" s="31">
        <f>'mnt Data'!AB36</f>
        <v>0</v>
      </c>
      <c r="AQ33" s="31">
        <f>'mnt Data'!AC36</f>
        <v>0</v>
      </c>
      <c r="AR33" s="31">
        <f>'mnt Data'!AD36</f>
        <v>0</v>
      </c>
      <c r="AS33" s="31">
        <f>'mnt Data'!AE36</f>
        <v>0</v>
      </c>
      <c r="AT33" s="31">
        <f>'mnt Data'!AF36</f>
        <v>0</v>
      </c>
      <c r="AU33" s="31">
        <f>'mnt Data'!AG36</f>
        <v>0</v>
      </c>
      <c r="AV33" s="31">
        <f>'mnt Data'!AH36</f>
        <v>0</v>
      </c>
      <c r="AW33" s="31">
        <f>'mnt Data'!AI36</f>
        <v>0</v>
      </c>
      <c r="AX33" s="31">
        <f>'mnt Data'!AJ36</f>
        <v>0</v>
      </c>
      <c r="AY33" s="31">
        <f>'mnt Data'!AK36</f>
        <v>0</v>
      </c>
    </row>
    <row r="34" spans="1:51" x14ac:dyDescent="0.25">
      <c r="A34">
        <v>33</v>
      </c>
      <c r="B34" s="32">
        <f t="shared" si="6"/>
        <v>0</v>
      </c>
      <c r="C34" s="32">
        <f t="shared" si="7"/>
        <v>0</v>
      </c>
      <c r="D34" s="32" t="str">
        <f t="shared" si="0"/>
        <v>No Gs</v>
      </c>
      <c r="E34" s="32">
        <f t="shared" si="3"/>
        <v>0</v>
      </c>
      <c r="F34" s="32" t="str">
        <f t="shared" si="4"/>
        <v>No Gs</v>
      </c>
      <c r="G34" s="32" t="str">
        <f t="shared" si="5"/>
        <v>No Gs</v>
      </c>
      <c r="H34" s="32" t="str">
        <f t="shared" si="8"/>
        <v>Gs is needed</v>
      </c>
      <c r="I34" s="32" t="str">
        <f t="shared" si="9"/>
        <v>Gs is needed</v>
      </c>
      <c r="J34" s="32" t="str">
        <f t="shared" si="10"/>
        <v>Gs is needed</v>
      </c>
      <c r="K34" s="32" t="str">
        <f t="shared" si="11"/>
        <v>Need Max and Min</v>
      </c>
      <c r="L34" s="32" t="str">
        <f t="shared" si="1"/>
        <v>Need Max and Min</v>
      </c>
      <c r="M34" s="32" t="str">
        <f t="shared" si="2"/>
        <v>Fail</v>
      </c>
      <c r="N34" s="32"/>
      <c r="O34" s="31">
        <f>'mnt Data'!A37</f>
        <v>0</v>
      </c>
      <c r="P34" s="31">
        <f>'mnt Data'!B37</f>
        <v>0</v>
      </c>
      <c r="Q34" s="31">
        <f>'mnt Data'!C37</f>
        <v>0</v>
      </c>
      <c r="R34" s="31">
        <f>'mnt Data'!D37</f>
        <v>0</v>
      </c>
      <c r="S34" s="31">
        <f>'mnt Data'!E37</f>
        <v>0</v>
      </c>
      <c r="T34" s="31">
        <f>'mnt Data'!F37</f>
        <v>0</v>
      </c>
      <c r="U34" s="31">
        <f>'mnt Data'!G37</f>
        <v>0</v>
      </c>
      <c r="V34" s="31">
        <f>'mnt Data'!H37</f>
        <v>0</v>
      </c>
      <c r="W34" s="31">
        <f>'mnt Data'!I37</f>
        <v>0</v>
      </c>
      <c r="X34" s="31">
        <f>'mnt Data'!J37</f>
        <v>0</v>
      </c>
      <c r="Y34" s="31">
        <f>'mnt Data'!K37</f>
        <v>0</v>
      </c>
      <c r="Z34" s="31">
        <f>'mnt Data'!L37</f>
        <v>0</v>
      </c>
      <c r="AA34" s="31">
        <f>'mnt Data'!M37</f>
        <v>0</v>
      </c>
      <c r="AB34" s="31">
        <f>'mnt Data'!N37</f>
        <v>0</v>
      </c>
      <c r="AC34" s="31">
        <f>'mnt Data'!O37</f>
        <v>0</v>
      </c>
      <c r="AD34" s="31">
        <f>'mnt Data'!P37</f>
        <v>0</v>
      </c>
      <c r="AE34" s="31">
        <f>'mnt Data'!Q37</f>
        <v>0</v>
      </c>
      <c r="AF34" s="31">
        <f>'mnt Data'!R37</f>
        <v>0</v>
      </c>
      <c r="AG34" s="31">
        <f>'mnt Data'!S37</f>
        <v>0</v>
      </c>
      <c r="AH34" s="31">
        <f>'mnt Data'!T37</f>
        <v>0</v>
      </c>
      <c r="AI34" s="31">
        <f>'mnt Data'!U37</f>
        <v>0</v>
      </c>
      <c r="AJ34" s="31">
        <f>'mnt Data'!V37</f>
        <v>0</v>
      </c>
      <c r="AK34" s="31">
        <f>'mnt Data'!W37</f>
        <v>0</v>
      </c>
      <c r="AL34" s="31">
        <f>'mnt Data'!X37</f>
        <v>0</v>
      </c>
      <c r="AM34" s="31">
        <f>'mnt Data'!Y37</f>
        <v>0</v>
      </c>
      <c r="AN34" s="31">
        <f>'mnt Data'!Z37</f>
        <v>0</v>
      </c>
      <c r="AO34" s="31">
        <f>'mnt Data'!AA37</f>
        <v>0</v>
      </c>
      <c r="AP34" s="31">
        <f>'mnt Data'!AB37</f>
        <v>0</v>
      </c>
      <c r="AQ34" s="31">
        <f>'mnt Data'!AC37</f>
        <v>0</v>
      </c>
      <c r="AR34" s="31">
        <f>'mnt Data'!AD37</f>
        <v>0</v>
      </c>
      <c r="AS34" s="31">
        <f>'mnt Data'!AE37</f>
        <v>0</v>
      </c>
      <c r="AT34" s="31">
        <f>'mnt Data'!AF37</f>
        <v>0</v>
      </c>
      <c r="AU34" s="31">
        <f>'mnt Data'!AG37</f>
        <v>0</v>
      </c>
      <c r="AV34" s="31">
        <f>'mnt Data'!AH37</f>
        <v>0</v>
      </c>
      <c r="AW34" s="31">
        <f>'mnt Data'!AI37</f>
        <v>0</v>
      </c>
      <c r="AX34" s="31">
        <f>'mnt Data'!AJ37</f>
        <v>0</v>
      </c>
      <c r="AY34" s="31">
        <f>'mnt Data'!AK37</f>
        <v>0</v>
      </c>
    </row>
    <row r="35" spans="1:51" x14ac:dyDescent="0.25">
      <c r="A35">
        <v>34</v>
      </c>
      <c r="B35" s="32">
        <f t="shared" si="6"/>
        <v>0</v>
      </c>
      <c r="C35" s="32">
        <f t="shared" si="7"/>
        <v>0</v>
      </c>
      <c r="D35" s="32" t="str">
        <f t="shared" si="0"/>
        <v>No Gs</v>
      </c>
      <c r="E35" s="32">
        <f t="shared" si="3"/>
        <v>0</v>
      </c>
      <c r="F35" s="32" t="str">
        <f t="shared" si="4"/>
        <v>No Gs</v>
      </c>
      <c r="G35" s="32" t="str">
        <f t="shared" si="5"/>
        <v>No Gs</v>
      </c>
      <c r="H35" s="32" t="str">
        <f t="shared" si="8"/>
        <v>Gs is needed</v>
      </c>
      <c r="I35" s="32" t="str">
        <f t="shared" si="9"/>
        <v>Gs is needed</v>
      </c>
      <c r="J35" s="32" t="str">
        <f t="shared" si="10"/>
        <v>Gs is needed</v>
      </c>
      <c r="K35" s="32" t="str">
        <f t="shared" si="11"/>
        <v>Need Max and Min</v>
      </c>
      <c r="L35" s="32" t="str">
        <f t="shared" si="1"/>
        <v>Need Max and Min</v>
      </c>
      <c r="M35" s="32" t="str">
        <f t="shared" si="2"/>
        <v>Fail</v>
      </c>
      <c r="N35" s="32"/>
      <c r="O35" s="31">
        <f>'mnt Data'!A38</f>
        <v>0</v>
      </c>
      <c r="P35" s="31">
        <f>'mnt Data'!B38</f>
        <v>0</v>
      </c>
      <c r="Q35" s="31">
        <f>'mnt Data'!C38</f>
        <v>0</v>
      </c>
      <c r="R35" s="31">
        <f>'mnt Data'!D38</f>
        <v>0</v>
      </c>
      <c r="S35" s="31">
        <f>'mnt Data'!E38</f>
        <v>0</v>
      </c>
      <c r="T35" s="31">
        <f>'mnt Data'!F38</f>
        <v>0</v>
      </c>
      <c r="U35" s="31">
        <f>'mnt Data'!G38</f>
        <v>0</v>
      </c>
      <c r="V35" s="31">
        <f>'mnt Data'!H38</f>
        <v>0</v>
      </c>
      <c r="W35" s="31">
        <f>'mnt Data'!I38</f>
        <v>0</v>
      </c>
      <c r="X35" s="31">
        <f>'mnt Data'!J38</f>
        <v>0</v>
      </c>
      <c r="Y35" s="31">
        <f>'mnt Data'!K38</f>
        <v>0</v>
      </c>
      <c r="Z35" s="31">
        <f>'mnt Data'!L38</f>
        <v>0</v>
      </c>
      <c r="AA35" s="31">
        <f>'mnt Data'!M38</f>
        <v>0</v>
      </c>
      <c r="AB35" s="31">
        <f>'mnt Data'!N38</f>
        <v>0</v>
      </c>
      <c r="AC35" s="31">
        <f>'mnt Data'!O38</f>
        <v>0</v>
      </c>
      <c r="AD35" s="31">
        <f>'mnt Data'!P38</f>
        <v>0</v>
      </c>
      <c r="AE35" s="31">
        <f>'mnt Data'!Q38</f>
        <v>0</v>
      </c>
      <c r="AF35" s="31">
        <f>'mnt Data'!R38</f>
        <v>0</v>
      </c>
      <c r="AG35" s="31">
        <f>'mnt Data'!S38</f>
        <v>0</v>
      </c>
      <c r="AH35" s="31">
        <f>'mnt Data'!T38</f>
        <v>0</v>
      </c>
      <c r="AI35" s="31">
        <f>'mnt Data'!U38</f>
        <v>0</v>
      </c>
      <c r="AJ35" s="31">
        <f>'mnt Data'!V38</f>
        <v>0</v>
      </c>
      <c r="AK35" s="31">
        <f>'mnt Data'!W38</f>
        <v>0</v>
      </c>
      <c r="AL35" s="31">
        <f>'mnt Data'!X38</f>
        <v>0</v>
      </c>
      <c r="AM35" s="31">
        <f>'mnt Data'!Y38</f>
        <v>0</v>
      </c>
      <c r="AN35" s="31">
        <f>'mnt Data'!Z38</f>
        <v>0</v>
      </c>
      <c r="AO35" s="31">
        <f>'mnt Data'!AA38</f>
        <v>0</v>
      </c>
      <c r="AP35" s="31">
        <f>'mnt Data'!AB38</f>
        <v>0</v>
      </c>
      <c r="AQ35" s="31">
        <f>'mnt Data'!AC38</f>
        <v>0</v>
      </c>
      <c r="AR35" s="31">
        <f>'mnt Data'!AD38</f>
        <v>0</v>
      </c>
      <c r="AS35" s="31">
        <f>'mnt Data'!AE38</f>
        <v>0</v>
      </c>
      <c r="AT35" s="31">
        <f>'mnt Data'!AF38</f>
        <v>0</v>
      </c>
      <c r="AU35" s="31">
        <f>'mnt Data'!AG38</f>
        <v>0</v>
      </c>
      <c r="AV35" s="31">
        <f>'mnt Data'!AH38</f>
        <v>0</v>
      </c>
      <c r="AW35" s="31">
        <f>'mnt Data'!AI38</f>
        <v>0</v>
      </c>
      <c r="AX35" s="31">
        <f>'mnt Data'!AJ38</f>
        <v>0</v>
      </c>
      <c r="AY35" s="31">
        <f>'mnt Data'!AK38</f>
        <v>0</v>
      </c>
    </row>
    <row r="36" spans="1:51" x14ac:dyDescent="0.25">
      <c r="A36">
        <v>35</v>
      </c>
      <c r="B36" s="32">
        <f t="shared" si="6"/>
        <v>0</v>
      </c>
      <c r="C36" s="32">
        <f t="shared" si="7"/>
        <v>0</v>
      </c>
      <c r="D36" s="32" t="str">
        <f t="shared" si="0"/>
        <v>No Gs</v>
      </c>
      <c r="E36" s="32">
        <f t="shared" si="3"/>
        <v>0</v>
      </c>
      <c r="F36" s="32" t="str">
        <f t="shared" si="4"/>
        <v>No Gs</v>
      </c>
      <c r="G36" s="32" t="str">
        <f t="shared" si="5"/>
        <v>No Gs</v>
      </c>
      <c r="H36" s="32" t="str">
        <f t="shared" si="8"/>
        <v>Gs is needed</v>
      </c>
      <c r="I36" s="32" t="str">
        <f t="shared" si="9"/>
        <v>Gs is needed</v>
      </c>
      <c r="J36" s="32" t="str">
        <f t="shared" si="10"/>
        <v>Gs is needed</v>
      </c>
      <c r="K36" s="32" t="str">
        <f t="shared" si="11"/>
        <v>Need Max and Min</v>
      </c>
      <c r="L36" s="32" t="str">
        <f t="shared" si="1"/>
        <v>Need Max and Min</v>
      </c>
      <c r="M36" s="32" t="str">
        <f t="shared" si="2"/>
        <v>Fail</v>
      </c>
      <c r="N36" s="32"/>
      <c r="O36" s="31">
        <f>'mnt Data'!A39</f>
        <v>0</v>
      </c>
      <c r="P36" s="31">
        <f>'mnt Data'!B39</f>
        <v>0</v>
      </c>
      <c r="Q36" s="31">
        <f>'mnt Data'!C39</f>
        <v>0</v>
      </c>
      <c r="R36" s="31">
        <f>'mnt Data'!D39</f>
        <v>0</v>
      </c>
      <c r="S36" s="31">
        <f>'mnt Data'!E39</f>
        <v>0</v>
      </c>
      <c r="T36" s="31">
        <f>'mnt Data'!F39</f>
        <v>0</v>
      </c>
      <c r="U36" s="31">
        <f>'mnt Data'!G39</f>
        <v>0</v>
      </c>
      <c r="V36" s="31">
        <f>'mnt Data'!H39</f>
        <v>0</v>
      </c>
      <c r="W36" s="31">
        <f>'mnt Data'!I39</f>
        <v>0</v>
      </c>
      <c r="X36" s="31">
        <f>'mnt Data'!J39</f>
        <v>0</v>
      </c>
      <c r="Y36" s="31">
        <f>'mnt Data'!K39</f>
        <v>0</v>
      </c>
      <c r="Z36" s="31">
        <f>'mnt Data'!L39</f>
        <v>0</v>
      </c>
      <c r="AA36" s="31">
        <f>'mnt Data'!M39</f>
        <v>0</v>
      </c>
      <c r="AB36" s="31">
        <f>'mnt Data'!N39</f>
        <v>0</v>
      </c>
      <c r="AC36" s="31">
        <f>'mnt Data'!O39</f>
        <v>0</v>
      </c>
      <c r="AD36" s="31">
        <f>'mnt Data'!P39</f>
        <v>0</v>
      </c>
      <c r="AE36" s="31">
        <f>'mnt Data'!Q39</f>
        <v>0</v>
      </c>
      <c r="AF36" s="31">
        <f>'mnt Data'!R39</f>
        <v>0</v>
      </c>
      <c r="AG36" s="31">
        <f>'mnt Data'!S39</f>
        <v>0</v>
      </c>
      <c r="AH36" s="31">
        <f>'mnt Data'!T39</f>
        <v>0</v>
      </c>
      <c r="AI36" s="31">
        <f>'mnt Data'!U39</f>
        <v>0</v>
      </c>
      <c r="AJ36" s="31">
        <f>'mnt Data'!V39</f>
        <v>0</v>
      </c>
      <c r="AK36" s="31">
        <f>'mnt Data'!W39</f>
        <v>0</v>
      </c>
      <c r="AL36" s="31">
        <f>'mnt Data'!X39</f>
        <v>0</v>
      </c>
      <c r="AM36" s="31">
        <f>'mnt Data'!Y39</f>
        <v>0</v>
      </c>
      <c r="AN36" s="31">
        <f>'mnt Data'!Z39</f>
        <v>0</v>
      </c>
      <c r="AO36" s="31">
        <f>'mnt Data'!AA39</f>
        <v>0</v>
      </c>
      <c r="AP36" s="31">
        <f>'mnt Data'!AB39</f>
        <v>0</v>
      </c>
      <c r="AQ36" s="31">
        <f>'mnt Data'!AC39</f>
        <v>0</v>
      </c>
      <c r="AR36" s="31">
        <f>'mnt Data'!AD39</f>
        <v>0</v>
      </c>
      <c r="AS36" s="31">
        <f>'mnt Data'!AE39</f>
        <v>0</v>
      </c>
      <c r="AT36" s="31">
        <f>'mnt Data'!AF39</f>
        <v>0</v>
      </c>
      <c r="AU36" s="31">
        <f>'mnt Data'!AG39</f>
        <v>0</v>
      </c>
      <c r="AV36" s="31">
        <f>'mnt Data'!AH39</f>
        <v>0</v>
      </c>
      <c r="AW36" s="31">
        <f>'mnt Data'!AI39</f>
        <v>0</v>
      </c>
      <c r="AX36" s="31">
        <f>'mnt Data'!AJ39</f>
        <v>0</v>
      </c>
      <c r="AY36" s="31">
        <f>'mnt Data'!AK39</f>
        <v>0</v>
      </c>
    </row>
    <row r="37" spans="1:51" x14ac:dyDescent="0.25">
      <c r="A37">
        <v>36</v>
      </c>
      <c r="B37" s="32">
        <f t="shared" si="6"/>
        <v>0</v>
      </c>
      <c r="C37" s="32">
        <f t="shared" si="7"/>
        <v>0</v>
      </c>
      <c r="D37" s="32" t="str">
        <f t="shared" si="0"/>
        <v>No Gs</v>
      </c>
      <c r="E37" s="32">
        <f t="shared" si="3"/>
        <v>0</v>
      </c>
      <c r="F37" s="32" t="str">
        <f t="shared" si="4"/>
        <v>No Gs</v>
      </c>
      <c r="G37" s="32" t="str">
        <f t="shared" si="5"/>
        <v>No Gs</v>
      </c>
      <c r="H37" s="32" t="str">
        <f t="shared" si="8"/>
        <v>Gs is needed</v>
      </c>
      <c r="I37" s="32" t="str">
        <f t="shared" si="9"/>
        <v>Gs is needed</v>
      </c>
      <c r="J37" s="32" t="str">
        <f t="shared" si="10"/>
        <v>Gs is needed</v>
      </c>
      <c r="K37" s="32" t="str">
        <f t="shared" si="11"/>
        <v>Need Max and Min</v>
      </c>
      <c r="L37" s="32" t="str">
        <f t="shared" si="1"/>
        <v>Need Max and Min</v>
      </c>
      <c r="M37" s="32" t="str">
        <f t="shared" si="2"/>
        <v>Fail</v>
      </c>
      <c r="N37" s="32"/>
      <c r="O37" s="31">
        <f>'mnt Data'!A40</f>
        <v>0</v>
      </c>
      <c r="P37" s="31">
        <f>'mnt Data'!B40</f>
        <v>0</v>
      </c>
      <c r="Q37" s="31">
        <f>'mnt Data'!C40</f>
        <v>0</v>
      </c>
      <c r="R37" s="31">
        <f>'mnt Data'!D40</f>
        <v>0</v>
      </c>
      <c r="S37" s="31">
        <f>'mnt Data'!E40</f>
        <v>0</v>
      </c>
      <c r="T37" s="31">
        <f>'mnt Data'!F40</f>
        <v>0</v>
      </c>
      <c r="U37" s="31">
        <f>'mnt Data'!G40</f>
        <v>0</v>
      </c>
      <c r="V37" s="31">
        <f>'mnt Data'!H40</f>
        <v>0</v>
      </c>
      <c r="W37" s="31">
        <f>'mnt Data'!I40</f>
        <v>0</v>
      </c>
      <c r="X37" s="31">
        <f>'mnt Data'!J40</f>
        <v>0</v>
      </c>
      <c r="Y37" s="31">
        <f>'mnt Data'!K40</f>
        <v>0</v>
      </c>
      <c r="Z37" s="31">
        <f>'mnt Data'!L40</f>
        <v>0</v>
      </c>
      <c r="AA37" s="31">
        <f>'mnt Data'!M40</f>
        <v>0</v>
      </c>
      <c r="AB37" s="31">
        <f>'mnt Data'!N40</f>
        <v>0</v>
      </c>
      <c r="AC37" s="31">
        <f>'mnt Data'!O40</f>
        <v>0</v>
      </c>
      <c r="AD37" s="31">
        <f>'mnt Data'!P40</f>
        <v>0</v>
      </c>
      <c r="AE37" s="31">
        <f>'mnt Data'!Q40</f>
        <v>0</v>
      </c>
      <c r="AF37" s="31">
        <f>'mnt Data'!R40</f>
        <v>0</v>
      </c>
      <c r="AG37" s="31">
        <f>'mnt Data'!S40</f>
        <v>0</v>
      </c>
      <c r="AH37" s="31">
        <f>'mnt Data'!T40</f>
        <v>0</v>
      </c>
      <c r="AI37" s="31">
        <f>'mnt Data'!U40</f>
        <v>0</v>
      </c>
      <c r="AJ37" s="31">
        <f>'mnt Data'!V40</f>
        <v>0</v>
      </c>
      <c r="AK37" s="31">
        <f>'mnt Data'!W40</f>
        <v>0</v>
      </c>
      <c r="AL37" s="31">
        <f>'mnt Data'!X40</f>
        <v>0</v>
      </c>
      <c r="AM37" s="31">
        <f>'mnt Data'!Y40</f>
        <v>0</v>
      </c>
      <c r="AN37" s="31">
        <f>'mnt Data'!Z40</f>
        <v>0</v>
      </c>
      <c r="AO37" s="31">
        <f>'mnt Data'!AA40</f>
        <v>0</v>
      </c>
      <c r="AP37" s="31">
        <f>'mnt Data'!AB40</f>
        <v>0</v>
      </c>
      <c r="AQ37" s="31">
        <f>'mnt Data'!AC40</f>
        <v>0</v>
      </c>
      <c r="AR37" s="31">
        <f>'mnt Data'!AD40</f>
        <v>0</v>
      </c>
      <c r="AS37" s="31">
        <f>'mnt Data'!AE40</f>
        <v>0</v>
      </c>
      <c r="AT37" s="31">
        <f>'mnt Data'!AF40</f>
        <v>0</v>
      </c>
      <c r="AU37" s="31">
        <f>'mnt Data'!AG40</f>
        <v>0</v>
      </c>
      <c r="AV37" s="31">
        <f>'mnt Data'!AH40</f>
        <v>0</v>
      </c>
      <c r="AW37" s="31">
        <f>'mnt Data'!AI40</f>
        <v>0</v>
      </c>
      <c r="AX37" s="31">
        <f>'mnt Data'!AJ40</f>
        <v>0</v>
      </c>
      <c r="AY37" s="31">
        <f>'mnt Data'!AK40</f>
        <v>0</v>
      </c>
    </row>
    <row r="38" spans="1:51" x14ac:dyDescent="0.25">
      <c r="A38">
        <v>37</v>
      </c>
      <c r="B38" s="32">
        <f t="shared" si="6"/>
        <v>0</v>
      </c>
      <c r="C38" s="32">
        <f t="shared" si="7"/>
        <v>0</v>
      </c>
      <c r="D38" s="32" t="str">
        <f t="shared" si="0"/>
        <v>No Gs</v>
      </c>
      <c r="E38" s="32">
        <f t="shared" si="3"/>
        <v>0</v>
      </c>
      <c r="F38" s="32" t="str">
        <f t="shared" si="4"/>
        <v>No Gs</v>
      </c>
      <c r="G38" s="32" t="str">
        <f t="shared" si="5"/>
        <v>No Gs</v>
      </c>
      <c r="H38" s="32" t="str">
        <f t="shared" si="8"/>
        <v>Gs is needed</v>
      </c>
      <c r="I38" s="32" t="str">
        <f t="shared" si="9"/>
        <v>Gs is needed</v>
      </c>
      <c r="J38" s="32" t="str">
        <f t="shared" si="10"/>
        <v>Gs is needed</v>
      </c>
      <c r="K38" s="32" t="str">
        <f t="shared" si="11"/>
        <v>Need Max and Min</v>
      </c>
      <c r="L38" s="32" t="str">
        <f t="shared" si="1"/>
        <v>Need Max and Min</v>
      </c>
      <c r="M38" s="32" t="str">
        <f t="shared" si="2"/>
        <v>Fail</v>
      </c>
      <c r="N38" s="32"/>
      <c r="O38" s="31">
        <f>'mnt Data'!A41</f>
        <v>0</v>
      </c>
      <c r="P38" s="31">
        <f>'mnt Data'!B41</f>
        <v>0</v>
      </c>
      <c r="Q38" s="31">
        <f>'mnt Data'!C41</f>
        <v>0</v>
      </c>
      <c r="R38" s="31">
        <f>'mnt Data'!D41</f>
        <v>0</v>
      </c>
      <c r="S38" s="31">
        <f>'mnt Data'!E41</f>
        <v>0</v>
      </c>
      <c r="T38" s="31">
        <f>'mnt Data'!F41</f>
        <v>0</v>
      </c>
      <c r="U38" s="31">
        <f>'mnt Data'!G41</f>
        <v>0</v>
      </c>
      <c r="V38" s="31">
        <f>'mnt Data'!H41</f>
        <v>0</v>
      </c>
      <c r="W38" s="31">
        <f>'mnt Data'!I41</f>
        <v>0</v>
      </c>
      <c r="X38" s="31">
        <f>'mnt Data'!J41</f>
        <v>0</v>
      </c>
      <c r="Y38" s="31">
        <f>'mnt Data'!K41</f>
        <v>0</v>
      </c>
      <c r="Z38" s="31">
        <f>'mnt Data'!L41</f>
        <v>0</v>
      </c>
      <c r="AA38" s="31">
        <f>'mnt Data'!M41</f>
        <v>0</v>
      </c>
      <c r="AB38" s="31">
        <f>'mnt Data'!N41</f>
        <v>0</v>
      </c>
      <c r="AC38" s="31">
        <f>'mnt Data'!O41</f>
        <v>0</v>
      </c>
      <c r="AD38" s="31">
        <f>'mnt Data'!P41</f>
        <v>0</v>
      </c>
      <c r="AE38" s="31">
        <f>'mnt Data'!Q41</f>
        <v>0</v>
      </c>
      <c r="AF38" s="31">
        <f>'mnt Data'!R41</f>
        <v>0</v>
      </c>
      <c r="AG38" s="31">
        <f>'mnt Data'!S41</f>
        <v>0</v>
      </c>
      <c r="AH38" s="31">
        <f>'mnt Data'!T41</f>
        <v>0</v>
      </c>
      <c r="AI38" s="31">
        <f>'mnt Data'!U41</f>
        <v>0</v>
      </c>
      <c r="AJ38" s="31">
        <f>'mnt Data'!V41</f>
        <v>0</v>
      </c>
      <c r="AK38" s="31">
        <f>'mnt Data'!W41</f>
        <v>0</v>
      </c>
      <c r="AL38" s="31">
        <f>'mnt Data'!X41</f>
        <v>0</v>
      </c>
      <c r="AM38" s="31">
        <f>'mnt Data'!Y41</f>
        <v>0</v>
      </c>
      <c r="AN38" s="31">
        <f>'mnt Data'!Z41</f>
        <v>0</v>
      </c>
      <c r="AO38" s="31">
        <f>'mnt Data'!AA41</f>
        <v>0</v>
      </c>
      <c r="AP38" s="31">
        <f>'mnt Data'!AB41</f>
        <v>0</v>
      </c>
      <c r="AQ38" s="31">
        <f>'mnt Data'!AC41</f>
        <v>0</v>
      </c>
      <c r="AR38" s="31">
        <f>'mnt Data'!AD41</f>
        <v>0</v>
      </c>
      <c r="AS38" s="31">
        <f>'mnt Data'!AE41</f>
        <v>0</v>
      </c>
      <c r="AT38" s="31">
        <f>'mnt Data'!AF41</f>
        <v>0</v>
      </c>
      <c r="AU38" s="31">
        <f>'mnt Data'!AG41</f>
        <v>0</v>
      </c>
      <c r="AV38" s="31">
        <f>'mnt Data'!AH41</f>
        <v>0</v>
      </c>
      <c r="AW38" s="31">
        <f>'mnt Data'!AI41</f>
        <v>0</v>
      </c>
      <c r="AX38" s="31">
        <f>'mnt Data'!AJ41</f>
        <v>0</v>
      </c>
      <c r="AY38" s="31">
        <f>'mnt Data'!AK41</f>
        <v>0</v>
      </c>
    </row>
    <row r="39" spans="1:51" x14ac:dyDescent="0.25">
      <c r="A39">
        <v>38</v>
      </c>
      <c r="B39" s="32">
        <f t="shared" si="6"/>
        <v>0</v>
      </c>
      <c r="C39" s="32">
        <f t="shared" si="7"/>
        <v>0</v>
      </c>
      <c r="D39" s="32" t="str">
        <f t="shared" si="0"/>
        <v>No Gs</v>
      </c>
      <c r="E39" s="32">
        <f t="shared" si="3"/>
        <v>0</v>
      </c>
      <c r="F39" s="32" t="str">
        <f t="shared" si="4"/>
        <v>No Gs</v>
      </c>
      <c r="G39" s="32" t="str">
        <f t="shared" si="5"/>
        <v>No Gs</v>
      </c>
      <c r="H39" s="32" t="str">
        <f t="shared" si="8"/>
        <v>Gs is needed</v>
      </c>
      <c r="I39" s="32" t="str">
        <f t="shared" si="9"/>
        <v>Gs is needed</v>
      </c>
      <c r="J39" s="32" t="str">
        <f t="shared" si="10"/>
        <v>Gs is needed</v>
      </c>
      <c r="K39" s="32" t="str">
        <f t="shared" si="11"/>
        <v>Need Max and Min</v>
      </c>
      <c r="L39" s="32" t="str">
        <f t="shared" si="1"/>
        <v>Need Max and Min</v>
      </c>
      <c r="M39" s="32" t="str">
        <f t="shared" si="2"/>
        <v>Fail</v>
      </c>
      <c r="N39" s="32"/>
      <c r="O39" s="31">
        <f>'mnt Data'!A42</f>
        <v>0</v>
      </c>
      <c r="P39" s="31">
        <f>'mnt Data'!B42</f>
        <v>0</v>
      </c>
      <c r="Q39" s="31">
        <f>'mnt Data'!C42</f>
        <v>0</v>
      </c>
      <c r="R39" s="31">
        <f>'mnt Data'!D42</f>
        <v>0</v>
      </c>
      <c r="S39" s="31">
        <f>'mnt Data'!E42</f>
        <v>0</v>
      </c>
      <c r="T39" s="31">
        <f>'mnt Data'!F42</f>
        <v>0</v>
      </c>
      <c r="U39" s="31">
        <f>'mnt Data'!G42</f>
        <v>0</v>
      </c>
      <c r="V39" s="31">
        <f>'mnt Data'!H42</f>
        <v>0</v>
      </c>
      <c r="W39" s="31">
        <f>'mnt Data'!I42</f>
        <v>0</v>
      </c>
      <c r="X39" s="31">
        <f>'mnt Data'!J42</f>
        <v>0</v>
      </c>
      <c r="Y39" s="31">
        <f>'mnt Data'!K42</f>
        <v>0</v>
      </c>
      <c r="Z39" s="31">
        <f>'mnt Data'!L42</f>
        <v>0</v>
      </c>
      <c r="AA39" s="31">
        <f>'mnt Data'!M42</f>
        <v>0</v>
      </c>
      <c r="AB39" s="31">
        <f>'mnt Data'!N42</f>
        <v>0</v>
      </c>
      <c r="AC39" s="31">
        <f>'mnt Data'!O42</f>
        <v>0</v>
      </c>
      <c r="AD39" s="31">
        <f>'mnt Data'!P42</f>
        <v>0</v>
      </c>
      <c r="AE39" s="31">
        <f>'mnt Data'!Q42</f>
        <v>0</v>
      </c>
      <c r="AF39" s="31">
        <f>'mnt Data'!R42</f>
        <v>0</v>
      </c>
      <c r="AG39" s="31">
        <f>'mnt Data'!S42</f>
        <v>0</v>
      </c>
      <c r="AH39" s="31">
        <f>'mnt Data'!T42</f>
        <v>0</v>
      </c>
      <c r="AI39" s="31">
        <f>'mnt Data'!U42</f>
        <v>0</v>
      </c>
      <c r="AJ39" s="31">
        <f>'mnt Data'!V42</f>
        <v>0</v>
      </c>
      <c r="AK39" s="31">
        <f>'mnt Data'!W42</f>
        <v>0</v>
      </c>
      <c r="AL39" s="31">
        <f>'mnt Data'!X42</f>
        <v>0</v>
      </c>
      <c r="AM39" s="31">
        <f>'mnt Data'!Y42</f>
        <v>0</v>
      </c>
      <c r="AN39" s="31">
        <f>'mnt Data'!Z42</f>
        <v>0</v>
      </c>
      <c r="AO39" s="31">
        <f>'mnt Data'!AA42</f>
        <v>0</v>
      </c>
      <c r="AP39" s="31">
        <f>'mnt Data'!AB42</f>
        <v>0</v>
      </c>
      <c r="AQ39" s="31">
        <f>'mnt Data'!AC42</f>
        <v>0</v>
      </c>
      <c r="AR39" s="31">
        <f>'mnt Data'!AD42</f>
        <v>0</v>
      </c>
      <c r="AS39" s="31">
        <f>'mnt Data'!AE42</f>
        <v>0</v>
      </c>
      <c r="AT39" s="31">
        <f>'mnt Data'!AF42</f>
        <v>0</v>
      </c>
      <c r="AU39" s="31">
        <f>'mnt Data'!AG42</f>
        <v>0</v>
      </c>
      <c r="AV39" s="31">
        <f>'mnt Data'!AH42</f>
        <v>0</v>
      </c>
      <c r="AW39" s="31">
        <f>'mnt Data'!AI42</f>
        <v>0</v>
      </c>
      <c r="AX39" s="31">
        <f>'mnt Data'!AJ42</f>
        <v>0</v>
      </c>
      <c r="AY39" s="31">
        <f>'mnt Data'!AK42</f>
        <v>0</v>
      </c>
    </row>
    <row r="40" spans="1:51" x14ac:dyDescent="0.25">
      <c r="A40">
        <v>39</v>
      </c>
      <c r="B40" s="32">
        <f t="shared" si="6"/>
        <v>0</v>
      </c>
      <c r="C40" s="32">
        <f t="shared" si="7"/>
        <v>0</v>
      </c>
      <c r="D40" s="32" t="str">
        <f t="shared" si="0"/>
        <v>No Gs</v>
      </c>
      <c r="E40" s="32">
        <f t="shared" si="3"/>
        <v>0</v>
      </c>
      <c r="F40" s="32" t="str">
        <f t="shared" si="4"/>
        <v>No Gs</v>
      </c>
      <c r="G40" s="32" t="str">
        <f t="shared" si="5"/>
        <v>No Gs</v>
      </c>
      <c r="H40" s="32" t="str">
        <f t="shared" si="8"/>
        <v>Gs is needed</v>
      </c>
      <c r="I40" s="32" t="str">
        <f t="shared" si="9"/>
        <v>Gs is needed</v>
      </c>
      <c r="J40" s="32" t="str">
        <f t="shared" si="10"/>
        <v>Gs is needed</v>
      </c>
      <c r="K40" s="32" t="str">
        <f t="shared" si="11"/>
        <v>Need Max and Min</v>
      </c>
      <c r="L40" s="32" t="str">
        <f t="shared" si="1"/>
        <v>Need Max and Min</v>
      </c>
      <c r="M40" s="32" t="str">
        <f t="shared" si="2"/>
        <v>Fail</v>
      </c>
      <c r="N40" s="32"/>
      <c r="O40" s="31">
        <f>'mnt Data'!A43</f>
        <v>0</v>
      </c>
      <c r="P40" s="31">
        <f>'mnt Data'!B43</f>
        <v>0</v>
      </c>
      <c r="Q40" s="31">
        <f>'mnt Data'!C43</f>
        <v>0</v>
      </c>
      <c r="R40" s="31">
        <f>'mnt Data'!D43</f>
        <v>0</v>
      </c>
      <c r="S40" s="31">
        <f>'mnt Data'!E43</f>
        <v>0</v>
      </c>
      <c r="T40" s="31">
        <f>'mnt Data'!F43</f>
        <v>0</v>
      </c>
      <c r="U40" s="31">
        <f>'mnt Data'!G43</f>
        <v>0</v>
      </c>
      <c r="V40" s="31">
        <f>'mnt Data'!H43</f>
        <v>0</v>
      </c>
      <c r="W40" s="31">
        <f>'mnt Data'!I43</f>
        <v>0</v>
      </c>
      <c r="X40" s="31">
        <f>'mnt Data'!J43</f>
        <v>0</v>
      </c>
      <c r="Y40" s="31">
        <f>'mnt Data'!K43</f>
        <v>0</v>
      </c>
      <c r="Z40" s="31">
        <f>'mnt Data'!L43</f>
        <v>0</v>
      </c>
      <c r="AA40" s="31">
        <f>'mnt Data'!M43</f>
        <v>0</v>
      </c>
      <c r="AB40" s="31">
        <f>'mnt Data'!N43</f>
        <v>0</v>
      </c>
      <c r="AC40" s="31">
        <f>'mnt Data'!O43</f>
        <v>0</v>
      </c>
      <c r="AD40" s="31">
        <f>'mnt Data'!P43</f>
        <v>0</v>
      </c>
      <c r="AE40" s="31">
        <f>'mnt Data'!Q43</f>
        <v>0</v>
      </c>
      <c r="AF40" s="31">
        <f>'mnt Data'!R43</f>
        <v>0</v>
      </c>
      <c r="AG40" s="31">
        <f>'mnt Data'!S43</f>
        <v>0</v>
      </c>
      <c r="AH40" s="31">
        <f>'mnt Data'!T43</f>
        <v>0</v>
      </c>
      <c r="AI40" s="31">
        <f>'mnt Data'!U43</f>
        <v>0</v>
      </c>
      <c r="AJ40" s="31">
        <f>'mnt Data'!V43</f>
        <v>0</v>
      </c>
      <c r="AK40" s="31">
        <f>'mnt Data'!W43</f>
        <v>0</v>
      </c>
      <c r="AL40" s="31">
        <f>'mnt Data'!X43</f>
        <v>0</v>
      </c>
      <c r="AM40" s="31">
        <f>'mnt Data'!Y43</f>
        <v>0</v>
      </c>
      <c r="AN40" s="31">
        <f>'mnt Data'!Z43</f>
        <v>0</v>
      </c>
      <c r="AO40" s="31">
        <f>'mnt Data'!AA43</f>
        <v>0</v>
      </c>
      <c r="AP40" s="31">
        <f>'mnt Data'!AB43</f>
        <v>0</v>
      </c>
      <c r="AQ40" s="31">
        <f>'mnt Data'!AC43</f>
        <v>0</v>
      </c>
      <c r="AR40" s="31">
        <f>'mnt Data'!AD43</f>
        <v>0</v>
      </c>
      <c r="AS40" s="31">
        <f>'mnt Data'!AE43</f>
        <v>0</v>
      </c>
      <c r="AT40" s="31">
        <f>'mnt Data'!AF43</f>
        <v>0</v>
      </c>
      <c r="AU40" s="31">
        <f>'mnt Data'!AG43</f>
        <v>0</v>
      </c>
      <c r="AV40" s="31">
        <f>'mnt Data'!AH43</f>
        <v>0</v>
      </c>
      <c r="AW40" s="31">
        <f>'mnt Data'!AI43</f>
        <v>0</v>
      </c>
      <c r="AX40" s="31">
        <f>'mnt Data'!AJ43</f>
        <v>0</v>
      </c>
      <c r="AY40" s="31">
        <f>'mnt Data'!AK43</f>
        <v>0</v>
      </c>
    </row>
    <row r="41" spans="1:51" x14ac:dyDescent="0.25">
      <c r="A41">
        <v>40</v>
      </c>
      <c r="B41" s="32">
        <f t="shared" ref="B41:B104" si="12">O41</f>
        <v>0</v>
      </c>
      <c r="C41" s="32">
        <f t="shared" ref="C41:C104" si="13">O41*(Q41/100)</f>
        <v>0</v>
      </c>
      <c r="D41" s="32" t="str">
        <f t="shared" si="0"/>
        <v>No Gs</v>
      </c>
      <c r="E41" s="32">
        <f t="shared" si="3"/>
        <v>0</v>
      </c>
      <c r="F41" s="32" t="str">
        <f t="shared" si="4"/>
        <v>No Gs</v>
      </c>
      <c r="G41" s="32" t="str">
        <f t="shared" si="5"/>
        <v>No Gs</v>
      </c>
      <c r="H41" s="32" t="str">
        <f t="shared" ref="H41:H104" si="14">IFERROR(E41/G41,"Gs is needed")</f>
        <v>Gs is needed</v>
      </c>
      <c r="I41" s="32" t="str">
        <f t="shared" ref="I41:I104" si="15">IFERROR(G41/1,"Gs is needed")</f>
        <v>Gs is needed</v>
      </c>
      <c r="J41" s="32" t="str">
        <f t="shared" ref="J41:J104" si="16">IFERROR(G41/D41,"Gs is needed")</f>
        <v>Gs is needed</v>
      </c>
      <c r="K41" s="32" t="str">
        <f t="shared" si="11"/>
        <v>Need Max and Min</v>
      </c>
      <c r="L41" s="32" t="str">
        <f t="shared" si="1"/>
        <v>Need Max and Min</v>
      </c>
      <c r="M41" s="32" t="str">
        <f t="shared" si="2"/>
        <v>Fail</v>
      </c>
      <c r="N41" s="32"/>
      <c r="O41" s="31">
        <f>'mnt Data'!A44</f>
        <v>0</v>
      </c>
      <c r="P41" s="31">
        <f>'mnt Data'!B44</f>
        <v>0</v>
      </c>
      <c r="Q41" s="31">
        <f>'mnt Data'!C44</f>
        <v>0</v>
      </c>
      <c r="R41" s="31">
        <f>'mnt Data'!D44</f>
        <v>0</v>
      </c>
      <c r="S41" s="31">
        <f>'mnt Data'!E44</f>
        <v>0</v>
      </c>
      <c r="T41" s="31">
        <f>'mnt Data'!F44</f>
        <v>0</v>
      </c>
      <c r="U41" s="31">
        <f>'mnt Data'!G44</f>
        <v>0</v>
      </c>
      <c r="V41" s="31">
        <f>'mnt Data'!H44</f>
        <v>0</v>
      </c>
      <c r="W41" s="31">
        <f>'mnt Data'!I44</f>
        <v>0</v>
      </c>
      <c r="X41" s="31">
        <f>'mnt Data'!J44</f>
        <v>0</v>
      </c>
      <c r="Y41" s="31">
        <f>'mnt Data'!K44</f>
        <v>0</v>
      </c>
      <c r="Z41" s="31">
        <f>'mnt Data'!L44</f>
        <v>0</v>
      </c>
      <c r="AA41" s="31">
        <f>'mnt Data'!M44</f>
        <v>0</v>
      </c>
      <c r="AB41" s="31">
        <f>'mnt Data'!N44</f>
        <v>0</v>
      </c>
      <c r="AC41" s="31">
        <f>'mnt Data'!O44</f>
        <v>0</v>
      </c>
      <c r="AD41" s="31">
        <f>'mnt Data'!P44</f>
        <v>0</v>
      </c>
      <c r="AE41" s="31">
        <f>'mnt Data'!Q44</f>
        <v>0</v>
      </c>
      <c r="AF41" s="31">
        <f>'mnt Data'!R44</f>
        <v>0</v>
      </c>
      <c r="AG41" s="31">
        <f>'mnt Data'!S44</f>
        <v>0</v>
      </c>
      <c r="AH41" s="31">
        <f>'mnt Data'!T44</f>
        <v>0</v>
      </c>
      <c r="AI41" s="31">
        <f>'mnt Data'!U44</f>
        <v>0</v>
      </c>
      <c r="AJ41" s="31">
        <f>'mnt Data'!V44</f>
        <v>0</v>
      </c>
      <c r="AK41" s="31">
        <f>'mnt Data'!W44</f>
        <v>0</v>
      </c>
      <c r="AL41" s="31">
        <f>'mnt Data'!X44</f>
        <v>0</v>
      </c>
      <c r="AM41" s="31">
        <f>'mnt Data'!Y44</f>
        <v>0</v>
      </c>
      <c r="AN41" s="31">
        <f>'mnt Data'!Z44</f>
        <v>0</v>
      </c>
      <c r="AO41" s="31">
        <f>'mnt Data'!AA44</f>
        <v>0</v>
      </c>
      <c r="AP41" s="31">
        <f>'mnt Data'!AB44</f>
        <v>0</v>
      </c>
      <c r="AQ41" s="31">
        <f>'mnt Data'!AC44</f>
        <v>0</v>
      </c>
      <c r="AR41" s="31">
        <f>'mnt Data'!AD44</f>
        <v>0</v>
      </c>
      <c r="AS41" s="31">
        <f>'mnt Data'!AE44</f>
        <v>0</v>
      </c>
      <c r="AT41" s="31">
        <f>'mnt Data'!AF44</f>
        <v>0</v>
      </c>
      <c r="AU41" s="31">
        <f>'mnt Data'!AG44</f>
        <v>0</v>
      </c>
      <c r="AV41" s="31">
        <f>'mnt Data'!AH44</f>
        <v>0</v>
      </c>
      <c r="AW41" s="31">
        <f>'mnt Data'!AI44</f>
        <v>0</v>
      </c>
      <c r="AX41" s="31">
        <f>'mnt Data'!AJ44</f>
        <v>0</v>
      </c>
      <c r="AY41" s="31">
        <f>'mnt Data'!AK44</f>
        <v>0</v>
      </c>
    </row>
    <row r="42" spans="1:51" x14ac:dyDescent="0.25">
      <c r="A42">
        <v>41</v>
      </c>
      <c r="B42" s="32">
        <f t="shared" si="12"/>
        <v>0</v>
      </c>
      <c r="C42" s="32">
        <f t="shared" si="13"/>
        <v>0</v>
      </c>
      <c r="D42" s="32" t="str">
        <f t="shared" si="0"/>
        <v>No Gs</v>
      </c>
      <c r="E42" s="32">
        <f t="shared" si="3"/>
        <v>0</v>
      </c>
      <c r="F42" s="32" t="str">
        <f t="shared" si="4"/>
        <v>No Gs</v>
      </c>
      <c r="G42" s="32" t="str">
        <f t="shared" si="5"/>
        <v>No Gs</v>
      </c>
      <c r="H42" s="32" t="str">
        <f t="shared" si="14"/>
        <v>Gs is needed</v>
      </c>
      <c r="I42" s="32" t="str">
        <f t="shared" si="15"/>
        <v>Gs is needed</v>
      </c>
      <c r="J42" s="32" t="str">
        <f t="shared" si="16"/>
        <v>Gs is needed</v>
      </c>
      <c r="K42" s="32" t="str">
        <f t="shared" si="11"/>
        <v>Need Max and Min</v>
      </c>
      <c r="L42" s="32" t="str">
        <f t="shared" si="1"/>
        <v>Need Max and Min</v>
      </c>
      <c r="M42" s="32" t="str">
        <f t="shared" si="2"/>
        <v>Fail</v>
      </c>
      <c r="N42" s="32"/>
      <c r="O42" s="31">
        <f>'mnt Data'!A45</f>
        <v>0</v>
      </c>
      <c r="P42" s="31">
        <f>'mnt Data'!B45</f>
        <v>0</v>
      </c>
      <c r="Q42" s="31">
        <f>'mnt Data'!C45</f>
        <v>0</v>
      </c>
      <c r="R42" s="31">
        <f>'mnt Data'!D45</f>
        <v>0</v>
      </c>
      <c r="S42" s="31">
        <f>'mnt Data'!E45</f>
        <v>0</v>
      </c>
      <c r="T42" s="31">
        <f>'mnt Data'!F45</f>
        <v>0</v>
      </c>
      <c r="U42" s="31">
        <f>'mnt Data'!G45</f>
        <v>0</v>
      </c>
      <c r="V42" s="31">
        <f>'mnt Data'!H45</f>
        <v>0</v>
      </c>
      <c r="W42" s="31">
        <f>'mnt Data'!I45</f>
        <v>0</v>
      </c>
      <c r="X42" s="31">
        <f>'mnt Data'!J45</f>
        <v>0</v>
      </c>
      <c r="Y42" s="31">
        <f>'mnt Data'!K45</f>
        <v>0</v>
      </c>
      <c r="Z42" s="31">
        <f>'mnt Data'!L45</f>
        <v>0</v>
      </c>
      <c r="AA42" s="31">
        <f>'mnt Data'!M45</f>
        <v>0</v>
      </c>
      <c r="AB42" s="31">
        <f>'mnt Data'!N45</f>
        <v>0</v>
      </c>
      <c r="AC42" s="31">
        <f>'mnt Data'!O45</f>
        <v>0</v>
      </c>
      <c r="AD42" s="31">
        <f>'mnt Data'!P45</f>
        <v>0</v>
      </c>
      <c r="AE42" s="31">
        <f>'mnt Data'!Q45</f>
        <v>0</v>
      </c>
      <c r="AF42" s="31">
        <f>'mnt Data'!R45</f>
        <v>0</v>
      </c>
      <c r="AG42" s="31">
        <f>'mnt Data'!S45</f>
        <v>0</v>
      </c>
      <c r="AH42" s="31">
        <f>'mnt Data'!T45</f>
        <v>0</v>
      </c>
      <c r="AI42" s="31">
        <f>'mnt Data'!U45</f>
        <v>0</v>
      </c>
      <c r="AJ42" s="31">
        <f>'mnt Data'!V45</f>
        <v>0</v>
      </c>
      <c r="AK42" s="31">
        <f>'mnt Data'!W45</f>
        <v>0</v>
      </c>
      <c r="AL42" s="31">
        <f>'mnt Data'!X45</f>
        <v>0</v>
      </c>
      <c r="AM42" s="31">
        <f>'mnt Data'!Y45</f>
        <v>0</v>
      </c>
      <c r="AN42" s="31">
        <f>'mnt Data'!Z45</f>
        <v>0</v>
      </c>
      <c r="AO42" s="31">
        <f>'mnt Data'!AA45</f>
        <v>0</v>
      </c>
      <c r="AP42" s="31">
        <f>'mnt Data'!AB45</f>
        <v>0</v>
      </c>
      <c r="AQ42" s="31">
        <f>'mnt Data'!AC45</f>
        <v>0</v>
      </c>
      <c r="AR42" s="31">
        <f>'mnt Data'!AD45</f>
        <v>0</v>
      </c>
      <c r="AS42" s="31">
        <f>'mnt Data'!AE45</f>
        <v>0</v>
      </c>
      <c r="AT42" s="31">
        <f>'mnt Data'!AF45</f>
        <v>0</v>
      </c>
      <c r="AU42" s="31">
        <f>'mnt Data'!AG45</f>
        <v>0</v>
      </c>
      <c r="AV42" s="31">
        <f>'mnt Data'!AH45</f>
        <v>0</v>
      </c>
      <c r="AW42" s="31">
        <f>'mnt Data'!AI45</f>
        <v>0</v>
      </c>
      <c r="AX42" s="31">
        <f>'mnt Data'!AJ45</f>
        <v>0</v>
      </c>
      <c r="AY42" s="31">
        <f>'mnt Data'!AK45</f>
        <v>0</v>
      </c>
    </row>
    <row r="43" spans="1:51" x14ac:dyDescent="0.25">
      <c r="A43">
        <v>42</v>
      </c>
      <c r="B43" s="32">
        <f t="shared" si="12"/>
        <v>0</v>
      </c>
      <c r="C43" s="32">
        <f t="shared" si="13"/>
        <v>0</v>
      </c>
      <c r="D43" s="32" t="str">
        <f t="shared" si="0"/>
        <v>No Gs</v>
      </c>
      <c r="E43" s="32">
        <f t="shared" si="3"/>
        <v>0</v>
      </c>
      <c r="F43" s="32" t="str">
        <f t="shared" si="4"/>
        <v>No Gs</v>
      </c>
      <c r="G43" s="32" t="str">
        <f t="shared" si="5"/>
        <v>No Gs</v>
      </c>
      <c r="H43" s="32" t="str">
        <f t="shared" si="14"/>
        <v>Gs is needed</v>
      </c>
      <c r="I43" s="32" t="str">
        <f t="shared" si="15"/>
        <v>Gs is needed</v>
      </c>
      <c r="J43" s="32" t="str">
        <f t="shared" si="16"/>
        <v>Gs is needed</v>
      </c>
      <c r="K43" s="32" t="str">
        <f t="shared" si="11"/>
        <v>Need Max and Min</v>
      </c>
      <c r="L43" s="32" t="str">
        <f t="shared" si="1"/>
        <v>Need Max and Min</v>
      </c>
      <c r="M43" s="32" t="str">
        <f t="shared" si="2"/>
        <v>Fail</v>
      </c>
      <c r="N43" s="32"/>
      <c r="O43" s="31">
        <f>'mnt Data'!A46</f>
        <v>0</v>
      </c>
      <c r="P43" s="31">
        <f>'mnt Data'!B46</f>
        <v>0</v>
      </c>
      <c r="Q43" s="31">
        <f>'mnt Data'!C46</f>
        <v>0</v>
      </c>
      <c r="R43" s="31">
        <f>'mnt Data'!D46</f>
        <v>0</v>
      </c>
      <c r="S43" s="31">
        <f>'mnt Data'!E46</f>
        <v>0</v>
      </c>
      <c r="T43" s="31">
        <f>'mnt Data'!F46</f>
        <v>0</v>
      </c>
      <c r="U43" s="31">
        <f>'mnt Data'!G46</f>
        <v>0</v>
      </c>
      <c r="V43" s="31">
        <f>'mnt Data'!H46</f>
        <v>0</v>
      </c>
      <c r="W43" s="31">
        <f>'mnt Data'!I46</f>
        <v>0</v>
      </c>
      <c r="X43" s="31">
        <f>'mnt Data'!J46</f>
        <v>0</v>
      </c>
      <c r="Y43" s="31">
        <f>'mnt Data'!K46</f>
        <v>0</v>
      </c>
      <c r="Z43" s="31">
        <f>'mnt Data'!L46</f>
        <v>0</v>
      </c>
      <c r="AA43" s="31">
        <f>'mnt Data'!M46</f>
        <v>0</v>
      </c>
      <c r="AB43" s="31">
        <f>'mnt Data'!N46</f>
        <v>0</v>
      </c>
      <c r="AC43" s="31">
        <f>'mnt Data'!O46</f>
        <v>0</v>
      </c>
      <c r="AD43" s="31">
        <f>'mnt Data'!P46</f>
        <v>0</v>
      </c>
      <c r="AE43" s="31">
        <f>'mnt Data'!Q46</f>
        <v>0</v>
      </c>
      <c r="AF43" s="31">
        <f>'mnt Data'!R46</f>
        <v>0</v>
      </c>
      <c r="AG43" s="31">
        <f>'mnt Data'!S46</f>
        <v>0</v>
      </c>
      <c r="AH43" s="31">
        <f>'mnt Data'!T46</f>
        <v>0</v>
      </c>
      <c r="AI43" s="31">
        <f>'mnt Data'!U46</f>
        <v>0</v>
      </c>
      <c r="AJ43" s="31">
        <f>'mnt Data'!V46</f>
        <v>0</v>
      </c>
      <c r="AK43" s="31">
        <f>'mnt Data'!W46</f>
        <v>0</v>
      </c>
      <c r="AL43" s="31">
        <f>'mnt Data'!X46</f>
        <v>0</v>
      </c>
      <c r="AM43" s="31">
        <f>'mnt Data'!Y46</f>
        <v>0</v>
      </c>
      <c r="AN43" s="31">
        <f>'mnt Data'!Z46</f>
        <v>0</v>
      </c>
      <c r="AO43" s="31">
        <f>'mnt Data'!AA46</f>
        <v>0</v>
      </c>
      <c r="AP43" s="31">
        <f>'mnt Data'!AB46</f>
        <v>0</v>
      </c>
      <c r="AQ43" s="31">
        <f>'mnt Data'!AC46</f>
        <v>0</v>
      </c>
      <c r="AR43" s="31">
        <f>'mnt Data'!AD46</f>
        <v>0</v>
      </c>
      <c r="AS43" s="31">
        <f>'mnt Data'!AE46</f>
        <v>0</v>
      </c>
      <c r="AT43" s="31">
        <f>'mnt Data'!AF46</f>
        <v>0</v>
      </c>
      <c r="AU43" s="31">
        <f>'mnt Data'!AG46</f>
        <v>0</v>
      </c>
      <c r="AV43" s="31">
        <f>'mnt Data'!AH46</f>
        <v>0</v>
      </c>
      <c r="AW43" s="31">
        <f>'mnt Data'!AI46</f>
        <v>0</v>
      </c>
      <c r="AX43" s="31">
        <f>'mnt Data'!AJ46</f>
        <v>0</v>
      </c>
      <c r="AY43" s="31">
        <f>'mnt Data'!AK46</f>
        <v>0</v>
      </c>
    </row>
    <row r="44" spans="1:51" x14ac:dyDescent="0.25">
      <c r="A44">
        <v>43</v>
      </c>
      <c r="B44" s="32">
        <f t="shared" si="12"/>
        <v>0</v>
      </c>
      <c r="C44" s="32">
        <f t="shared" si="13"/>
        <v>0</v>
      </c>
      <c r="D44" s="32" t="str">
        <f t="shared" si="0"/>
        <v>No Gs</v>
      </c>
      <c r="E44" s="32">
        <f t="shared" si="3"/>
        <v>0</v>
      </c>
      <c r="F44" s="32" t="str">
        <f t="shared" si="4"/>
        <v>No Gs</v>
      </c>
      <c r="G44" s="32" t="str">
        <f t="shared" si="5"/>
        <v>No Gs</v>
      </c>
      <c r="H44" s="32" t="str">
        <f t="shared" si="14"/>
        <v>Gs is needed</v>
      </c>
      <c r="I44" s="32" t="str">
        <f t="shared" si="15"/>
        <v>Gs is needed</v>
      </c>
      <c r="J44" s="32" t="str">
        <f t="shared" si="16"/>
        <v>Gs is needed</v>
      </c>
      <c r="K44" s="32" t="str">
        <f t="shared" si="11"/>
        <v>Need Max and Min</v>
      </c>
      <c r="L44" s="32" t="str">
        <f t="shared" si="1"/>
        <v>Need Max and Min</v>
      </c>
      <c r="M44" s="32" t="str">
        <f t="shared" si="2"/>
        <v>Fail</v>
      </c>
      <c r="N44" s="32"/>
      <c r="O44" s="31">
        <f>'mnt Data'!A47</f>
        <v>0</v>
      </c>
      <c r="P44" s="31">
        <f>'mnt Data'!B47</f>
        <v>0</v>
      </c>
      <c r="Q44" s="31">
        <f>'mnt Data'!C47</f>
        <v>0</v>
      </c>
      <c r="R44" s="31">
        <f>'mnt Data'!D47</f>
        <v>0</v>
      </c>
      <c r="S44" s="31">
        <f>'mnt Data'!E47</f>
        <v>0</v>
      </c>
      <c r="T44" s="31">
        <f>'mnt Data'!F47</f>
        <v>0</v>
      </c>
      <c r="U44" s="31">
        <f>'mnt Data'!G47</f>
        <v>0</v>
      </c>
      <c r="V44" s="31">
        <f>'mnt Data'!H47</f>
        <v>0</v>
      </c>
      <c r="W44" s="31">
        <f>'mnt Data'!I47</f>
        <v>0</v>
      </c>
      <c r="X44" s="31">
        <f>'mnt Data'!J47</f>
        <v>0</v>
      </c>
      <c r="Y44" s="31">
        <f>'mnt Data'!K47</f>
        <v>0</v>
      </c>
      <c r="Z44" s="31">
        <f>'mnt Data'!L47</f>
        <v>0</v>
      </c>
      <c r="AA44" s="31">
        <f>'mnt Data'!M47</f>
        <v>0</v>
      </c>
      <c r="AB44" s="31">
        <f>'mnt Data'!N47</f>
        <v>0</v>
      </c>
      <c r="AC44" s="31">
        <f>'mnt Data'!O47</f>
        <v>0</v>
      </c>
      <c r="AD44" s="31">
        <f>'mnt Data'!P47</f>
        <v>0</v>
      </c>
      <c r="AE44" s="31">
        <f>'mnt Data'!Q47</f>
        <v>0</v>
      </c>
      <c r="AF44" s="31">
        <f>'mnt Data'!R47</f>
        <v>0</v>
      </c>
      <c r="AG44" s="31">
        <f>'mnt Data'!S47</f>
        <v>0</v>
      </c>
      <c r="AH44" s="31">
        <f>'mnt Data'!T47</f>
        <v>0</v>
      </c>
      <c r="AI44" s="31">
        <f>'mnt Data'!U47</f>
        <v>0</v>
      </c>
      <c r="AJ44" s="31">
        <f>'mnt Data'!V47</f>
        <v>0</v>
      </c>
      <c r="AK44" s="31">
        <f>'mnt Data'!W47</f>
        <v>0</v>
      </c>
      <c r="AL44" s="31">
        <f>'mnt Data'!X47</f>
        <v>0</v>
      </c>
      <c r="AM44" s="31">
        <f>'mnt Data'!Y47</f>
        <v>0</v>
      </c>
      <c r="AN44" s="31">
        <f>'mnt Data'!Z47</f>
        <v>0</v>
      </c>
      <c r="AO44" s="31">
        <f>'mnt Data'!AA47</f>
        <v>0</v>
      </c>
      <c r="AP44" s="31">
        <f>'mnt Data'!AB47</f>
        <v>0</v>
      </c>
      <c r="AQ44" s="31">
        <f>'mnt Data'!AC47</f>
        <v>0</v>
      </c>
      <c r="AR44" s="31">
        <f>'mnt Data'!AD47</f>
        <v>0</v>
      </c>
      <c r="AS44" s="31">
        <f>'mnt Data'!AE47</f>
        <v>0</v>
      </c>
      <c r="AT44" s="31">
        <f>'mnt Data'!AF47</f>
        <v>0</v>
      </c>
      <c r="AU44" s="31">
        <f>'mnt Data'!AG47</f>
        <v>0</v>
      </c>
      <c r="AV44" s="31">
        <f>'mnt Data'!AH47</f>
        <v>0</v>
      </c>
      <c r="AW44" s="31">
        <f>'mnt Data'!AI47</f>
        <v>0</v>
      </c>
      <c r="AX44" s="31">
        <f>'mnt Data'!AJ47</f>
        <v>0</v>
      </c>
      <c r="AY44" s="31">
        <f>'mnt Data'!AK47</f>
        <v>0</v>
      </c>
    </row>
    <row r="45" spans="1:51" x14ac:dyDescent="0.25">
      <c r="A45">
        <v>44</v>
      </c>
      <c r="B45" s="32">
        <f t="shared" si="12"/>
        <v>0</v>
      </c>
      <c r="C45" s="32">
        <f t="shared" si="13"/>
        <v>0</v>
      </c>
      <c r="D45" s="32" t="str">
        <f t="shared" si="0"/>
        <v>No Gs</v>
      </c>
      <c r="E45" s="32">
        <f t="shared" si="3"/>
        <v>0</v>
      </c>
      <c r="F45" s="32" t="str">
        <f t="shared" si="4"/>
        <v>No Gs</v>
      </c>
      <c r="G45" s="32" t="str">
        <f t="shared" si="5"/>
        <v>No Gs</v>
      </c>
      <c r="H45" s="32" t="str">
        <f t="shared" si="14"/>
        <v>Gs is needed</v>
      </c>
      <c r="I45" s="32" t="str">
        <f t="shared" si="15"/>
        <v>Gs is needed</v>
      </c>
      <c r="J45" s="32" t="str">
        <f t="shared" si="16"/>
        <v>Gs is needed</v>
      </c>
      <c r="K45" s="32" t="str">
        <f t="shared" si="11"/>
        <v>Need Max and Min</v>
      </c>
      <c r="L45" s="32" t="str">
        <f t="shared" si="1"/>
        <v>Need Max and Min</v>
      </c>
      <c r="M45" s="32" t="str">
        <f t="shared" si="2"/>
        <v>Fail</v>
      </c>
      <c r="N45" s="32"/>
      <c r="O45" s="31">
        <f>'mnt Data'!A48</f>
        <v>0</v>
      </c>
      <c r="P45" s="31">
        <f>'mnt Data'!B48</f>
        <v>0</v>
      </c>
      <c r="Q45" s="31">
        <f>'mnt Data'!C48</f>
        <v>0</v>
      </c>
      <c r="R45" s="31">
        <f>'mnt Data'!D48</f>
        <v>0</v>
      </c>
      <c r="S45" s="31">
        <f>'mnt Data'!E48</f>
        <v>0</v>
      </c>
      <c r="T45" s="31">
        <f>'mnt Data'!F48</f>
        <v>0</v>
      </c>
      <c r="U45" s="31">
        <f>'mnt Data'!G48</f>
        <v>0</v>
      </c>
      <c r="V45" s="31">
        <f>'mnt Data'!H48</f>
        <v>0</v>
      </c>
      <c r="W45" s="31">
        <f>'mnt Data'!I48</f>
        <v>0</v>
      </c>
      <c r="X45" s="31">
        <f>'mnt Data'!J48</f>
        <v>0</v>
      </c>
      <c r="Y45" s="31">
        <f>'mnt Data'!K48</f>
        <v>0</v>
      </c>
      <c r="Z45" s="31">
        <f>'mnt Data'!L48</f>
        <v>0</v>
      </c>
      <c r="AA45" s="31">
        <f>'mnt Data'!M48</f>
        <v>0</v>
      </c>
      <c r="AB45" s="31">
        <f>'mnt Data'!N48</f>
        <v>0</v>
      </c>
      <c r="AC45" s="31">
        <f>'mnt Data'!O48</f>
        <v>0</v>
      </c>
      <c r="AD45" s="31">
        <f>'mnt Data'!P48</f>
        <v>0</v>
      </c>
      <c r="AE45" s="31">
        <f>'mnt Data'!Q48</f>
        <v>0</v>
      </c>
      <c r="AF45" s="31">
        <f>'mnt Data'!R48</f>
        <v>0</v>
      </c>
      <c r="AG45" s="31">
        <f>'mnt Data'!S48</f>
        <v>0</v>
      </c>
      <c r="AH45" s="31">
        <f>'mnt Data'!T48</f>
        <v>0</v>
      </c>
      <c r="AI45" s="31">
        <f>'mnt Data'!U48</f>
        <v>0</v>
      </c>
      <c r="AJ45" s="31">
        <f>'mnt Data'!V48</f>
        <v>0</v>
      </c>
      <c r="AK45" s="31">
        <f>'mnt Data'!W48</f>
        <v>0</v>
      </c>
      <c r="AL45" s="31">
        <f>'mnt Data'!X48</f>
        <v>0</v>
      </c>
      <c r="AM45" s="31">
        <f>'mnt Data'!Y48</f>
        <v>0</v>
      </c>
      <c r="AN45" s="31">
        <f>'mnt Data'!Z48</f>
        <v>0</v>
      </c>
      <c r="AO45" s="31">
        <f>'mnt Data'!AA48</f>
        <v>0</v>
      </c>
      <c r="AP45" s="31">
        <f>'mnt Data'!AB48</f>
        <v>0</v>
      </c>
      <c r="AQ45" s="31">
        <f>'mnt Data'!AC48</f>
        <v>0</v>
      </c>
      <c r="AR45" s="31">
        <f>'mnt Data'!AD48</f>
        <v>0</v>
      </c>
      <c r="AS45" s="31">
        <f>'mnt Data'!AE48</f>
        <v>0</v>
      </c>
      <c r="AT45" s="31">
        <f>'mnt Data'!AF48</f>
        <v>0</v>
      </c>
      <c r="AU45" s="31">
        <f>'mnt Data'!AG48</f>
        <v>0</v>
      </c>
      <c r="AV45" s="31">
        <f>'mnt Data'!AH48</f>
        <v>0</v>
      </c>
      <c r="AW45" s="31">
        <f>'mnt Data'!AI48</f>
        <v>0</v>
      </c>
      <c r="AX45" s="31">
        <f>'mnt Data'!AJ48</f>
        <v>0</v>
      </c>
      <c r="AY45" s="31">
        <f>'mnt Data'!AK48</f>
        <v>0</v>
      </c>
    </row>
    <row r="46" spans="1:51" x14ac:dyDescent="0.25">
      <c r="A46">
        <v>45</v>
      </c>
      <c r="B46" s="32">
        <f t="shared" si="12"/>
        <v>0</v>
      </c>
      <c r="C46" s="32">
        <f t="shared" si="13"/>
        <v>0</v>
      </c>
      <c r="D46" s="32" t="str">
        <f t="shared" si="0"/>
        <v>No Gs</v>
      </c>
      <c r="E46" s="32">
        <f t="shared" si="3"/>
        <v>0</v>
      </c>
      <c r="F46" s="32" t="str">
        <f t="shared" si="4"/>
        <v>No Gs</v>
      </c>
      <c r="G46" s="32" t="str">
        <f t="shared" si="5"/>
        <v>No Gs</v>
      </c>
      <c r="H46" s="32" t="str">
        <f t="shared" si="14"/>
        <v>Gs is needed</v>
      </c>
      <c r="I46" s="32" t="str">
        <f t="shared" si="15"/>
        <v>Gs is needed</v>
      </c>
      <c r="J46" s="32" t="str">
        <f t="shared" si="16"/>
        <v>Gs is needed</v>
      </c>
      <c r="K46" s="32" t="str">
        <f t="shared" si="11"/>
        <v>Need Max and Min</v>
      </c>
      <c r="L46" s="32" t="str">
        <f t="shared" si="1"/>
        <v>Need Max and Min</v>
      </c>
      <c r="M46" s="32" t="str">
        <f t="shared" si="2"/>
        <v>Fail</v>
      </c>
      <c r="N46" s="32"/>
      <c r="O46" s="31">
        <f>'mnt Data'!A49</f>
        <v>0</v>
      </c>
      <c r="P46" s="31">
        <f>'mnt Data'!B49</f>
        <v>0</v>
      </c>
      <c r="Q46" s="31">
        <f>'mnt Data'!C49</f>
        <v>0</v>
      </c>
      <c r="R46" s="31">
        <f>'mnt Data'!D49</f>
        <v>0</v>
      </c>
      <c r="S46" s="31">
        <f>'mnt Data'!E49</f>
        <v>0</v>
      </c>
      <c r="T46" s="31">
        <f>'mnt Data'!F49</f>
        <v>0</v>
      </c>
      <c r="U46" s="31">
        <f>'mnt Data'!G49</f>
        <v>0</v>
      </c>
      <c r="V46" s="31">
        <f>'mnt Data'!H49</f>
        <v>0</v>
      </c>
      <c r="W46" s="31">
        <f>'mnt Data'!I49</f>
        <v>0</v>
      </c>
      <c r="X46" s="31">
        <f>'mnt Data'!J49</f>
        <v>0</v>
      </c>
      <c r="Y46" s="31">
        <f>'mnt Data'!K49</f>
        <v>0</v>
      </c>
      <c r="Z46" s="31">
        <f>'mnt Data'!L49</f>
        <v>0</v>
      </c>
      <c r="AA46" s="31">
        <f>'mnt Data'!M49</f>
        <v>0</v>
      </c>
      <c r="AB46" s="31">
        <f>'mnt Data'!N49</f>
        <v>0</v>
      </c>
      <c r="AC46" s="31">
        <f>'mnt Data'!O49</f>
        <v>0</v>
      </c>
      <c r="AD46" s="31">
        <f>'mnt Data'!P49</f>
        <v>0</v>
      </c>
      <c r="AE46" s="31">
        <f>'mnt Data'!Q49</f>
        <v>0</v>
      </c>
      <c r="AF46" s="31">
        <f>'mnt Data'!R49</f>
        <v>0</v>
      </c>
      <c r="AG46" s="31">
        <f>'mnt Data'!S49</f>
        <v>0</v>
      </c>
      <c r="AH46" s="31">
        <f>'mnt Data'!T49</f>
        <v>0</v>
      </c>
      <c r="AI46" s="31">
        <f>'mnt Data'!U49</f>
        <v>0</v>
      </c>
      <c r="AJ46" s="31">
        <f>'mnt Data'!V49</f>
        <v>0</v>
      </c>
      <c r="AK46" s="31">
        <f>'mnt Data'!W49</f>
        <v>0</v>
      </c>
      <c r="AL46" s="31">
        <f>'mnt Data'!X49</f>
        <v>0</v>
      </c>
      <c r="AM46" s="31">
        <f>'mnt Data'!Y49</f>
        <v>0</v>
      </c>
      <c r="AN46" s="31">
        <f>'mnt Data'!Z49</f>
        <v>0</v>
      </c>
      <c r="AO46" s="31">
        <f>'mnt Data'!AA49</f>
        <v>0</v>
      </c>
      <c r="AP46" s="31">
        <f>'mnt Data'!AB49</f>
        <v>0</v>
      </c>
      <c r="AQ46" s="31">
        <f>'mnt Data'!AC49</f>
        <v>0</v>
      </c>
      <c r="AR46" s="31">
        <f>'mnt Data'!AD49</f>
        <v>0</v>
      </c>
      <c r="AS46" s="31">
        <f>'mnt Data'!AE49</f>
        <v>0</v>
      </c>
      <c r="AT46" s="31">
        <f>'mnt Data'!AF49</f>
        <v>0</v>
      </c>
      <c r="AU46" s="31">
        <f>'mnt Data'!AG49</f>
        <v>0</v>
      </c>
      <c r="AV46" s="31">
        <f>'mnt Data'!AH49</f>
        <v>0</v>
      </c>
      <c r="AW46" s="31">
        <f>'mnt Data'!AI49</f>
        <v>0</v>
      </c>
      <c r="AX46" s="31">
        <f>'mnt Data'!AJ49</f>
        <v>0</v>
      </c>
      <c r="AY46" s="31">
        <f>'mnt Data'!AK49</f>
        <v>0</v>
      </c>
    </row>
    <row r="47" spans="1:51" x14ac:dyDescent="0.25">
      <c r="A47">
        <v>46</v>
      </c>
      <c r="B47" s="32">
        <f t="shared" si="12"/>
        <v>0</v>
      </c>
      <c r="C47" s="32">
        <f t="shared" si="13"/>
        <v>0</v>
      </c>
      <c r="D47" s="32" t="str">
        <f t="shared" si="0"/>
        <v>No Gs</v>
      </c>
      <c r="E47" s="32">
        <f t="shared" si="3"/>
        <v>0</v>
      </c>
      <c r="F47" s="32" t="str">
        <f t="shared" si="4"/>
        <v>No Gs</v>
      </c>
      <c r="G47" s="32" t="str">
        <f t="shared" si="5"/>
        <v>No Gs</v>
      </c>
      <c r="H47" s="32" t="str">
        <f t="shared" si="14"/>
        <v>Gs is needed</v>
      </c>
      <c r="I47" s="32" t="str">
        <f t="shared" si="15"/>
        <v>Gs is needed</v>
      </c>
      <c r="J47" s="32" t="str">
        <f t="shared" si="16"/>
        <v>Gs is needed</v>
      </c>
      <c r="K47" s="32" t="str">
        <f t="shared" si="11"/>
        <v>Need Max and Min</v>
      </c>
      <c r="L47" s="32" t="str">
        <f t="shared" si="1"/>
        <v>Need Max and Min</v>
      </c>
      <c r="M47" s="32" t="str">
        <f t="shared" si="2"/>
        <v>Fail</v>
      </c>
      <c r="N47" s="32"/>
      <c r="O47" s="31">
        <f>'mnt Data'!A50</f>
        <v>0</v>
      </c>
      <c r="P47" s="31">
        <f>'mnt Data'!B50</f>
        <v>0</v>
      </c>
      <c r="Q47" s="31">
        <f>'mnt Data'!C50</f>
        <v>0</v>
      </c>
      <c r="R47" s="31">
        <f>'mnt Data'!D50</f>
        <v>0</v>
      </c>
      <c r="S47" s="31">
        <f>'mnt Data'!E50</f>
        <v>0</v>
      </c>
      <c r="T47" s="31">
        <f>'mnt Data'!F50</f>
        <v>0</v>
      </c>
      <c r="U47" s="31">
        <f>'mnt Data'!G50</f>
        <v>0</v>
      </c>
      <c r="V47" s="31">
        <f>'mnt Data'!H50</f>
        <v>0</v>
      </c>
      <c r="W47" s="31">
        <f>'mnt Data'!I50</f>
        <v>0</v>
      </c>
      <c r="X47" s="31">
        <f>'mnt Data'!J50</f>
        <v>0</v>
      </c>
      <c r="Y47" s="31">
        <f>'mnt Data'!K50</f>
        <v>0</v>
      </c>
      <c r="Z47" s="31">
        <f>'mnt Data'!L50</f>
        <v>0</v>
      </c>
      <c r="AA47" s="31">
        <f>'mnt Data'!M50</f>
        <v>0</v>
      </c>
      <c r="AB47" s="31">
        <f>'mnt Data'!N50</f>
        <v>0</v>
      </c>
      <c r="AC47" s="31">
        <f>'mnt Data'!O50</f>
        <v>0</v>
      </c>
      <c r="AD47" s="31">
        <f>'mnt Data'!P50</f>
        <v>0</v>
      </c>
      <c r="AE47" s="31">
        <f>'mnt Data'!Q50</f>
        <v>0</v>
      </c>
      <c r="AF47" s="31">
        <f>'mnt Data'!R50</f>
        <v>0</v>
      </c>
      <c r="AG47" s="31">
        <f>'mnt Data'!S50</f>
        <v>0</v>
      </c>
      <c r="AH47" s="31">
        <f>'mnt Data'!T50</f>
        <v>0</v>
      </c>
      <c r="AI47" s="31">
        <f>'mnt Data'!U50</f>
        <v>0</v>
      </c>
      <c r="AJ47" s="31">
        <f>'mnt Data'!V50</f>
        <v>0</v>
      </c>
      <c r="AK47" s="31">
        <f>'mnt Data'!W50</f>
        <v>0</v>
      </c>
      <c r="AL47" s="31">
        <f>'mnt Data'!X50</f>
        <v>0</v>
      </c>
      <c r="AM47" s="31">
        <f>'mnt Data'!Y50</f>
        <v>0</v>
      </c>
      <c r="AN47" s="31">
        <f>'mnt Data'!Z50</f>
        <v>0</v>
      </c>
      <c r="AO47" s="31">
        <f>'mnt Data'!AA50</f>
        <v>0</v>
      </c>
      <c r="AP47" s="31">
        <f>'mnt Data'!AB50</f>
        <v>0</v>
      </c>
      <c r="AQ47" s="31">
        <f>'mnt Data'!AC50</f>
        <v>0</v>
      </c>
      <c r="AR47" s="31">
        <f>'mnt Data'!AD50</f>
        <v>0</v>
      </c>
      <c r="AS47" s="31">
        <f>'mnt Data'!AE50</f>
        <v>0</v>
      </c>
      <c r="AT47" s="31">
        <f>'mnt Data'!AF50</f>
        <v>0</v>
      </c>
      <c r="AU47" s="31">
        <f>'mnt Data'!AG50</f>
        <v>0</v>
      </c>
      <c r="AV47" s="31">
        <f>'mnt Data'!AH50</f>
        <v>0</v>
      </c>
      <c r="AW47" s="31">
        <f>'mnt Data'!AI50</f>
        <v>0</v>
      </c>
      <c r="AX47" s="31">
        <f>'mnt Data'!AJ50</f>
        <v>0</v>
      </c>
      <c r="AY47" s="31">
        <f>'mnt Data'!AK50</f>
        <v>0</v>
      </c>
    </row>
    <row r="48" spans="1:51" x14ac:dyDescent="0.25">
      <c r="A48">
        <v>47</v>
      </c>
      <c r="B48" s="32">
        <f t="shared" si="12"/>
        <v>0</v>
      </c>
      <c r="C48" s="32">
        <f t="shared" si="13"/>
        <v>0</v>
      </c>
      <c r="D48" s="32" t="str">
        <f t="shared" si="0"/>
        <v>No Gs</v>
      </c>
      <c r="E48" s="32">
        <f t="shared" si="3"/>
        <v>0</v>
      </c>
      <c r="F48" s="32" t="str">
        <f t="shared" si="4"/>
        <v>No Gs</v>
      </c>
      <c r="G48" s="32" t="str">
        <f t="shared" si="5"/>
        <v>No Gs</v>
      </c>
      <c r="H48" s="32" t="str">
        <f t="shared" si="14"/>
        <v>Gs is needed</v>
      </c>
      <c r="I48" s="32" t="str">
        <f t="shared" si="15"/>
        <v>Gs is needed</v>
      </c>
      <c r="J48" s="32" t="str">
        <f t="shared" si="16"/>
        <v>Gs is needed</v>
      </c>
      <c r="K48" s="32" t="str">
        <f t="shared" si="11"/>
        <v>Need Max and Min</v>
      </c>
      <c r="L48" s="32" t="str">
        <f t="shared" si="1"/>
        <v>Need Max and Min</v>
      </c>
      <c r="M48" s="32" t="str">
        <f t="shared" si="2"/>
        <v>Fail</v>
      </c>
      <c r="N48" s="32"/>
      <c r="O48" s="31">
        <f>'mnt Data'!A51</f>
        <v>0</v>
      </c>
      <c r="P48" s="31">
        <f>'mnt Data'!B51</f>
        <v>0</v>
      </c>
      <c r="Q48" s="31">
        <f>'mnt Data'!C51</f>
        <v>0</v>
      </c>
      <c r="R48" s="31">
        <f>'mnt Data'!D51</f>
        <v>0</v>
      </c>
      <c r="S48" s="31">
        <f>'mnt Data'!E51</f>
        <v>0</v>
      </c>
      <c r="T48" s="31">
        <f>'mnt Data'!F51</f>
        <v>0</v>
      </c>
      <c r="U48" s="31">
        <f>'mnt Data'!G51</f>
        <v>0</v>
      </c>
      <c r="V48" s="31">
        <f>'mnt Data'!H51</f>
        <v>0</v>
      </c>
      <c r="W48" s="31">
        <f>'mnt Data'!I51</f>
        <v>0</v>
      </c>
      <c r="X48" s="31">
        <f>'mnt Data'!J51</f>
        <v>0</v>
      </c>
      <c r="Y48" s="31">
        <f>'mnt Data'!K51</f>
        <v>0</v>
      </c>
      <c r="Z48" s="31">
        <f>'mnt Data'!L51</f>
        <v>0</v>
      </c>
      <c r="AA48" s="31">
        <f>'mnt Data'!M51</f>
        <v>0</v>
      </c>
      <c r="AB48" s="31">
        <f>'mnt Data'!N51</f>
        <v>0</v>
      </c>
      <c r="AC48" s="31">
        <f>'mnt Data'!O51</f>
        <v>0</v>
      </c>
      <c r="AD48" s="31">
        <f>'mnt Data'!P51</f>
        <v>0</v>
      </c>
      <c r="AE48" s="31">
        <f>'mnt Data'!Q51</f>
        <v>0</v>
      </c>
      <c r="AF48" s="31">
        <f>'mnt Data'!R51</f>
        <v>0</v>
      </c>
      <c r="AG48" s="31">
        <f>'mnt Data'!S51</f>
        <v>0</v>
      </c>
      <c r="AH48" s="31">
        <f>'mnt Data'!T51</f>
        <v>0</v>
      </c>
      <c r="AI48" s="31">
        <f>'mnt Data'!U51</f>
        <v>0</v>
      </c>
      <c r="AJ48" s="31">
        <f>'mnt Data'!V51</f>
        <v>0</v>
      </c>
      <c r="AK48" s="31">
        <f>'mnt Data'!W51</f>
        <v>0</v>
      </c>
      <c r="AL48" s="31">
        <f>'mnt Data'!X51</f>
        <v>0</v>
      </c>
      <c r="AM48" s="31">
        <f>'mnt Data'!Y51</f>
        <v>0</v>
      </c>
      <c r="AN48" s="31">
        <f>'mnt Data'!Z51</f>
        <v>0</v>
      </c>
      <c r="AO48" s="31">
        <f>'mnt Data'!AA51</f>
        <v>0</v>
      </c>
      <c r="AP48" s="31">
        <f>'mnt Data'!AB51</f>
        <v>0</v>
      </c>
      <c r="AQ48" s="31">
        <f>'mnt Data'!AC51</f>
        <v>0</v>
      </c>
      <c r="AR48" s="31">
        <f>'mnt Data'!AD51</f>
        <v>0</v>
      </c>
      <c r="AS48" s="31">
        <f>'mnt Data'!AE51</f>
        <v>0</v>
      </c>
      <c r="AT48" s="31">
        <f>'mnt Data'!AF51</f>
        <v>0</v>
      </c>
      <c r="AU48" s="31">
        <f>'mnt Data'!AG51</f>
        <v>0</v>
      </c>
      <c r="AV48" s="31">
        <f>'mnt Data'!AH51</f>
        <v>0</v>
      </c>
      <c r="AW48" s="31">
        <f>'mnt Data'!AI51</f>
        <v>0</v>
      </c>
      <c r="AX48" s="31">
        <f>'mnt Data'!AJ51</f>
        <v>0</v>
      </c>
      <c r="AY48" s="31">
        <f>'mnt Data'!AK51</f>
        <v>0</v>
      </c>
    </row>
    <row r="49" spans="1:51" x14ac:dyDescent="0.25">
      <c r="A49">
        <v>48</v>
      </c>
      <c r="B49" s="32">
        <f t="shared" si="12"/>
        <v>0</v>
      </c>
      <c r="C49" s="32">
        <f t="shared" si="13"/>
        <v>0</v>
      </c>
      <c r="D49" s="32" t="str">
        <f t="shared" si="0"/>
        <v>No Gs</v>
      </c>
      <c r="E49" s="32">
        <f t="shared" si="3"/>
        <v>0</v>
      </c>
      <c r="F49" s="32" t="str">
        <f t="shared" si="4"/>
        <v>No Gs</v>
      </c>
      <c r="G49" s="32" t="str">
        <f t="shared" si="5"/>
        <v>No Gs</v>
      </c>
      <c r="H49" s="32" t="str">
        <f t="shared" si="14"/>
        <v>Gs is needed</v>
      </c>
      <c r="I49" s="32" t="str">
        <f t="shared" si="15"/>
        <v>Gs is needed</v>
      </c>
      <c r="J49" s="32" t="str">
        <f t="shared" si="16"/>
        <v>Gs is needed</v>
      </c>
      <c r="K49" s="32" t="str">
        <f t="shared" si="11"/>
        <v>Need Max and Min</v>
      </c>
      <c r="L49" s="32" t="str">
        <f t="shared" si="1"/>
        <v>Need Max and Min</v>
      </c>
      <c r="M49" s="32" t="str">
        <f t="shared" si="2"/>
        <v>Fail</v>
      </c>
      <c r="N49" s="32"/>
      <c r="O49" s="31">
        <f>'mnt Data'!A52</f>
        <v>0</v>
      </c>
      <c r="P49" s="31">
        <f>'mnt Data'!B52</f>
        <v>0</v>
      </c>
      <c r="Q49" s="31">
        <f>'mnt Data'!C52</f>
        <v>0</v>
      </c>
      <c r="R49" s="31">
        <f>'mnt Data'!D52</f>
        <v>0</v>
      </c>
      <c r="S49" s="31">
        <f>'mnt Data'!E52</f>
        <v>0</v>
      </c>
      <c r="T49" s="31">
        <f>'mnt Data'!F52</f>
        <v>0</v>
      </c>
      <c r="U49" s="31">
        <f>'mnt Data'!G52</f>
        <v>0</v>
      </c>
      <c r="V49" s="31">
        <f>'mnt Data'!H52</f>
        <v>0</v>
      </c>
      <c r="W49" s="31">
        <f>'mnt Data'!I52</f>
        <v>0</v>
      </c>
      <c r="X49" s="31">
        <f>'mnt Data'!J52</f>
        <v>0</v>
      </c>
      <c r="Y49" s="31">
        <f>'mnt Data'!K52</f>
        <v>0</v>
      </c>
      <c r="Z49" s="31">
        <f>'mnt Data'!L52</f>
        <v>0</v>
      </c>
      <c r="AA49" s="31">
        <f>'mnt Data'!M52</f>
        <v>0</v>
      </c>
      <c r="AB49" s="31">
        <f>'mnt Data'!N52</f>
        <v>0</v>
      </c>
      <c r="AC49" s="31">
        <f>'mnt Data'!O52</f>
        <v>0</v>
      </c>
      <c r="AD49" s="31">
        <f>'mnt Data'!P52</f>
        <v>0</v>
      </c>
      <c r="AE49" s="31">
        <f>'mnt Data'!Q52</f>
        <v>0</v>
      </c>
      <c r="AF49" s="31">
        <f>'mnt Data'!R52</f>
        <v>0</v>
      </c>
      <c r="AG49" s="31">
        <f>'mnt Data'!S52</f>
        <v>0</v>
      </c>
      <c r="AH49" s="31">
        <f>'mnt Data'!T52</f>
        <v>0</v>
      </c>
      <c r="AI49" s="31">
        <f>'mnt Data'!U52</f>
        <v>0</v>
      </c>
      <c r="AJ49" s="31">
        <f>'mnt Data'!V52</f>
        <v>0</v>
      </c>
      <c r="AK49" s="31">
        <f>'mnt Data'!W52</f>
        <v>0</v>
      </c>
      <c r="AL49" s="31">
        <f>'mnt Data'!X52</f>
        <v>0</v>
      </c>
      <c r="AM49" s="31">
        <f>'mnt Data'!Y52</f>
        <v>0</v>
      </c>
      <c r="AN49" s="31">
        <f>'mnt Data'!Z52</f>
        <v>0</v>
      </c>
      <c r="AO49" s="31">
        <f>'mnt Data'!AA52</f>
        <v>0</v>
      </c>
      <c r="AP49" s="31">
        <f>'mnt Data'!AB52</f>
        <v>0</v>
      </c>
      <c r="AQ49" s="31">
        <f>'mnt Data'!AC52</f>
        <v>0</v>
      </c>
      <c r="AR49" s="31">
        <f>'mnt Data'!AD52</f>
        <v>0</v>
      </c>
      <c r="AS49" s="31">
        <f>'mnt Data'!AE52</f>
        <v>0</v>
      </c>
      <c r="AT49" s="31">
        <f>'mnt Data'!AF52</f>
        <v>0</v>
      </c>
      <c r="AU49" s="31">
        <f>'mnt Data'!AG52</f>
        <v>0</v>
      </c>
      <c r="AV49" s="31">
        <f>'mnt Data'!AH52</f>
        <v>0</v>
      </c>
      <c r="AW49" s="31">
        <f>'mnt Data'!AI52</f>
        <v>0</v>
      </c>
      <c r="AX49" s="31">
        <f>'mnt Data'!AJ52</f>
        <v>0</v>
      </c>
      <c r="AY49" s="31">
        <f>'mnt Data'!AK52</f>
        <v>0</v>
      </c>
    </row>
    <row r="50" spans="1:51" x14ac:dyDescent="0.25">
      <c r="A50">
        <v>49</v>
      </c>
      <c r="B50" s="32">
        <f t="shared" si="12"/>
        <v>0</v>
      </c>
      <c r="C50" s="32">
        <f t="shared" si="13"/>
        <v>0</v>
      </c>
      <c r="D50" s="32" t="str">
        <f t="shared" si="0"/>
        <v>No Gs</v>
      </c>
      <c r="E50" s="32">
        <f t="shared" si="3"/>
        <v>0</v>
      </c>
      <c r="F50" s="32" t="str">
        <f t="shared" si="4"/>
        <v>No Gs</v>
      </c>
      <c r="G50" s="32" t="str">
        <f t="shared" si="5"/>
        <v>No Gs</v>
      </c>
      <c r="H50" s="32" t="str">
        <f t="shared" si="14"/>
        <v>Gs is needed</v>
      </c>
      <c r="I50" s="32" t="str">
        <f t="shared" si="15"/>
        <v>Gs is needed</v>
      </c>
      <c r="J50" s="32" t="str">
        <f t="shared" si="16"/>
        <v>Gs is needed</v>
      </c>
      <c r="K50" s="32" t="str">
        <f t="shared" si="11"/>
        <v>Need Max and Min</v>
      </c>
      <c r="L50" s="32" t="str">
        <f t="shared" si="1"/>
        <v>Need Max and Min</v>
      </c>
      <c r="M50" s="32" t="str">
        <f t="shared" si="2"/>
        <v>Fail</v>
      </c>
      <c r="N50" s="32"/>
      <c r="O50" s="31">
        <f>'mnt Data'!A53</f>
        <v>0</v>
      </c>
      <c r="P50" s="31">
        <f>'mnt Data'!B53</f>
        <v>0</v>
      </c>
      <c r="Q50" s="31">
        <f>'mnt Data'!C53</f>
        <v>0</v>
      </c>
      <c r="R50" s="31">
        <f>'mnt Data'!D53</f>
        <v>0</v>
      </c>
      <c r="S50" s="31">
        <f>'mnt Data'!E53</f>
        <v>0</v>
      </c>
      <c r="T50" s="31">
        <f>'mnt Data'!F53</f>
        <v>0</v>
      </c>
      <c r="U50" s="31">
        <f>'mnt Data'!G53</f>
        <v>0</v>
      </c>
      <c r="V50" s="31">
        <f>'mnt Data'!H53</f>
        <v>0</v>
      </c>
      <c r="W50" s="31">
        <f>'mnt Data'!I53</f>
        <v>0</v>
      </c>
      <c r="X50" s="31">
        <f>'mnt Data'!J53</f>
        <v>0</v>
      </c>
      <c r="Y50" s="31">
        <f>'mnt Data'!K53</f>
        <v>0</v>
      </c>
      <c r="Z50" s="31">
        <f>'mnt Data'!L53</f>
        <v>0</v>
      </c>
      <c r="AA50" s="31">
        <f>'mnt Data'!M53</f>
        <v>0</v>
      </c>
      <c r="AB50" s="31">
        <f>'mnt Data'!N53</f>
        <v>0</v>
      </c>
      <c r="AC50" s="31">
        <f>'mnt Data'!O53</f>
        <v>0</v>
      </c>
      <c r="AD50" s="31">
        <f>'mnt Data'!P53</f>
        <v>0</v>
      </c>
      <c r="AE50" s="31">
        <f>'mnt Data'!Q53</f>
        <v>0</v>
      </c>
      <c r="AF50" s="31">
        <f>'mnt Data'!R53</f>
        <v>0</v>
      </c>
      <c r="AG50" s="31">
        <f>'mnt Data'!S53</f>
        <v>0</v>
      </c>
      <c r="AH50" s="31">
        <f>'mnt Data'!T53</f>
        <v>0</v>
      </c>
      <c r="AI50" s="31">
        <f>'mnt Data'!U53</f>
        <v>0</v>
      </c>
      <c r="AJ50" s="31">
        <f>'mnt Data'!V53</f>
        <v>0</v>
      </c>
      <c r="AK50" s="31">
        <f>'mnt Data'!W53</f>
        <v>0</v>
      </c>
      <c r="AL50" s="31">
        <f>'mnt Data'!X53</f>
        <v>0</v>
      </c>
      <c r="AM50" s="31">
        <f>'mnt Data'!Y53</f>
        <v>0</v>
      </c>
      <c r="AN50" s="31">
        <f>'mnt Data'!Z53</f>
        <v>0</v>
      </c>
      <c r="AO50" s="31">
        <f>'mnt Data'!AA53</f>
        <v>0</v>
      </c>
      <c r="AP50" s="31">
        <f>'mnt Data'!AB53</f>
        <v>0</v>
      </c>
      <c r="AQ50" s="31">
        <f>'mnt Data'!AC53</f>
        <v>0</v>
      </c>
      <c r="AR50" s="31">
        <f>'mnt Data'!AD53</f>
        <v>0</v>
      </c>
      <c r="AS50" s="31">
        <f>'mnt Data'!AE53</f>
        <v>0</v>
      </c>
      <c r="AT50" s="31">
        <f>'mnt Data'!AF53</f>
        <v>0</v>
      </c>
      <c r="AU50" s="31">
        <f>'mnt Data'!AG53</f>
        <v>0</v>
      </c>
      <c r="AV50" s="31">
        <f>'mnt Data'!AH53</f>
        <v>0</v>
      </c>
      <c r="AW50" s="31">
        <f>'mnt Data'!AI53</f>
        <v>0</v>
      </c>
      <c r="AX50" s="31">
        <f>'mnt Data'!AJ53</f>
        <v>0</v>
      </c>
      <c r="AY50" s="31">
        <f>'mnt Data'!AK53</f>
        <v>0</v>
      </c>
    </row>
    <row r="51" spans="1:51" x14ac:dyDescent="0.25">
      <c r="A51">
        <v>50</v>
      </c>
      <c r="B51" s="32">
        <f t="shared" si="12"/>
        <v>0</v>
      </c>
      <c r="C51" s="32">
        <f t="shared" si="13"/>
        <v>0</v>
      </c>
      <c r="D51" s="32" t="str">
        <f t="shared" si="0"/>
        <v>No Gs</v>
      </c>
      <c r="E51" s="32">
        <f t="shared" si="3"/>
        <v>0</v>
      </c>
      <c r="F51" s="32" t="str">
        <f t="shared" si="4"/>
        <v>No Gs</v>
      </c>
      <c r="G51" s="32" t="str">
        <f t="shared" si="5"/>
        <v>No Gs</v>
      </c>
      <c r="H51" s="32" t="str">
        <f t="shared" si="14"/>
        <v>Gs is needed</v>
      </c>
      <c r="I51" s="32" t="str">
        <f t="shared" si="15"/>
        <v>Gs is needed</v>
      </c>
      <c r="J51" s="32" t="str">
        <f t="shared" si="16"/>
        <v>Gs is needed</v>
      </c>
      <c r="K51" s="32" t="str">
        <f t="shared" si="11"/>
        <v>Need Max and Min</v>
      </c>
      <c r="L51" s="32" t="str">
        <f t="shared" si="1"/>
        <v>Need Max and Min</v>
      </c>
      <c r="M51" s="32" t="str">
        <f t="shared" si="2"/>
        <v>Fail</v>
      </c>
      <c r="N51" s="32"/>
      <c r="O51" s="31">
        <f>'mnt Data'!A54</f>
        <v>0</v>
      </c>
      <c r="P51" s="31">
        <f>'mnt Data'!B54</f>
        <v>0</v>
      </c>
      <c r="Q51" s="31">
        <f>'mnt Data'!C54</f>
        <v>0</v>
      </c>
      <c r="R51" s="31">
        <f>'mnt Data'!D54</f>
        <v>0</v>
      </c>
      <c r="S51" s="31">
        <f>'mnt Data'!E54</f>
        <v>0</v>
      </c>
      <c r="T51" s="31">
        <f>'mnt Data'!F54</f>
        <v>0</v>
      </c>
      <c r="U51" s="31">
        <f>'mnt Data'!G54</f>
        <v>0</v>
      </c>
      <c r="V51" s="31">
        <f>'mnt Data'!H54</f>
        <v>0</v>
      </c>
      <c r="W51" s="31">
        <f>'mnt Data'!I54</f>
        <v>0</v>
      </c>
      <c r="X51" s="31">
        <f>'mnt Data'!J54</f>
        <v>0</v>
      </c>
      <c r="Y51" s="31">
        <f>'mnt Data'!K54</f>
        <v>0</v>
      </c>
      <c r="Z51" s="31">
        <f>'mnt Data'!L54</f>
        <v>0</v>
      </c>
      <c r="AA51" s="31">
        <f>'mnt Data'!M54</f>
        <v>0</v>
      </c>
      <c r="AB51" s="31">
        <f>'mnt Data'!N54</f>
        <v>0</v>
      </c>
      <c r="AC51" s="31">
        <f>'mnt Data'!O54</f>
        <v>0</v>
      </c>
      <c r="AD51" s="31">
        <f>'mnt Data'!P54</f>
        <v>0</v>
      </c>
      <c r="AE51" s="31">
        <f>'mnt Data'!Q54</f>
        <v>0</v>
      </c>
      <c r="AF51" s="31">
        <f>'mnt Data'!R54</f>
        <v>0</v>
      </c>
      <c r="AG51" s="31">
        <f>'mnt Data'!S54</f>
        <v>0</v>
      </c>
      <c r="AH51" s="31">
        <f>'mnt Data'!T54</f>
        <v>0</v>
      </c>
      <c r="AI51" s="31">
        <f>'mnt Data'!U54</f>
        <v>0</v>
      </c>
      <c r="AJ51" s="31">
        <f>'mnt Data'!V54</f>
        <v>0</v>
      </c>
      <c r="AK51" s="31">
        <f>'mnt Data'!W54</f>
        <v>0</v>
      </c>
      <c r="AL51" s="31">
        <f>'mnt Data'!X54</f>
        <v>0</v>
      </c>
      <c r="AM51" s="31">
        <f>'mnt Data'!Y54</f>
        <v>0</v>
      </c>
      <c r="AN51" s="31">
        <f>'mnt Data'!Z54</f>
        <v>0</v>
      </c>
      <c r="AO51" s="31">
        <f>'mnt Data'!AA54</f>
        <v>0</v>
      </c>
      <c r="AP51" s="31">
        <f>'mnt Data'!AB54</f>
        <v>0</v>
      </c>
      <c r="AQ51" s="31">
        <f>'mnt Data'!AC54</f>
        <v>0</v>
      </c>
      <c r="AR51" s="31">
        <f>'mnt Data'!AD54</f>
        <v>0</v>
      </c>
      <c r="AS51" s="31">
        <f>'mnt Data'!AE54</f>
        <v>0</v>
      </c>
      <c r="AT51" s="31">
        <f>'mnt Data'!AF54</f>
        <v>0</v>
      </c>
      <c r="AU51" s="31">
        <f>'mnt Data'!AG54</f>
        <v>0</v>
      </c>
      <c r="AV51" s="31">
        <f>'mnt Data'!AH54</f>
        <v>0</v>
      </c>
      <c r="AW51" s="31">
        <f>'mnt Data'!AI54</f>
        <v>0</v>
      </c>
      <c r="AX51" s="31">
        <f>'mnt Data'!AJ54</f>
        <v>0</v>
      </c>
      <c r="AY51" s="31">
        <f>'mnt Data'!AK54</f>
        <v>0</v>
      </c>
    </row>
    <row r="52" spans="1:51" x14ac:dyDescent="0.25">
      <c r="A52">
        <v>51</v>
      </c>
      <c r="B52" s="32">
        <f t="shared" si="12"/>
        <v>0</v>
      </c>
      <c r="C52" s="32">
        <f t="shared" si="13"/>
        <v>0</v>
      </c>
      <c r="D52" s="32" t="str">
        <f t="shared" si="0"/>
        <v>No Gs</v>
      </c>
      <c r="E52" s="32">
        <f t="shared" si="3"/>
        <v>0</v>
      </c>
      <c r="F52" s="32" t="str">
        <f t="shared" si="4"/>
        <v>No Gs</v>
      </c>
      <c r="G52" s="32" t="str">
        <f t="shared" si="5"/>
        <v>No Gs</v>
      </c>
      <c r="H52" s="32" t="str">
        <f t="shared" si="14"/>
        <v>Gs is needed</v>
      </c>
      <c r="I52" s="32" t="str">
        <f t="shared" si="15"/>
        <v>Gs is needed</v>
      </c>
      <c r="J52" s="32" t="str">
        <f t="shared" si="16"/>
        <v>Gs is needed</v>
      </c>
      <c r="K52" s="32" t="str">
        <f t="shared" si="11"/>
        <v>Need Max and Min</v>
      </c>
      <c r="L52" s="32" t="str">
        <f t="shared" si="1"/>
        <v>Need Max and Min</v>
      </c>
      <c r="M52" s="32" t="str">
        <f t="shared" si="2"/>
        <v>Fail</v>
      </c>
      <c r="N52" s="32"/>
      <c r="O52" s="31">
        <f>'mnt Data'!A55</f>
        <v>0</v>
      </c>
      <c r="P52" s="31">
        <f>'mnt Data'!B55</f>
        <v>0</v>
      </c>
      <c r="Q52" s="31">
        <f>'mnt Data'!C55</f>
        <v>0</v>
      </c>
      <c r="R52" s="31">
        <f>'mnt Data'!D55</f>
        <v>0</v>
      </c>
      <c r="S52" s="31">
        <f>'mnt Data'!E55</f>
        <v>0</v>
      </c>
      <c r="T52" s="31">
        <f>'mnt Data'!F55</f>
        <v>0</v>
      </c>
      <c r="U52" s="31">
        <f>'mnt Data'!G55</f>
        <v>0</v>
      </c>
      <c r="V52" s="31">
        <f>'mnt Data'!H55</f>
        <v>0</v>
      </c>
      <c r="W52" s="31">
        <f>'mnt Data'!I55</f>
        <v>0</v>
      </c>
      <c r="X52" s="31">
        <f>'mnt Data'!J55</f>
        <v>0</v>
      </c>
      <c r="Y52" s="31">
        <f>'mnt Data'!K55</f>
        <v>0</v>
      </c>
      <c r="Z52" s="31">
        <f>'mnt Data'!L55</f>
        <v>0</v>
      </c>
      <c r="AA52" s="31">
        <f>'mnt Data'!M55</f>
        <v>0</v>
      </c>
      <c r="AB52" s="31">
        <f>'mnt Data'!N55</f>
        <v>0</v>
      </c>
      <c r="AC52" s="31">
        <f>'mnt Data'!O55</f>
        <v>0</v>
      </c>
      <c r="AD52" s="31">
        <f>'mnt Data'!P55</f>
        <v>0</v>
      </c>
      <c r="AE52" s="31">
        <f>'mnt Data'!Q55</f>
        <v>0</v>
      </c>
      <c r="AF52" s="31">
        <f>'mnt Data'!R55</f>
        <v>0</v>
      </c>
      <c r="AG52" s="31">
        <f>'mnt Data'!S55</f>
        <v>0</v>
      </c>
      <c r="AH52" s="31">
        <f>'mnt Data'!T55</f>
        <v>0</v>
      </c>
      <c r="AI52" s="31">
        <f>'mnt Data'!U55</f>
        <v>0</v>
      </c>
      <c r="AJ52" s="31">
        <f>'mnt Data'!V55</f>
        <v>0</v>
      </c>
      <c r="AK52" s="31">
        <f>'mnt Data'!W55</f>
        <v>0</v>
      </c>
      <c r="AL52" s="31">
        <f>'mnt Data'!X55</f>
        <v>0</v>
      </c>
      <c r="AM52" s="31">
        <f>'mnt Data'!Y55</f>
        <v>0</v>
      </c>
      <c r="AN52" s="31">
        <f>'mnt Data'!Z55</f>
        <v>0</v>
      </c>
      <c r="AO52" s="31">
        <f>'mnt Data'!AA55</f>
        <v>0</v>
      </c>
      <c r="AP52" s="31">
        <f>'mnt Data'!AB55</f>
        <v>0</v>
      </c>
      <c r="AQ52" s="31">
        <f>'mnt Data'!AC55</f>
        <v>0</v>
      </c>
      <c r="AR52" s="31">
        <f>'mnt Data'!AD55</f>
        <v>0</v>
      </c>
      <c r="AS52" s="31">
        <f>'mnt Data'!AE55</f>
        <v>0</v>
      </c>
      <c r="AT52" s="31">
        <f>'mnt Data'!AF55</f>
        <v>0</v>
      </c>
      <c r="AU52" s="31">
        <f>'mnt Data'!AG55</f>
        <v>0</v>
      </c>
      <c r="AV52" s="31">
        <f>'mnt Data'!AH55</f>
        <v>0</v>
      </c>
      <c r="AW52" s="31">
        <f>'mnt Data'!AI55</f>
        <v>0</v>
      </c>
      <c r="AX52" s="31">
        <f>'mnt Data'!AJ55</f>
        <v>0</v>
      </c>
      <c r="AY52" s="31">
        <f>'mnt Data'!AK55</f>
        <v>0</v>
      </c>
    </row>
    <row r="53" spans="1:51" x14ac:dyDescent="0.25">
      <c r="A53">
        <v>52</v>
      </c>
      <c r="B53" s="32">
        <f t="shared" si="12"/>
        <v>0</v>
      </c>
      <c r="C53" s="32">
        <f t="shared" si="13"/>
        <v>0</v>
      </c>
      <c r="D53" s="32" t="str">
        <f t="shared" si="0"/>
        <v>No Gs</v>
      </c>
      <c r="E53" s="32">
        <f t="shared" si="3"/>
        <v>0</v>
      </c>
      <c r="F53" s="32" t="str">
        <f t="shared" si="4"/>
        <v>No Gs</v>
      </c>
      <c r="G53" s="32" t="str">
        <f t="shared" si="5"/>
        <v>No Gs</v>
      </c>
      <c r="H53" s="32" t="str">
        <f t="shared" si="14"/>
        <v>Gs is needed</v>
      </c>
      <c r="I53" s="32" t="str">
        <f t="shared" si="15"/>
        <v>Gs is needed</v>
      </c>
      <c r="J53" s="32" t="str">
        <f t="shared" si="16"/>
        <v>Gs is needed</v>
      </c>
      <c r="K53" s="32" t="str">
        <f t="shared" si="11"/>
        <v>Need Max and Min</v>
      </c>
      <c r="L53" s="32" t="str">
        <f t="shared" si="1"/>
        <v>Need Max and Min</v>
      </c>
      <c r="M53" s="32" t="str">
        <f t="shared" si="2"/>
        <v>Fail</v>
      </c>
      <c r="N53" s="32"/>
      <c r="O53" s="31">
        <f>'mnt Data'!A56</f>
        <v>0</v>
      </c>
      <c r="P53" s="31">
        <f>'mnt Data'!B56</f>
        <v>0</v>
      </c>
      <c r="Q53" s="31">
        <f>'mnt Data'!C56</f>
        <v>0</v>
      </c>
      <c r="R53" s="31">
        <f>'mnt Data'!D56</f>
        <v>0</v>
      </c>
      <c r="S53" s="31">
        <f>'mnt Data'!E56</f>
        <v>0</v>
      </c>
      <c r="T53" s="31">
        <f>'mnt Data'!F56</f>
        <v>0</v>
      </c>
      <c r="U53" s="31">
        <f>'mnt Data'!G56</f>
        <v>0</v>
      </c>
      <c r="V53" s="31">
        <f>'mnt Data'!H56</f>
        <v>0</v>
      </c>
      <c r="W53" s="31">
        <f>'mnt Data'!I56</f>
        <v>0</v>
      </c>
      <c r="X53" s="31">
        <f>'mnt Data'!J56</f>
        <v>0</v>
      </c>
      <c r="Y53" s="31">
        <f>'mnt Data'!K56</f>
        <v>0</v>
      </c>
      <c r="Z53" s="31">
        <f>'mnt Data'!L56</f>
        <v>0</v>
      </c>
      <c r="AA53" s="31">
        <f>'mnt Data'!M56</f>
        <v>0</v>
      </c>
      <c r="AB53" s="31">
        <f>'mnt Data'!N56</f>
        <v>0</v>
      </c>
      <c r="AC53" s="31">
        <f>'mnt Data'!O56</f>
        <v>0</v>
      </c>
      <c r="AD53" s="31">
        <f>'mnt Data'!P56</f>
        <v>0</v>
      </c>
      <c r="AE53" s="31">
        <f>'mnt Data'!Q56</f>
        <v>0</v>
      </c>
      <c r="AF53" s="31">
        <f>'mnt Data'!R56</f>
        <v>0</v>
      </c>
      <c r="AG53" s="31">
        <f>'mnt Data'!S56</f>
        <v>0</v>
      </c>
      <c r="AH53" s="31">
        <f>'mnt Data'!T56</f>
        <v>0</v>
      </c>
      <c r="AI53" s="31">
        <f>'mnt Data'!U56</f>
        <v>0</v>
      </c>
      <c r="AJ53" s="31">
        <f>'mnt Data'!V56</f>
        <v>0</v>
      </c>
      <c r="AK53" s="31">
        <f>'mnt Data'!W56</f>
        <v>0</v>
      </c>
      <c r="AL53" s="31">
        <f>'mnt Data'!X56</f>
        <v>0</v>
      </c>
      <c r="AM53" s="31">
        <f>'mnt Data'!Y56</f>
        <v>0</v>
      </c>
      <c r="AN53" s="31">
        <f>'mnt Data'!Z56</f>
        <v>0</v>
      </c>
      <c r="AO53" s="31">
        <f>'mnt Data'!AA56</f>
        <v>0</v>
      </c>
      <c r="AP53" s="31">
        <f>'mnt Data'!AB56</f>
        <v>0</v>
      </c>
      <c r="AQ53" s="31">
        <f>'mnt Data'!AC56</f>
        <v>0</v>
      </c>
      <c r="AR53" s="31">
        <f>'mnt Data'!AD56</f>
        <v>0</v>
      </c>
      <c r="AS53" s="31">
        <f>'mnt Data'!AE56</f>
        <v>0</v>
      </c>
      <c r="AT53" s="31">
        <f>'mnt Data'!AF56</f>
        <v>0</v>
      </c>
      <c r="AU53" s="31">
        <f>'mnt Data'!AG56</f>
        <v>0</v>
      </c>
      <c r="AV53" s="31">
        <f>'mnt Data'!AH56</f>
        <v>0</v>
      </c>
      <c r="AW53" s="31">
        <f>'mnt Data'!AI56</f>
        <v>0</v>
      </c>
      <c r="AX53" s="31">
        <f>'mnt Data'!AJ56</f>
        <v>0</v>
      </c>
      <c r="AY53" s="31">
        <f>'mnt Data'!AK56</f>
        <v>0</v>
      </c>
    </row>
    <row r="54" spans="1:51" x14ac:dyDescent="0.25">
      <c r="A54">
        <v>53</v>
      </c>
      <c r="B54" s="32">
        <f t="shared" si="12"/>
        <v>0</v>
      </c>
      <c r="C54" s="32">
        <f t="shared" si="13"/>
        <v>0</v>
      </c>
      <c r="D54" s="32" t="str">
        <f t="shared" si="0"/>
        <v>No Gs</v>
      </c>
      <c r="E54" s="32">
        <f t="shared" si="3"/>
        <v>0</v>
      </c>
      <c r="F54" s="32" t="str">
        <f t="shared" si="4"/>
        <v>No Gs</v>
      </c>
      <c r="G54" s="32" t="str">
        <f t="shared" si="5"/>
        <v>No Gs</v>
      </c>
      <c r="H54" s="32" t="str">
        <f t="shared" si="14"/>
        <v>Gs is needed</v>
      </c>
      <c r="I54" s="32" t="str">
        <f t="shared" si="15"/>
        <v>Gs is needed</v>
      </c>
      <c r="J54" s="32" t="str">
        <f t="shared" si="16"/>
        <v>Gs is needed</v>
      </c>
      <c r="K54" s="32" t="str">
        <f t="shared" si="11"/>
        <v>Need Max and Min</v>
      </c>
      <c r="L54" s="32" t="str">
        <f t="shared" si="1"/>
        <v>Need Max and Min</v>
      </c>
      <c r="M54" s="32" t="str">
        <f t="shared" si="2"/>
        <v>Fail</v>
      </c>
      <c r="N54" s="32"/>
      <c r="O54" s="31">
        <f>'mnt Data'!A57</f>
        <v>0</v>
      </c>
      <c r="P54" s="31">
        <f>'mnt Data'!B57</f>
        <v>0</v>
      </c>
      <c r="Q54" s="31">
        <f>'mnt Data'!C57</f>
        <v>0</v>
      </c>
      <c r="R54" s="31">
        <f>'mnt Data'!D57</f>
        <v>0</v>
      </c>
      <c r="S54" s="31">
        <f>'mnt Data'!E57</f>
        <v>0</v>
      </c>
      <c r="T54" s="31">
        <f>'mnt Data'!F57</f>
        <v>0</v>
      </c>
      <c r="U54" s="31">
        <f>'mnt Data'!G57</f>
        <v>0</v>
      </c>
      <c r="V54" s="31">
        <f>'mnt Data'!H57</f>
        <v>0</v>
      </c>
      <c r="W54" s="31">
        <f>'mnt Data'!I57</f>
        <v>0</v>
      </c>
      <c r="X54" s="31">
        <f>'mnt Data'!J57</f>
        <v>0</v>
      </c>
      <c r="Y54" s="31">
        <f>'mnt Data'!K57</f>
        <v>0</v>
      </c>
      <c r="Z54" s="31">
        <f>'mnt Data'!L57</f>
        <v>0</v>
      </c>
      <c r="AA54" s="31">
        <f>'mnt Data'!M57</f>
        <v>0</v>
      </c>
      <c r="AB54" s="31">
        <f>'mnt Data'!N57</f>
        <v>0</v>
      </c>
      <c r="AC54" s="31">
        <f>'mnt Data'!O57</f>
        <v>0</v>
      </c>
      <c r="AD54" s="31">
        <f>'mnt Data'!P57</f>
        <v>0</v>
      </c>
      <c r="AE54" s="31">
        <f>'mnt Data'!Q57</f>
        <v>0</v>
      </c>
      <c r="AF54" s="31">
        <f>'mnt Data'!R57</f>
        <v>0</v>
      </c>
      <c r="AG54" s="31">
        <f>'mnt Data'!S57</f>
        <v>0</v>
      </c>
      <c r="AH54" s="31">
        <f>'mnt Data'!T57</f>
        <v>0</v>
      </c>
      <c r="AI54" s="31">
        <f>'mnt Data'!U57</f>
        <v>0</v>
      </c>
      <c r="AJ54" s="31">
        <f>'mnt Data'!V57</f>
        <v>0</v>
      </c>
      <c r="AK54" s="31">
        <f>'mnt Data'!W57</f>
        <v>0</v>
      </c>
      <c r="AL54" s="31">
        <f>'mnt Data'!X57</f>
        <v>0</v>
      </c>
      <c r="AM54" s="31">
        <f>'mnt Data'!Y57</f>
        <v>0</v>
      </c>
      <c r="AN54" s="31">
        <f>'mnt Data'!Z57</f>
        <v>0</v>
      </c>
      <c r="AO54" s="31">
        <f>'mnt Data'!AA57</f>
        <v>0</v>
      </c>
      <c r="AP54" s="31">
        <f>'mnt Data'!AB57</f>
        <v>0</v>
      </c>
      <c r="AQ54" s="31">
        <f>'mnt Data'!AC57</f>
        <v>0</v>
      </c>
      <c r="AR54" s="31">
        <f>'mnt Data'!AD57</f>
        <v>0</v>
      </c>
      <c r="AS54" s="31">
        <f>'mnt Data'!AE57</f>
        <v>0</v>
      </c>
      <c r="AT54" s="31">
        <f>'mnt Data'!AF57</f>
        <v>0</v>
      </c>
      <c r="AU54" s="31">
        <f>'mnt Data'!AG57</f>
        <v>0</v>
      </c>
      <c r="AV54" s="31">
        <f>'mnt Data'!AH57</f>
        <v>0</v>
      </c>
      <c r="AW54" s="31">
        <f>'mnt Data'!AI57</f>
        <v>0</v>
      </c>
      <c r="AX54" s="31">
        <f>'mnt Data'!AJ57</f>
        <v>0</v>
      </c>
      <c r="AY54" s="31">
        <f>'mnt Data'!AK57</f>
        <v>0</v>
      </c>
    </row>
    <row r="55" spans="1:51" x14ac:dyDescent="0.25">
      <c r="A55">
        <v>54</v>
      </c>
      <c r="B55" s="32">
        <f t="shared" si="12"/>
        <v>0</v>
      </c>
      <c r="C55" s="32">
        <f t="shared" si="13"/>
        <v>0</v>
      </c>
      <c r="D55" s="32" t="str">
        <f t="shared" si="0"/>
        <v>No Gs</v>
      </c>
      <c r="E55" s="32">
        <f t="shared" si="3"/>
        <v>0</v>
      </c>
      <c r="F55" s="32" t="str">
        <f t="shared" si="4"/>
        <v>No Gs</v>
      </c>
      <c r="G55" s="32" t="str">
        <f t="shared" si="5"/>
        <v>No Gs</v>
      </c>
      <c r="H55" s="32" t="str">
        <f t="shared" si="14"/>
        <v>Gs is needed</v>
      </c>
      <c r="I55" s="32" t="str">
        <f t="shared" si="15"/>
        <v>Gs is needed</v>
      </c>
      <c r="J55" s="32" t="str">
        <f t="shared" si="16"/>
        <v>Gs is needed</v>
      </c>
      <c r="K55" s="32" t="str">
        <f t="shared" si="11"/>
        <v>Need Max and Min</v>
      </c>
      <c r="L55" s="32" t="str">
        <f t="shared" si="1"/>
        <v>Need Max and Min</v>
      </c>
      <c r="M55" s="32" t="str">
        <f t="shared" si="2"/>
        <v>Fail</v>
      </c>
      <c r="N55" s="32"/>
      <c r="O55" s="31">
        <f>'mnt Data'!A58</f>
        <v>0</v>
      </c>
      <c r="P55" s="31">
        <f>'mnt Data'!B58</f>
        <v>0</v>
      </c>
      <c r="Q55" s="31">
        <f>'mnt Data'!C58</f>
        <v>0</v>
      </c>
      <c r="R55" s="31">
        <f>'mnt Data'!D58</f>
        <v>0</v>
      </c>
      <c r="S55" s="31">
        <f>'mnt Data'!E58</f>
        <v>0</v>
      </c>
      <c r="T55" s="31">
        <f>'mnt Data'!F58</f>
        <v>0</v>
      </c>
      <c r="U55" s="31">
        <f>'mnt Data'!G58</f>
        <v>0</v>
      </c>
      <c r="V55" s="31">
        <f>'mnt Data'!H58</f>
        <v>0</v>
      </c>
      <c r="W55" s="31">
        <f>'mnt Data'!I58</f>
        <v>0</v>
      </c>
      <c r="X55" s="31">
        <f>'mnt Data'!J58</f>
        <v>0</v>
      </c>
      <c r="Y55" s="31">
        <f>'mnt Data'!K58</f>
        <v>0</v>
      </c>
      <c r="Z55" s="31">
        <f>'mnt Data'!L58</f>
        <v>0</v>
      </c>
      <c r="AA55" s="31">
        <f>'mnt Data'!M58</f>
        <v>0</v>
      </c>
      <c r="AB55" s="31">
        <f>'mnt Data'!N58</f>
        <v>0</v>
      </c>
      <c r="AC55" s="31">
        <f>'mnt Data'!O58</f>
        <v>0</v>
      </c>
      <c r="AD55" s="31">
        <f>'mnt Data'!P58</f>
        <v>0</v>
      </c>
      <c r="AE55" s="31">
        <f>'mnt Data'!Q58</f>
        <v>0</v>
      </c>
      <c r="AF55" s="31">
        <f>'mnt Data'!R58</f>
        <v>0</v>
      </c>
      <c r="AG55" s="31">
        <f>'mnt Data'!S58</f>
        <v>0</v>
      </c>
      <c r="AH55" s="31">
        <f>'mnt Data'!T58</f>
        <v>0</v>
      </c>
      <c r="AI55" s="31">
        <f>'mnt Data'!U58</f>
        <v>0</v>
      </c>
      <c r="AJ55" s="31">
        <f>'mnt Data'!V58</f>
        <v>0</v>
      </c>
      <c r="AK55" s="31">
        <f>'mnt Data'!W58</f>
        <v>0</v>
      </c>
      <c r="AL55" s="31">
        <f>'mnt Data'!X58</f>
        <v>0</v>
      </c>
      <c r="AM55" s="31">
        <f>'mnt Data'!Y58</f>
        <v>0</v>
      </c>
      <c r="AN55" s="31">
        <f>'mnt Data'!Z58</f>
        <v>0</v>
      </c>
      <c r="AO55" s="31">
        <f>'mnt Data'!AA58</f>
        <v>0</v>
      </c>
      <c r="AP55" s="31">
        <f>'mnt Data'!AB58</f>
        <v>0</v>
      </c>
      <c r="AQ55" s="31">
        <f>'mnt Data'!AC58</f>
        <v>0</v>
      </c>
      <c r="AR55" s="31">
        <f>'mnt Data'!AD58</f>
        <v>0</v>
      </c>
      <c r="AS55" s="31">
        <f>'mnt Data'!AE58</f>
        <v>0</v>
      </c>
      <c r="AT55" s="31">
        <f>'mnt Data'!AF58</f>
        <v>0</v>
      </c>
      <c r="AU55" s="31">
        <f>'mnt Data'!AG58</f>
        <v>0</v>
      </c>
      <c r="AV55" s="31">
        <f>'mnt Data'!AH58</f>
        <v>0</v>
      </c>
      <c r="AW55" s="31">
        <f>'mnt Data'!AI58</f>
        <v>0</v>
      </c>
      <c r="AX55" s="31">
        <f>'mnt Data'!AJ58</f>
        <v>0</v>
      </c>
      <c r="AY55" s="31">
        <f>'mnt Data'!AK58</f>
        <v>0</v>
      </c>
    </row>
    <row r="56" spans="1:51" x14ac:dyDescent="0.25">
      <c r="A56">
        <v>55</v>
      </c>
      <c r="B56" s="32">
        <f t="shared" si="12"/>
        <v>0</v>
      </c>
      <c r="C56" s="32">
        <f t="shared" si="13"/>
        <v>0</v>
      </c>
      <c r="D56" s="32" t="str">
        <f t="shared" si="0"/>
        <v>No Gs</v>
      </c>
      <c r="E56" s="32">
        <f t="shared" si="3"/>
        <v>0</v>
      </c>
      <c r="F56" s="32" t="str">
        <f t="shared" si="4"/>
        <v>No Gs</v>
      </c>
      <c r="G56" s="32" t="str">
        <f t="shared" si="5"/>
        <v>No Gs</v>
      </c>
      <c r="H56" s="32" t="str">
        <f t="shared" si="14"/>
        <v>Gs is needed</v>
      </c>
      <c r="I56" s="32" t="str">
        <f t="shared" si="15"/>
        <v>Gs is needed</v>
      </c>
      <c r="J56" s="32" t="str">
        <f t="shared" si="16"/>
        <v>Gs is needed</v>
      </c>
      <c r="K56" s="32" t="str">
        <f t="shared" si="11"/>
        <v>Need Max and Min</v>
      </c>
      <c r="L56" s="32" t="str">
        <f t="shared" si="1"/>
        <v>Need Max and Min</v>
      </c>
      <c r="M56" s="32" t="str">
        <f t="shared" si="2"/>
        <v>Fail</v>
      </c>
      <c r="N56" s="32"/>
      <c r="O56" s="31">
        <f>'mnt Data'!A59</f>
        <v>0</v>
      </c>
      <c r="P56" s="31">
        <f>'mnt Data'!B59</f>
        <v>0</v>
      </c>
      <c r="Q56" s="31">
        <f>'mnt Data'!C59</f>
        <v>0</v>
      </c>
      <c r="R56" s="31">
        <f>'mnt Data'!D59</f>
        <v>0</v>
      </c>
      <c r="S56" s="31">
        <f>'mnt Data'!E59</f>
        <v>0</v>
      </c>
      <c r="T56" s="31">
        <f>'mnt Data'!F59</f>
        <v>0</v>
      </c>
      <c r="U56" s="31">
        <f>'mnt Data'!G59</f>
        <v>0</v>
      </c>
      <c r="V56" s="31">
        <f>'mnt Data'!H59</f>
        <v>0</v>
      </c>
      <c r="W56" s="31">
        <f>'mnt Data'!I59</f>
        <v>0</v>
      </c>
      <c r="X56" s="31">
        <f>'mnt Data'!J59</f>
        <v>0</v>
      </c>
      <c r="Y56" s="31">
        <f>'mnt Data'!K59</f>
        <v>0</v>
      </c>
      <c r="Z56" s="31">
        <f>'mnt Data'!L59</f>
        <v>0</v>
      </c>
      <c r="AA56" s="31">
        <f>'mnt Data'!M59</f>
        <v>0</v>
      </c>
      <c r="AB56" s="31">
        <f>'mnt Data'!N59</f>
        <v>0</v>
      </c>
      <c r="AC56" s="31">
        <f>'mnt Data'!O59</f>
        <v>0</v>
      </c>
      <c r="AD56" s="31">
        <f>'mnt Data'!P59</f>
        <v>0</v>
      </c>
      <c r="AE56" s="31">
        <f>'mnt Data'!Q59</f>
        <v>0</v>
      </c>
      <c r="AF56" s="31">
        <f>'mnt Data'!R59</f>
        <v>0</v>
      </c>
      <c r="AG56" s="31">
        <f>'mnt Data'!S59</f>
        <v>0</v>
      </c>
      <c r="AH56" s="31">
        <f>'mnt Data'!T59</f>
        <v>0</v>
      </c>
      <c r="AI56" s="31">
        <f>'mnt Data'!U59</f>
        <v>0</v>
      </c>
      <c r="AJ56" s="31">
        <f>'mnt Data'!V59</f>
        <v>0</v>
      </c>
      <c r="AK56" s="31">
        <f>'mnt Data'!W59</f>
        <v>0</v>
      </c>
      <c r="AL56" s="31">
        <f>'mnt Data'!X59</f>
        <v>0</v>
      </c>
      <c r="AM56" s="31">
        <f>'mnt Data'!Y59</f>
        <v>0</v>
      </c>
      <c r="AN56" s="31">
        <f>'mnt Data'!Z59</f>
        <v>0</v>
      </c>
      <c r="AO56" s="31">
        <f>'mnt Data'!AA59</f>
        <v>0</v>
      </c>
      <c r="AP56" s="31">
        <f>'mnt Data'!AB59</f>
        <v>0</v>
      </c>
      <c r="AQ56" s="31">
        <f>'mnt Data'!AC59</f>
        <v>0</v>
      </c>
      <c r="AR56" s="31">
        <f>'mnt Data'!AD59</f>
        <v>0</v>
      </c>
      <c r="AS56" s="31">
        <f>'mnt Data'!AE59</f>
        <v>0</v>
      </c>
      <c r="AT56" s="31">
        <f>'mnt Data'!AF59</f>
        <v>0</v>
      </c>
      <c r="AU56" s="31">
        <f>'mnt Data'!AG59</f>
        <v>0</v>
      </c>
      <c r="AV56" s="31">
        <f>'mnt Data'!AH59</f>
        <v>0</v>
      </c>
      <c r="AW56" s="31">
        <f>'mnt Data'!AI59</f>
        <v>0</v>
      </c>
      <c r="AX56" s="31">
        <f>'mnt Data'!AJ59</f>
        <v>0</v>
      </c>
      <c r="AY56" s="31">
        <f>'mnt Data'!AK59</f>
        <v>0</v>
      </c>
    </row>
    <row r="57" spans="1:51" x14ac:dyDescent="0.25">
      <c r="A57">
        <v>56</v>
      </c>
      <c r="B57" s="32">
        <f t="shared" si="12"/>
        <v>0</v>
      </c>
      <c r="C57" s="32">
        <f t="shared" si="13"/>
        <v>0</v>
      </c>
      <c r="D57" s="32" t="str">
        <f t="shared" si="0"/>
        <v>No Gs</v>
      </c>
      <c r="E57" s="32">
        <f t="shared" si="3"/>
        <v>0</v>
      </c>
      <c r="F57" s="32" t="str">
        <f t="shared" si="4"/>
        <v>No Gs</v>
      </c>
      <c r="G57" s="32" t="str">
        <f t="shared" si="5"/>
        <v>No Gs</v>
      </c>
      <c r="H57" s="32" t="str">
        <f t="shared" si="14"/>
        <v>Gs is needed</v>
      </c>
      <c r="I57" s="32" t="str">
        <f t="shared" si="15"/>
        <v>Gs is needed</v>
      </c>
      <c r="J57" s="32" t="str">
        <f t="shared" si="16"/>
        <v>Gs is needed</v>
      </c>
      <c r="K57" s="32" t="str">
        <f t="shared" si="11"/>
        <v>Need Max and Min</v>
      </c>
      <c r="L57" s="32" t="str">
        <f t="shared" si="1"/>
        <v>Need Max and Min</v>
      </c>
      <c r="M57" s="32" t="str">
        <f t="shared" si="2"/>
        <v>Fail</v>
      </c>
      <c r="N57" s="32"/>
      <c r="O57" s="31">
        <f>'mnt Data'!A60</f>
        <v>0</v>
      </c>
      <c r="P57" s="31">
        <f>'mnt Data'!B60</f>
        <v>0</v>
      </c>
      <c r="Q57" s="31">
        <f>'mnt Data'!C60</f>
        <v>0</v>
      </c>
      <c r="R57" s="31">
        <f>'mnt Data'!D60</f>
        <v>0</v>
      </c>
      <c r="S57" s="31">
        <f>'mnt Data'!E60</f>
        <v>0</v>
      </c>
      <c r="T57" s="31">
        <f>'mnt Data'!F60</f>
        <v>0</v>
      </c>
      <c r="U57" s="31">
        <f>'mnt Data'!G60</f>
        <v>0</v>
      </c>
      <c r="V57" s="31">
        <f>'mnt Data'!H60</f>
        <v>0</v>
      </c>
      <c r="W57" s="31">
        <f>'mnt Data'!I60</f>
        <v>0</v>
      </c>
      <c r="X57" s="31">
        <f>'mnt Data'!J60</f>
        <v>0</v>
      </c>
      <c r="Y57" s="31">
        <f>'mnt Data'!K60</f>
        <v>0</v>
      </c>
      <c r="Z57" s="31">
        <f>'mnt Data'!L60</f>
        <v>0</v>
      </c>
      <c r="AA57" s="31">
        <f>'mnt Data'!M60</f>
        <v>0</v>
      </c>
      <c r="AB57" s="31">
        <f>'mnt Data'!N60</f>
        <v>0</v>
      </c>
      <c r="AC57" s="31">
        <f>'mnt Data'!O60</f>
        <v>0</v>
      </c>
      <c r="AD57" s="31">
        <f>'mnt Data'!P60</f>
        <v>0</v>
      </c>
      <c r="AE57" s="31">
        <f>'mnt Data'!Q60</f>
        <v>0</v>
      </c>
      <c r="AF57" s="31">
        <f>'mnt Data'!R60</f>
        <v>0</v>
      </c>
      <c r="AG57" s="31">
        <f>'mnt Data'!S60</f>
        <v>0</v>
      </c>
      <c r="AH57" s="31">
        <f>'mnt Data'!T60</f>
        <v>0</v>
      </c>
      <c r="AI57" s="31">
        <f>'mnt Data'!U60</f>
        <v>0</v>
      </c>
      <c r="AJ57" s="31">
        <f>'mnt Data'!V60</f>
        <v>0</v>
      </c>
      <c r="AK57" s="31">
        <f>'mnt Data'!W60</f>
        <v>0</v>
      </c>
      <c r="AL57" s="31">
        <f>'mnt Data'!X60</f>
        <v>0</v>
      </c>
      <c r="AM57" s="31">
        <f>'mnt Data'!Y60</f>
        <v>0</v>
      </c>
      <c r="AN57" s="31">
        <f>'mnt Data'!Z60</f>
        <v>0</v>
      </c>
      <c r="AO57" s="31">
        <f>'mnt Data'!AA60</f>
        <v>0</v>
      </c>
      <c r="AP57" s="31">
        <f>'mnt Data'!AB60</f>
        <v>0</v>
      </c>
      <c r="AQ57" s="31">
        <f>'mnt Data'!AC60</f>
        <v>0</v>
      </c>
      <c r="AR57" s="31">
        <f>'mnt Data'!AD60</f>
        <v>0</v>
      </c>
      <c r="AS57" s="31">
        <f>'mnt Data'!AE60</f>
        <v>0</v>
      </c>
      <c r="AT57" s="31">
        <f>'mnt Data'!AF60</f>
        <v>0</v>
      </c>
      <c r="AU57" s="31">
        <f>'mnt Data'!AG60</f>
        <v>0</v>
      </c>
      <c r="AV57" s="31">
        <f>'mnt Data'!AH60</f>
        <v>0</v>
      </c>
      <c r="AW57" s="31">
        <f>'mnt Data'!AI60</f>
        <v>0</v>
      </c>
      <c r="AX57" s="31">
        <f>'mnt Data'!AJ60</f>
        <v>0</v>
      </c>
      <c r="AY57" s="31">
        <f>'mnt Data'!AK60</f>
        <v>0</v>
      </c>
    </row>
    <row r="58" spans="1:51" x14ac:dyDescent="0.25">
      <c r="A58">
        <v>57</v>
      </c>
      <c r="B58" s="32">
        <f t="shared" si="12"/>
        <v>0</v>
      </c>
      <c r="C58" s="32">
        <f t="shared" si="13"/>
        <v>0</v>
      </c>
      <c r="D58" s="32" t="str">
        <f t="shared" si="0"/>
        <v>No Gs</v>
      </c>
      <c r="E58" s="32">
        <f t="shared" si="3"/>
        <v>0</v>
      </c>
      <c r="F58" s="32" t="str">
        <f t="shared" si="4"/>
        <v>No Gs</v>
      </c>
      <c r="G58" s="32" t="str">
        <f t="shared" si="5"/>
        <v>No Gs</v>
      </c>
      <c r="H58" s="32" t="str">
        <f t="shared" si="14"/>
        <v>Gs is needed</v>
      </c>
      <c r="I58" s="32" t="str">
        <f t="shared" si="15"/>
        <v>Gs is needed</v>
      </c>
      <c r="J58" s="32" t="str">
        <f t="shared" si="16"/>
        <v>Gs is needed</v>
      </c>
      <c r="K58" s="32" t="str">
        <f t="shared" si="11"/>
        <v>Need Max and Min</v>
      </c>
      <c r="L58" s="32" t="str">
        <f t="shared" si="1"/>
        <v>Need Max and Min</v>
      </c>
      <c r="M58" s="32" t="str">
        <f t="shared" si="2"/>
        <v>Fail</v>
      </c>
      <c r="N58" s="32"/>
      <c r="O58" s="31">
        <f>'mnt Data'!A61</f>
        <v>0</v>
      </c>
      <c r="P58" s="31">
        <f>'mnt Data'!B61</f>
        <v>0</v>
      </c>
      <c r="Q58" s="31">
        <f>'mnt Data'!C61</f>
        <v>0</v>
      </c>
      <c r="R58" s="31">
        <f>'mnt Data'!D61</f>
        <v>0</v>
      </c>
      <c r="S58" s="31">
        <f>'mnt Data'!E61</f>
        <v>0</v>
      </c>
      <c r="T58" s="31">
        <f>'mnt Data'!F61</f>
        <v>0</v>
      </c>
      <c r="U58" s="31">
        <f>'mnt Data'!G61</f>
        <v>0</v>
      </c>
      <c r="V58" s="31">
        <f>'mnt Data'!H61</f>
        <v>0</v>
      </c>
      <c r="W58" s="31">
        <f>'mnt Data'!I61</f>
        <v>0</v>
      </c>
      <c r="X58" s="31">
        <f>'mnt Data'!J61</f>
        <v>0</v>
      </c>
      <c r="Y58" s="31">
        <f>'mnt Data'!K61</f>
        <v>0</v>
      </c>
      <c r="Z58" s="31">
        <f>'mnt Data'!L61</f>
        <v>0</v>
      </c>
      <c r="AA58" s="31">
        <f>'mnt Data'!M61</f>
        <v>0</v>
      </c>
      <c r="AB58" s="31">
        <f>'mnt Data'!N61</f>
        <v>0</v>
      </c>
      <c r="AC58" s="31">
        <f>'mnt Data'!O61</f>
        <v>0</v>
      </c>
      <c r="AD58" s="31">
        <f>'mnt Data'!P61</f>
        <v>0</v>
      </c>
      <c r="AE58" s="31">
        <f>'mnt Data'!Q61</f>
        <v>0</v>
      </c>
      <c r="AF58" s="31">
        <f>'mnt Data'!R61</f>
        <v>0</v>
      </c>
      <c r="AG58" s="31">
        <f>'mnt Data'!S61</f>
        <v>0</v>
      </c>
      <c r="AH58" s="31">
        <f>'mnt Data'!T61</f>
        <v>0</v>
      </c>
      <c r="AI58" s="31">
        <f>'mnt Data'!U61</f>
        <v>0</v>
      </c>
      <c r="AJ58" s="31">
        <f>'mnt Data'!V61</f>
        <v>0</v>
      </c>
      <c r="AK58" s="31">
        <f>'mnt Data'!W61</f>
        <v>0</v>
      </c>
      <c r="AL58" s="31">
        <f>'mnt Data'!X61</f>
        <v>0</v>
      </c>
      <c r="AM58" s="31">
        <f>'mnt Data'!Y61</f>
        <v>0</v>
      </c>
      <c r="AN58" s="31">
        <f>'mnt Data'!Z61</f>
        <v>0</v>
      </c>
      <c r="AO58" s="31">
        <f>'mnt Data'!AA61</f>
        <v>0</v>
      </c>
      <c r="AP58" s="31">
        <f>'mnt Data'!AB61</f>
        <v>0</v>
      </c>
      <c r="AQ58" s="31">
        <f>'mnt Data'!AC61</f>
        <v>0</v>
      </c>
      <c r="AR58" s="31">
        <f>'mnt Data'!AD61</f>
        <v>0</v>
      </c>
      <c r="AS58" s="31">
        <f>'mnt Data'!AE61</f>
        <v>0</v>
      </c>
      <c r="AT58" s="31">
        <f>'mnt Data'!AF61</f>
        <v>0</v>
      </c>
      <c r="AU58" s="31">
        <f>'mnt Data'!AG61</f>
        <v>0</v>
      </c>
      <c r="AV58" s="31">
        <f>'mnt Data'!AH61</f>
        <v>0</v>
      </c>
      <c r="AW58" s="31">
        <f>'mnt Data'!AI61</f>
        <v>0</v>
      </c>
      <c r="AX58" s="31">
        <f>'mnt Data'!AJ61</f>
        <v>0</v>
      </c>
      <c r="AY58" s="31">
        <f>'mnt Data'!AK61</f>
        <v>0</v>
      </c>
    </row>
    <row r="59" spans="1:51" x14ac:dyDescent="0.25">
      <c r="A59">
        <v>58</v>
      </c>
      <c r="B59" s="32">
        <f t="shared" si="12"/>
        <v>0</v>
      </c>
      <c r="C59" s="32">
        <f t="shared" si="13"/>
        <v>0</v>
      </c>
      <c r="D59" s="32" t="str">
        <f t="shared" si="0"/>
        <v>No Gs</v>
      </c>
      <c r="E59" s="32">
        <f t="shared" si="3"/>
        <v>0</v>
      </c>
      <c r="F59" s="32" t="str">
        <f t="shared" si="4"/>
        <v>No Gs</v>
      </c>
      <c r="G59" s="32" t="str">
        <f t="shared" si="5"/>
        <v>No Gs</v>
      </c>
      <c r="H59" s="32" t="str">
        <f t="shared" si="14"/>
        <v>Gs is needed</v>
      </c>
      <c r="I59" s="32" t="str">
        <f t="shared" si="15"/>
        <v>Gs is needed</v>
      </c>
      <c r="J59" s="32" t="str">
        <f t="shared" si="16"/>
        <v>Gs is needed</v>
      </c>
      <c r="K59" s="32" t="str">
        <f t="shared" si="11"/>
        <v>Need Max and Min</v>
      </c>
      <c r="L59" s="32" t="str">
        <f t="shared" si="1"/>
        <v>Need Max and Min</v>
      </c>
      <c r="M59" s="32" t="str">
        <f t="shared" si="2"/>
        <v>Fail</v>
      </c>
      <c r="N59" s="32"/>
      <c r="O59" s="31">
        <f>'mnt Data'!A62</f>
        <v>0</v>
      </c>
      <c r="P59" s="31">
        <f>'mnt Data'!B62</f>
        <v>0</v>
      </c>
      <c r="Q59" s="31">
        <f>'mnt Data'!C62</f>
        <v>0</v>
      </c>
      <c r="R59" s="31">
        <f>'mnt Data'!D62</f>
        <v>0</v>
      </c>
      <c r="S59" s="31">
        <f>'mnt Data'!E62</f>
        <v>0</v>
      </c>
      <c r="T59" s="31">
        <f>'mnt Data'!F62</f>
        <v>0</v>
      </c>
      <c r="U59" s="31">
        <f>'mnt Data'!G62</f>
        <v>0</v>
      </c>
      <c r="V59" s="31">
        <f>'mnt Data'!H62</f>
        <v>0</v>
      </c>
      <c r="W59" s="31">
        <f>'mnt Data'!I62</f>
        <v>0</v>
      </c>
      <c r="X59" s="31">
        <f>'mnt Data'!J62</f>
        <v>0</v>
      </c>
      <c r="Y59" s="31">
        <f>'mnt Data'!K62</f>
        <v>0</v>
      </c>
      <c r="Z59" s="31">
        <f>'mnt Data'!L62</f>
        <v>0</v>
      </c>
      <c r="AA59" s="31">
        <f>'mnt Data'!M62</f>
        <v>0</v>
      </c>
      <c r="AB59" s="31">
        <f>'mnt Data'!N62</f>
        <v>0</v>
      </c>
      <c r="AC59" s="31">
        <f>'mnt Data'!O62</f>
        <v>0</v>
      </c>
      <c r="AD59" s="31">
        <f>'mnt Data'!P62</f>
        <v>0</v>
      </c>
      <c r="AE59" s="31">
        <f>'mnt Data'!Q62</f>
        <v>0</v>
      </c>
      <c r="AF59" s="31">
        <f>'mnt Data'!R62</f>
        <v>0</v>
      </c>
      <c r="AG59" s="31">
        <f>'mnt Data'!S62</f>
        <v>0</v>
      </c>
      <c r="AH59" s="31">
        <f>'mnt Data'!T62</f>
        <v>0</v>
      </c>
      <c r="AI59" s="31">
        <f>'mnt Data'!U62</f>
        <v>0</v>
      </c>
      <c r="AJ59" s="31">
        <f>'mnt Data'!V62</f>
        <v>0</v>
      </c>
      <c r="AK59" s="31">
        <f>'mnt Data'!W62</f>
        <v>0</v>
      </c>
      <c r="AL59" s="31">
        <f>'mnt Data'!X62</f>
        <v>0</v>
      </c>
      <c r="AM59" s="31">
        <f>'mnt Data'!Y62</f>
        <v>0</v>
      </c>
      <c r="AN59" s="31">
        <f>'mnt Data'!Z62</f>
        <v>0</v>
      </c>
      <c r="AO59" s="31">
        <f>'mnt Data'!AA62</f>
        <v>0</v>
      </c>
      <c r="AP59" s="31">
        <f>'mnt Data'!AB62</f>
        <v>0</v>
      </c>
      <c r="AQ59" s="31">
        <f>'mnt Data'!AC62</f>
        <v>0</v>
      </c>
      <c r="AR59" s="31">
        <f>'mnt Data'!AD62</f>
        <v>0</v>
      </c>
      <c r="AS59" s="31">
        <f>'mnt Data'!AE62</f>
        <v>0</v>
      </c>
      <c r="AT59" s="31">
        <f>'mnt Data'!AF62</f>
        <v>0</v>
      </c>
      <c r="AU59" s="31">
        <f>'mnt Data'!AG62</f>
        <v>0</v>
      </c>
      <c r="AV59" s="31">
        <f>'mnt Data'!AH62</f>
        <v>0</v>
      </c>
      <c r="AW59" s="31">
        <f>'mnt Data'!AI62</f>
        <v>0</v>
      </c>
      <c r="AX59" s="31">
        <f>'mnt Data'!AJ62</f>
        <v>0</v>
      </c>
      <c r="AY59" s="31">
        <f>'mnt Data'!AK62</f>
        <v>0</v>
      </c>
    </row>
    <row r="60" spans="1:51" x14ac:dyDescent="0.25">
      <c r="A60">
        <v>59</v>
      </c>
      <c r="B60" s="32">
        <f t="shared" si="12"/>
        <v>0</v>
      </c>
      <c r="C60" s="32">
        <f t="shared" si="13"/>
        <v>0</v>
      </c>
      <c r="D60" s="32" t="str">
        <f t="shared" si="0"/>
        <v>No Gs</v>
      </c>
      <c r="E60" s="32">
        <f t="shared" si="3"/>
        <v>0</v>
      </c>
      <c r="F60" s="32" t="str">
        <f t="shared" si="4"/>
        <v>No Gs</v>
      </c>
      <c r="G60" s="32" t="str">
        <f t="shared" si="5"/>
        <v>No Gs</v>
      </c>
      <c r="H60" s="32" t="str">
        <f t="shared" si="14"/>
        <v>Gs is needed</v>
      </c>
      <c r="I60" s="32" t="str">
        <f t="shared" si="15"/>
        <v>Gs is needed</v>
      </c>
      <c r="J60" s="32" t="str">
        <f t="shared" si="16"/>
        <v>Gs is needed</v>
      </c>
      <c r="K60" s="32" t="str">
        <f t="shared" si="11"/>
        <v>Need Max and Min</v>
      </c>
      <c r="L60" s="32" t="str">
        <f t="shared" si="1"/>
        <v>Need Max and Min</v>
      </c>
      <c r="M60" s="32" t="str">
        <f t="shared" si="2"/>
        <v>Fail</v>
      </c>
      <c r="N60" s="32"/>
      <c r="O60" s="31">
        <f>'mnt Data'!A63</f>
        <v>0</v>
      </c>
      <c r="P60" s="31">
        <f>'mnt Data'!B63</f>
        <v>0</v>
      </c>
      <c r="Q60" s="31">
        <f>'mnt Data'!C63</f>
        <v>0</v>
      </c>
      <c r="R60" s="31">
        <f>'mnt Data'!D63</f>
        <v>0</v>
      </c>
      <c r="S60" s="31">
        <f>'mnt Data'!E63</f>
        <v>0</v>
      </c>
      <c r="T60" s="31">
        <f>'mnt Data'!F63</f>
        <v>0</v>
      </c>
      <c r="U60" s="31">
        <f>'mnt Data'!G63</f>
        <v>0</v>
      </c>
      <c r="V60" s="31">
        <f>'mnt Data'!H63</f>
        <v>0</v>
      </c>
      <c r="W60" s="31">
        <f>'mnt Data'!I63</f>
        <v>0</v>
      </c>
      <c r="X60" s="31">
        <f>'mnt Data'!J63</f>
        <v>0</v>
      </c>
      <c r="Y60" s="31">
        <f>'mnt Data'!K63</f>
        <v>0</v>
      </c>
      <c r="Z60" s="31">
        <f>'mnt Data'!L63</f>
        <v>0</v>
      </c>
      <c r="AA60" s="31">
        <f>'mnt Data'!M63</f>
        <v>0</v>
      </c>
      <c r="AB60" s="31">
        <f>'mnt Data'!N63</f>
        <v>0</v>
      </c>
      <c r="AC60" s="31">
        <f>'mnt Data'!O63</f>
        <v>0</v>
      </c>
      <c r="AD60" s="31">
        <f>'mnt Data'!P63</f>
        <v>0</v>
      </c>
      <c r="AE60" s="31">
        <f>'mnt Data'!Q63</f>
        <v>0</v>
      </c>
      <c r="AF60" s="31">
        <f>'mnt Data'!R63</f>
        <v>0</v>
      </c>
      <c r="AG60" s="31">
        <f>'mnt Data'!S63</f>
        <v>0</v>
      </c>
      <c r="AH60" s="31">
        <f>'mnt Data'!T63</f>
        <v>0</v>
      </c>
      <c r="AI60" s="31">
        <f>'mnt Data'!U63</f>
        <v>0</v>
      </c>
      <c r="AJ60" s="31">
        <f>'mnt Data'!V63</f>
        <v>0</v>
      </c>
      <c r="AK60" s="31">
        <f>'mnt Data'!W63</f>
        <v>0</v>
      </c>
      <c r="AL60" s="31">
        <f>'mnt Data'!X63</f>
        <v>0</v>
      </c>
      <c r="AM60" s="31">
        <f>'mnt Data'!Y63</f>
        <v>0</v>
      </c>
      <c r="AN60" s="31">
        <f>'mnt Data'!Z63</f>
        <v>0</v>
      </c>
      <c r="AO60" s="31">
        <f>'mnt Data'!AA63</f>
        <v>0</v>
      </c>
      <c r="AP60" s="31">
        <f>'mnt Data'!AB63</f>
        <v>0</v>
      </c>
      <c r="AQ60" s="31">
        <f>'mnt Data'!AC63</f>
        <v>0</v>
      </c>
      <c r="AR60" s="31">
        <f>'mnt Data'!AD63</f>
        <v>0</v>
      </c>
      <c r="AS60" s="31">
        <f>'mnt Data'!AE63</f>
        <v>0</v>
      </c>
      <c r="AT60" s="31">
        <f>'mnt Data'!AF63</f>
        <v>0</v>
      </c>
      <c r="AU60" s="31">
        <f>'mnt Data'!AG63</f>
        <v>0</v>
      </c>
      <c r="AV60" s="31">
        <f>'mnt Data'!AH63</f>
        <v>0</v>
      </c>
      <c r="AW60" s="31">
        <f>'mnt Data'!AI63</f>
        <v>0</v>
      </c>
      <c r="AX60" s="31">
        <f>'mnt Data'!AJ63</f>
        <v>0</v>
      </c>
      <c r="AY60" s="31">
        <f>'mnt Data'!AK63</f>
        <v>0</v>
      </c>
    </row>
    <row r="61" spans="1:51" x14ac:dyDescent="0.25">
      <c r="A61">
        <v>60</v>
      </c>
      <c r="B61" s="32">
        <f t="shared" si="12"/>
        <v>0</v>
      </c>
      <c r="C61" s="32">
        <f t="shared" si="13"/>
        <v>0</v>
      </c>
      <c r="D61" s="32" t="str">
        <f t="shared" si="0"/>
        <v>No Gs</v>
      </c>
      <c r="E61" s="32">
        <f t="shared" si="3"/>
        <v>0</v>
      </c>
      <c r="F61" s="32" t="str">
        <f t="shared" si="4"/>
        <v>No Gs</v>
      </c>
      <c r="G61" s="32" t="str">
        <f t="shared" si="5"/>
        <v>No Gs</v>
      </c>
      <c r="H61" s="32" t="str">
        <f t="shared" si="14"/>
        <v>Gs is needed</v>
      </c>
      <c r="I61" s="32" t="str">
        <f t="shared" si="15"/>
        <v>Gs is needed</v>
      </c>
      <c r="J61" s="32" t="str">
        <f t="shared" si="16"/>
        <v>Gs is needed</v>
      </c>
      <c r="K61" s="32" t="str">
        <f t="shared" si="11"/>
        <v>Need Max and Min</v>
      </c>
      <c r="L61" s="32" t="str">
        <f t="shared" si="1"/>
        <v>Need Max and Min</v>
      </c>
      <c r="M61" s="32" t="str">
        <f t="shared" si="2"/>
        <v>Fail</v>
      </c>
      <c r="N61" s="32"/>
      <c r="O61" s="31">
        <f>'mnt Data'!A64</f>
        <v>0</v>
      </c>
      <c r="P61" s="31">
        <f>'mnt Data'!B64</f>
        <v>0</v>
      </c>
      <c r="Q61" s="31">
        <f>'mnt Data'!C64</f>
        <v>0</v>
      </c>
      <c r="R61" s="31">
        <f>'mnt Data'!D64</f>
        <v>0</v>
      </c>
      <c r="S61" s="31">
        <f>'mnt Data'!E64</f>
        <v>0</v>
      </c>
      <c r="T61" s="31">
        <f>'mnt Data'!F64</f>
        <v>0</v>
      </c>
      <c r="U61" s="31">
        <f>'mnt Data'!G64</f>
        <v>0</v>
      </c>
      <c r="V61" s="31">
        <f>'mnt Data'!H64</f>
        <v>0</v>
      </c>
      <c r="W61" s="31">
        <f>'mnt Data'!I64</f>
        <v>0</v>
      </c>
      <c r="X61" s="31">
        <f>'mnt Data'!J64</f>
        <v>0</v>
      </c>
      <c r="Y61" s="31">
        <f>'mnt Data'!K64</f>
        <v>0</v>
      </c>
      <c r="Z61" s="31">
        <f>'mnt Data'!L64</f>
        <v>0</v>
      </c>
      <c r="AA61" s="31">
        <f>'mnt Data'!M64</f>
        <v>0</v>
      </c>
      <c r="AB61" s="31">
        <f>'mnt Data'!N64</f>
        <v>0</v>
      </c>
      <c r="AC61" s="31">
        <f>'mnt Data'!O64</f>
        <v>0</v>
      </c>
      <c r="AD61" s="31">
        <f>'mnt Data'!P64</f>
        <v>0</v>
      </c>
      <c r="AE61" s="31">
        <f>'mnt Data'!Q64</f>
        <v>0</v>
      </c>
      <c r="AF61" s="31">
        <f>'mnt Data'!R64</f>
        <v>0</v>
      </c>
      <c r="AG61" s="31">
        <f>'mnt Data'!S64</f>
        <v>0</v>
      </c>
      <c r="AH61" s="31">
        <f>'mnt Data'!T64</f>
        <v>0</v>
      </c>
      <c r="AI61" s="31">
        <f>'mnt Data'!U64</f>
        <v>0</v>
      </c>
      <c r="AJ61" s="31">
        <f>'mnt Data'!V64</f>
        <v>0</v>
      </c>
      <c r="AK61" s="31">
        <f>'mnt Data'!W64</f>
        <v>0</v>
      </c>
      <c r="AL61" s="31">
        <f>'mnt Data'!X64</f>
        <v>0</v>
      </c>
      <c r="AM61" s="31">
        <f>'mnt Data'!Y64</f>
        <v>0</v>
      </c>
      <c r="AN61" s="31">
        <f>'mnt Data'!Z64</f>
        <v>0</v>
      </c>
      <c r="AO61" s="31">
        <f>'mnt Data'!AA64</f>
        <v>0</v>
      </c>
      <c r="AP61" s="31">
        <f>'mnt Data'!AB64</f>
        <v>0</v>
      </c>
      <c r="AQ61" s="31">
        <f>'mnt Data'!AC64</f>
        <v>0</v>
      </c>
      <c r="AR61" s="31">
        <f>'mnt Data'!AD64</f>
        <v>0</v>
      </c>
      <c r="AS61" s="31">
        <f>'mnt Data'!AE64</f>
        <v>0</v>
      </c>
      <c r="AT61" s="31">
        <f>'mnt Data'!AF64</f>
        <v>0</v>
      </c>
      <c r="AU61" s="31">
        <f>'mnt Data'!AG64</f>
        <v>0</v>
      </c>
      <c r="AV61" s="31">
        <f>'mnt Data'!AH64</f>
        <v>0</v>
      </c>
      <c r="AW61" s="31">
        <f>'mnt Data'!AI64</f>
        <v>0</v>
      </c>
      <c r="AX61" s="31">
        <f>'mnt Data'!AJ64</f>
        <v>0</v>
      </c>
      <c r="AY61" s="31">
        <f>'mnt Data'!AK64</f>
        <v>0</v>
      </c>
    </row>
    <row r="62" spans="1:51" x14ac:dyDescent="0.25">
      <c r="A62">
        <v>61</v>
      </c>
      <c r="B62" s="32">
        <f t="shared" si="12"/>
        <v>0</v>
      </c>
      <c r="C62" s="32">
        <f t="shared" si="13"/>
        <v>0</v>
      </c>
      <c r="D62" s="32" t="str">
        <f t="shared" si="0"/>
        <v>No Gs</v>
      </c>
      <c r="E62" s="32">
        <f t="shared" si="3"/>
        <v>0</v>
      </c>
      <c r="F62" s="32" t="str">
        <f t="shared" si="4"/>
        <v>No Gs</v>
      </c>
      <c r="G62" s="32" t="str">
        <f t="shared" si="5"/>
        <v>No Gs</v>
      </c>
      <c r="H62" s="32" t="str">
        <f t="shared" si="14"/>
        <v>Gs is needed</v>
      </c>
      <c r="I62" s="32" t="str">
        <f t="shared" si="15"/>
        <v>Gs is needed</v>
      </c>
      <c r="J62" s="32" t="str">
        <f t="shared" si="16"/>
        <v>Gs is needed</v>
      </c>
      <c r="K62" s="32" t="str">
        <f t="shared" si="11"/>
        <v>Need Max and Min</v>
      </c>
      <c r="L62" s="32" t="str">
        <f t="shared" si="1"/>
        <v>Need Max and Min</v>
      </c>
      <c r="M62" s="32" t="str">
        <f t="shared" si="2"/>
        <v>Fail</v>
      </c>
      <c r="N62" s="32"/>
      <c r="O62" s="31">
        <f>'mnt Data'!A65</f>
        <v>0</v>
      </c>
      <c r="P62" s="31">
        <f>'mnt Data'!B65</f>
        <v>0</v>
      </c>
      <c r="Q62" s="31">
        <f>'mnt Data'!C65</f>
        <v>0</v>
      </c>
      <c r="R62" s="31">
        <f>'mnt Data'!D65</f>
        <v>0</v>
      </c>
      <c r="S62" s="31">
        <f>'mnt Data'!E65</f>
        <v>0</v>
      </c>
      <c r="T62" s="31">
        <f>'mnt Data'!F65</f>
        <v>0</v>
      </c>
      <c r="U62" s="31">
        <f>'mnt Data'!G65</f>
        <v>0</v>
      </c>
      <c r="V62" s="31">
        <f>'mnt Data'!H65</f>
        <v>0</v>
      </c>
      <c r="W62" s="31">
        <f>'mnt Data'!I65</f>
        <v>0</v>
      </c>
      <c r="X62" s="31">
        <f>'mnt Data'!J65</f>
        <v>0</v>
      </c>
      <c r="Y62" s="31">
        <f>'mnt Data'!K65</f>
        <v>0</v>
      </c>
      <c r="Z62" s="31">
        <f>'mnt Data'!L65</f>
        <v>0</v>
      </c>
      <c r="AA62" s="31">
        <f>'mnt Data'!M65</f>
        <v>0</v>
      </c>
      <c r="AB62" s="31">
        <f>'mnt Data'!N65</f>
        <v>0</v>
      </c>
      <c r="AC62" s="31">
        <f>'mnt Data'!O65</f>
        <v>0</v>
      </c>
      <c r="AD62" s="31">
        <f>'mnt Data'!P65</f>
        <v>0</v>
      </c>
      <c r="AE62" s="31">
        <f>'mnt Data'!Q65</f>
        <v>0</v>
      </c>
      <c r="AF62" s="31">
        <f>'mnt Data'!R65</f>
        <v>0</v>
      </c>
      <c r="AG62" s="31">
        <f>'mnt Data'!S65</f>
        <v>0</v>
      </c>
      <c r="AH62" s="31">
        <f>'mnt Data'!T65</f>
        <v>0</v>
      </c>
      <c r="AI62" s="31">
        <f>'mnt Data'!U65</f>
        <v>0</v>
      </c>
      <c r="AJ62" s="31">
        <f>'mnt Data'!V65</f>
        <v>0</v>
      </c>
      <c r="AK62" s="31">
        <f>'mnt Data'!W65</f>
        <v>0</v>
      </c>
      <c r="AL62" s="31">
        <f>'mnt Data'!X65</f>
        <v>0</v>
      </c>
      <c r="AM62" s="31">
        <f>'mnt Data'!Y65</f>
        <v>0</v>
      </c>
      <c r="AN62" s="31">
        <f>'mnt Data'!Z65</f>
        <v>0</v>
      </c>
      <c r="AO62" s="31">
        <f>'mnt Data'!AA65</f>
        <v>0</v>
      </c>
      <c r="AP62" s="31">
        <f>'mnt Data'!AB65</f>
        <v>0</v>
      </c>
      <c r="AQ62" s="31">
        <f>'mnt Data'!AC65</f>
        <v>0</v>
      </c>
      <c r="AR62" s="31">
        <f>'mnt Data'!AD65</f>
        <v>0</v>
      </c>
      <c r="AS62" s="31">
        <f>'mnt Data'!AE65</f>
        <v>0</v>
      </c>
      <c r="AT62" s="31">
        <f>'mnt Data'!AF65</f>
        <v>0</v>
      </c>
      <c r="AU62" s="31">
        <f>'mnt Data'!AG65</f>
        <v>0</v>
      </c>
      <c r="AV62" s="31">
        <f>'mnt Data'!AH65</f>
        <v>0</v>
      </c>
      <c r="AW62" s="31">
        <f>'mnt Data'!AI65</f>
        <v>0</v>
      </c>
      <c r="AX62" s="31">
        <f>'mnt Data'!AJ65</f>
        <v>0</v>
      </c>
      <c r="AY62" s="31">
        <f>'mnt Data'!AK65</f>
        <v>0</v>
      </c>
    </row>
    <row r="63" spans="1:51" x14ac:dyDescent="0.25">
      <c r="A63">
        <v>62</v>
      </c>
      <c r="B63" s="32">
        <f t="shared" si="12"/>
        <v>0</v>
      </c>
      <c r="C63" s="32">
        <f t="shared" si="13"/>
        <v>0</v>
      </c>
      <c r="D63" s="32" t="str">
        <f t="shared" si="0"/>
        <v>No Gs</v>
      </c>
      <c r="E63" s="32">
        <f t="shared" si="3"/>
        <v>0</v>
      </c>
      <c r="F63" s="32" t="str">
        <f t="shared" si="4"/>
        <v>No Gs</v>
      </c>
      <c r="G63" s="32" t="str">
        <f t="shared" si="5"/>
        <v>No Gs</v>
      </c>
      <c r="H63" s="32" t="str">
        <f t="shared" si="14"/>
        <v>Gs is needed</v>
      </c>
      <c r="I63" s="32" t="str">
        <f t="shared" si="15"/>
        <v>Gs is needed</v>
      </c>
      <c r="J63" s="32" t="str">
        <f t="shared" si="16"/>
        <v>Gs is needed</v>
      </c>
      <c r="K63" s="32" t="str">
        <f t="shared" si="11"/>
        <v>Need Max and Min</v>
      </c>
      <c r="L63" s="32" t="str">
        <f t="shared" si="1"/>
        <v>Need Max and Min</v>
      </c>
      <c r="M63" s="32" t="str">
        <f t="shared" si="2"/>
        <v>Fail</v>
      </c>
      <c r="N63" s="32"/>
      <c r="O63" s="31">
        <f>'mnt Data'!A66</f>
        <v>0</v>
      </c>
      <c r="P63" s="31">
        <f>'mnt Data'!B66</f>
        <v>0</v>
      </c>
      <c r="Q63" s="31">
        <f>'mnt Data'!C66</f>
        <v>0</v>
      </c>
      <c r="R63" s="31">
        <f>'mnt Data'!D66</f>
        <v>0</v>
      </c>
      <c r="S63" s="31">
        <f>'mnt Data'!E66</f>
        <v>0</v>
      </c>
      <c r="T63" s="31">
        <f>'mnt Data'!F66</f>
        <v>0</v>
      </c>
      <c r="U63" s="31">
        <f>'mnt Data'!G66</f>
        <v>0</v>
      </c>
      <c r="V63" s="31">
        <f>'mnt Data'!H66</f>
        <v>0</v>
      </c>
      <c r="W63" s="31">
        <f>'mnt Data'!I66</f>
        <v>0</v>
      </c>
      <c r="X63" s="31">
        <f>'mnt Data'!J66</f>
        <v>0</v>
      </c>
      <c r="Y63" s="31">
        <f>'mnt Data'!K66</f>
        <v>0</v>
      </c>
      <c r="Z63" s="31">
        <f>'mnt Data'!L66</f>
        <v>0</v>
      </c>
      <c r="AA63" s="31">
        <f>'mnt Data'!M66</f>
        <v>0</v>
      </c>
      <c r="AB63" s="31">
        <f>'mnt Data'!N66</f>
        <v>0</v>
      </c>
      <c r="AC63" s="31">
        <f>'mnt Data'!O66</f>
        <v>0</v>
      </c>
      <c r="AD63" s="31">
        <f>'mnt Data'!P66</f>
        <v>0</v>
      </c>
      <c r="AE63" s="31">
        <f>'mnt Data'!Q66</f>
        <v>0</v>
      </c>
      <c r="AF63" s="31">
        <f>'mnt Data'!R66</f>
        <v>0</v>
      </c>
      <c r="AG63" s="31">
        <f>'mnt Data'!S66</f>
        <v>0</v>
      </c>
      <c r="AH63" s="31">
        <f>'mnt Data'!T66</f>
        <v>0</v>
      </c>
      <c r="AI63" s="31">
        <f>'mnt Data'!U66</f>
        <v>0</v>
      </c>
      <c r="AJ63" s="31">
        <f>'mnt Data'!V66</f>
        <v>0</v>
      </c>
      <c r="AK63" s="31">
        <f>'mnt Data'!W66</f>
        <v>0</v>
      </c>
      <c r="AL63" s="31">
        <f>'mnt Data'!X66</f>
        <v>0</v>
      </c>
      <c r="AM63" s="31">
        <f>'mnt Data'!Y66</f>
        <v>0</v>
      </c>
      <c r="AN63" s="31">
        <f>'mnt Data'!Z66</f>
        <v>0</v>
      </c>
      <c r="AO63" s="31">
        <f>'mnt Data'!AA66</f>
        <v>0</v>
      </c>
      <c r="AP63" s="31">
        <f>'mnt Data'!AB66</f>
        <v>0</v>
      </c>
      <c r="AQ63" s="31">
        <f>'mnt Data'!AC66</f>
        <v>0</v>
      </c>
      <c r="AR63" s="31">
        <f>'mnt Data'!AD66</f>
        <v>0</v>
      </c>
      <c r="AS63" s="31">
        <f>'mnt Data'!AE66</f>
        <v>0</v>
      </c>
      <c r="AT63" s="31">
        <f>'mnt Data'!AF66</f>
        <v>0</v>
      </c>
      <c r="AU63" s="31">
        <f>'mnt Data'!AG66</f>
        <v>0</v>
      </c>
      <c r="AV63" s="31">
        <f>'mnt Data'!AH66</f>
        <v>0</v>
      </c>
      <c r="AW63" s="31">
        <f>'mnt Data'!AI66</f>
        <v>0</v>
      </c>
      <c r="AX63" s="31">
        <f>'mnt Data'!AJ66</f>
        <v>0</v>
      </c>
      <c r="AY63" s="31">
        <f>'mnt Data'!AK66</f>
        <v>0</v>
      </c>
    </row>
    <row r="64" spans="1:51" x14ac:dyDescent="0.25">
      <c r="A64">
        <v>63</v>
      </c>
      <c r="B64" s="32">
        <f t="shared" si="12"/>
        <v>0</v>
      </c>
      <c r="C64" s="32">
        <f t="shared" si="13"/>
        <v>0</v>
      </c>
      <c r="D64" s="32" t="str">
        <f t="shared" si="0"/>
        <v>No Gs</v>
      </c>
      <c r="E64" s="32">
        <f t="shared" si="3"/>
        <v>0</v>
      </c>
      <c r="F64" s="32" t="str">
        <f t="shared" si="4"/>
        <v>No Gs</v>
      </c>
      <c r="G64" s="32" t="str">
        <f t="shared" si="5"/>
        <v>No Gs</v>
      </c>
      <c r="H64" s="32" t="str">
        <f t="shared" si="14"/>
        <v>Gs is needed</v>
      </c>
      <c r="I64" s="32" t="str">
        <f t="shared" si="15"/>
        <v>Gs is needed</v>
      </c>
      <c r="J64" s="32" t="str">
        <f t="shared" si="16"/>
        <v>Gs is needed</v>
      </c>
      <c r="K64" s="32" t="str">
        <f t="shared" si="11"/>
        <v>Need Max and Min</v>
      </c>
      <c r="L64" s="32" t="str">
        <f t="shared" si="1"/>
        <v>Need Max and Min</v>
      </c>
      <c r="M64" s="32" t="str">
        <f t="shared" si="2"/>
        <v>Fail</v>
      </c>
      <c r="N64" s="32"/>
      <c r="O64" s="31">
        <f>'mnt Data'!A67</f>
        <v>0</v>
      </c>
      <c r="P64" s="31">
        <f>'mnt Data'!B67</f>
        <v>0</v>
      </c>
      <c r="Q64" s="31">
        <f>'mnt Data'!C67</f>
        <v>0</v>
      </c>
      <c r="R64" s="31">
        <f>'mnt Data'!D67</f>
        <v>0</v>
      </c>
      <c r="S64" s="31">
        <f>'mnt Data'!E67</f>
        <v>0</v>
      </c>
      <c r="T64" s="31">
        <f>'mnt Data'!F67</f>
        <v>0</v>
      </c>
      <c r="U64" s="31">
        <f>'mnt Data'!G67</f>
        <v>0</v>
      </c>
      <c r="V64" s="31">
        <f>'mnt Data'!H67</f>
        <v>0</v>
      </c>
      <c r="W64" s="31">
        <f>'mnt Data'!I67</f>
        <v>0</v>
      </c>
      <c r="X64" s="31">
        <f>'mnt Data'!J67</f>
        <v>0</v>
      </c>
      <c r="Y64" s="31">
        <f>'mnt Data'!K67</f>
        <v>0</v>
      </c>
      <c r="Z64" s="31">
        <f>'mnt Data'!L67</f>
        <v>0</v>
      </c>
      <c r="AA64" s="31">
        <f>'mnt Data'!M67</f>
        <v>0</v>
      </c>
      <c r="AB64" s="31">
        <f>'mnt Data'!N67</f>
        <v>0</v>
      </c>
      <c r="AC64" s="31">
        <f>'mnt Data'!O67</f>
        <v>0</v>
      </c>
      <c r="AD64" s="31">
        <f>'mnt Data'!P67</f>
        <v>0</v>
      </c>
      <c r="AE64" s="31">
        <f>'mnt Data'!Q67</f>
        <v>0</v>
      </c>
      <c r="AF64" s="31">
        <f>'mnt Data'!R67</f>
        <v>0</v>
      </c>
      <c r="AG64" s="31">
        <f>'mnt Data'!S67</f>
        <v>0</v>
      </c>
      <c r="AH64" s="31">
        <f>'mnt Data'!T67</f>
        <v>0</v>
      </c>
      <c r="AI64" s="31">
        <f>'mnt Data'!U67</f>
        <v>0</v>
      </c>
      <c r="AJ64" s="31">
        <f>'mnt Data'!V67</f>
        <v>0</v>
      </c>
      <c r="AK64" s="31">
        <f>'mnt Data'!W67</f>
        <v>0</v>
      </c>
      <c r="AL64" s="31">
        <f>'mnt Data'!X67</f>
        <v>0</v>
      </c>
      <c r="AM64" s="31">
        <f>'mnt Data'!Y67</f>
        <v>0</v>
      </c>
      <c r="AN64" s="31">
        <f>'mnt Data'!Z67</f>
        <v>0</v>
      </c>
      <c r="AO64" s="31">
        <f>'mnt Data'!AA67</f>
        <v>0</v>
      </c>
      <c r="AP64" s="31">
        <f>'mnt Data'!AB67</f>
        <v>0</v>
      </c>
      <c r="AQ64" s="31">
        <f>'mnt Data'!AC67</f>
        <v>0</v>
      </c>
      <c r="AR64" s="31">
        <f>'mnt Data'!AD67</f>
        <v>0</v>
      </c>
      <c r="AS64" s="31">
        <f>'mnt Data'!AE67</f>
        <v>0</v>
      </c>
      <c r="AT64" s="31">
        <f>'mnt Data'!AF67</f>
        <v>0</v>
      </c>
      <c r="AU64" s="31">
        <f>'mnt Data'!AG67</f>
        <v>0</v>
      </c>
      <c r="AV64" s="31">
        <f>'mnt Data'!AH67</f>
        <v>0</v>
      </c>
      <c r="AW64" s="31">
        <f>'mnt Data'!AI67</f>
        <v>0</v>
      </c>
      <c r="AX64" s="31">
        <f>'mnt Data'!AJ67</f>
        <v>0</v>
      </c>
      <c r="AY64" s="31">
        <f>'mnt Data'!AK67</f>
        <v>0</v>
      </c>
    </row>
    <row r="65" spans="1:51" x14ac:dyDescent="0.25">
      <c r="A65">
        <v>64</v>
      </c>
      <c r="B65" s="32">
        <f t="shared" si="12"/>
        <v>0</v>
      </c>
      <c r="C65" s="32">
        <f t="shared" si="13"/>
        <v>0</v>
      </c>
      <c r="D65" s="32" t="str">
        <f t="shared" si="0"/>
        <v>No Gs</v>
      </c>
      <c r="E65" s="32">
        <f t="shared" si="3"/>
        <v>0</v>
      </c>
      <c r="F65" s="32" t="str">
        <f t="shared" si="4"/>
        <v>No Gs</v>
      </c>
      <c r="G65" s="32" t="str">
        <f t="shared" si="5"/>
        <v>No Gs</v>
      </c>
      <c r="H65" s="32" t="str">
        <f t="shared" si="14"/>
        <v>Gs is needed</v>
      </c>
      <c r="I65" s="32" t="str">
        <f t="shared" si="15"/>
        <v>Gs is needed</v>
      </c>
      <c r="J65" s="32" t="str">
        <f t="shared" si="16"/>
        <v>Gs is needed</v>
      </c>
      <c r="K65" s="32" t="str">
        <f t="shared" si="11"/>
        <v>Need Max and Min</v>
      </c>
      <c r="L65" s="32" t="str">
        <f t="shared" si="1"/>
        <v>Need Max and Min</v>
      </c>
      <c r="M65" s="32" t="str">
        <f t="shared" si="2"/>
        <v>Fail</v>
      </c>
      <c r="N65" s="32"/>
      <c r="O65" s="31">
        <f>'mnt Data'!A68</f>
        <v>0</v>
      </c>
      <c r="P65" s="31">
        <f>'mnt Data'!B68</f>
        <v>0</v>
      </c>
      <c r="Q65" s="31">
        <f>'mnt Data'!C68</f>
        <v>0</v>
      </c>
      <c r="R65" s="31">
        <f>'mnt Data'!D68</f>
        <v>0</v>
      </c>
      <c r="S65" s="31">
        <f>'mnt Data'!E68</f>
        <v>0</v>
      </c>
      <c r="T65" s="31">
        <f>'mnt Data'!F68</f>
        <v>0</v>
      </c>
      <c r="U65" s="31">
        <f>'mnt Data'!G68</f>
        <v>0</v>
      </c>
      <c r="V65" s="31">
        <f>'mnt Data'!H68</f>
        <v>0</v>
      </c>
      <c r="W65" s="31">
        <f>'mnt Data'!I68</f>
        <v>0</v>
      </c>
      <c r="X65" s="31">
        <f>'mnt Data'!J68</f>
        <v>0</v>
      </c>
      <c r="Y65" s="31">
        <f>'mnt Data'!K68</f>
        <v>0</v>
      </c>
      <c r="Z65" s="31">
        <f>'mnt Data'!L68</f>
        <v>0</v>
      </c>
      <c r="AA65" s="31">
        <f>'mnt Data'!M68</f>
        <v>0</v>
      </c>
      <c r="AB65" s="31">
        <f>'mnt Data'!N68</f>
        <v>0</v>
      </c>
      <c r="AC65" s="31">
        <f>'mnt Data'!O68</f>
        <v>0</v>
      </c>
      <c r="AD65" s="31">
        <f>'mnt Data'!P68</f>
        <v>0</v>
      </c>
      <c r="AE65" s="31">
        <f>'mnt Data'!Q68</f>
        <v>0</v>
      </c>
      <c r="AF65" s="31">
        <f>'mnt Data'!R68</f>
        <v>0</v>
      </c>
      <c r="AG65" s="31">
        <f>'mnt Data'!S68</f>
        <v>0</v>
      </c>
      <c r="AH65" s="31">
        <f>'mnt Data'!T68</f>
        <v>0</v>
      </c>
      <c r="AI65" s="31">
        <f>'mnt Data'!U68</f>
        <v>0</v>
      </c>
      <c r="AJ65" s="31">
        <f>'mnt Data'!V68</f>
        <v>0</v>
      </c>
      <c r="AK65" s="31">
        <f>'mnt Data'!W68</f>
        <v>0</v>
      </c>
      <c r="AL65" s="31">
        <f>'mnt Data'!X68</f>
        <v>0</v>
      </c>
      <c r="AM65" s="31">
        <f>'mnt Data'!Y68</f>
        <v>0</v>
      </c>
      <c r="AN65" s="31">
        <f>'mnt Data'!Z68</f>
        <v>0</v>
      </c>
      <c r="AO65" s="31">
        <f>'mnt Data'!AA68</f>
        <v>0</v>
      </c>
      <c r="AP65" s="31">
        <f>'mnt Data'!AB68</f>
        <v>0</v>
      </c>
      <c r="AQ65" s="31">
        <f>'mnt Data'!AC68</f>
        <v>0</v>
      </c>
      <c r="AR65" s="31">
        <f>'mnt Data'!AD68</f>
        <v>0</v>
      </c>
      <c r="AS65" s="31">
        <f>'mnt Data'!AE68</f>
        <v>0</v>
      </c>
      <c r="AT65" s="31">
        <f>'mnt Data'!AF68</f>
        <v>0</v>
      </c>
      <c r="AU65" s="31">
        <f>'mnt Data'!AG68</f>
        <v>0</v>
      </c>
      <c r="AV65" s="31">
        <f>'mnt Data'!AH68</f>
        <v>0</v>
      </c>
      <c r="AW65" s="31">
        <f>'mnt Data'!AI68</f>
        <v>0</v>
      </c>
      <c r="AX65" s="31">
        <f>'mnt Data'!AJ68</f>
        <v>0</v>
      </c>
      <c r="AY65" s="31">
        <f>'mnt Data'!AK68</f>
        <v>0</v>
      </c>
    </row>
    <row r="66" spans="1:51" x14ac:dyDescent="0.25">
      <c r="A66">
        <v>65</v>
      </c>
      <c r="B66" s="32">
        <f t="shared" si="12"/>
        <v>0</v>
      </c>
      <c r="C66" s="32">
        <f t="shared" si="13"/>
        <v>0</v>
      </c>
      <c r="D66" s="32" t="str">
        <f t="shared" ref="D66:D129" si="17">IFERROR(B66/(Gs*(IF(O66&gt;1000,998,62.4))),"No Gs")</f>
        <v>No Gs</v>
      </c>
      <c r="E66" s="32">
        <f t="shared" si="3"/>
        <v>0</v>
      </c>
      <c r="F66" s="32" t="str">
        <f t="shared" si="4"/>
        <v>No Gs</v>
      </c>
      <c r="G66" s="32" t="str">
        <f t="shared" si="5"/>
        <v>No Gs</v>
      </c>
      <c r="H66" s="32" t="str">
        <f t="shared" si="14"/>
        <v>Gs is needed</v>
      </c>
      <c r="I66" s="32" t="str">
        <f t="shared" si="15"/>
        <v>Gs is needed</v>
      </c>
      <c r="J66" s="32" t="str">
        <f t="shared" si="16"/>
        <v>Gs is needed</v>
      </c>
      <c r="K66" s="32" t="str">
        <f t="shared" ref="K66:K129" si="18">IFERROR((100*(DMax*(O66-DMin))/(O66*(DMax-DMin))),"Need Max and Min")</f>
        <v>Need Max and Min</v>
      </c>
      <c r="L66" s="32" t="str">
        <f t="shared" ref="L66:L129" si="19">IF(K66="Need Max and Min",K66,(100*((O66-DMin)/(DMax-DMin))))</f>
        <v>Need Max and Min</v>
      </c>
      <c r="M66" s="32" t="str">
        <f t="shared" ref="M66:M129" si="20">IF((Min+Max)=0,"Need Max and Min Density",IF(AND(S66&gt;Min,S66&lt;Max),"Pass","Fail"))</f>
        <v>Fail</v>
      </c>
      <c r="N66" s="32"/>
      <c r="O66" s="31">
        <f>'mnt Data'!A69</f>
        <v>0</v>
      </c>
      <c r="P66" s="31">
        <f>'mnt Data'!B69</f>
        <v>0</v>
      </c>
      <c r="Q66" s="31">
        <f>'mnt Data'!C69</f>
        <v>0</v>
      </c>
      <c r="R66" s="31">
        <f>'mnt Data'!D69</f>
        <v>0</v>
      </c>
      <c r="S66" s="31">
        <f>'mnt Data'!E69</f>
        <v>0</v>
      </c>
      <c r="T66" s="31">
        <f>'mnt Data'!F69</f>
        <v>0</v>
      </c>
      <c r="U66" s="31">
        <f>'mnt Data'!G69</f>
        <v>0</v>
      </c>
      <c r="V66" s="31">
        <f>'mnt Data'!H69</f>
        <v>0</v>
      </c>
      <c r="W66" s="31">
        <f>'mnt Data'!I69</f>
        <v>0</v>
      </c>
      <c r="X66" s="31">
        <f>'mnt Data'!J69</f>
        <v>0</v>
      </c>
      <c r="Y66" s="31">
        <f>'mnt Data'!K69</f>
        <v>0</v>
      </c>
      <c r="Z66" s="31">
        <f>'mnt Data'!L69</f>
        <v>0</v>
      </c>
      <c r="AA66" s="31">
        <f>'mnt Data'!M69</f>
        <v>0</v>
      </c>
      <c r="AB66" s="31">
        <f>'mnt Data'!N69</f>
        <v>0</v>
      </c>
      <c r="AC66" s="31">
        <f>'mnt Data'!O69</f>
        <v>0</v>
      </c>
      <c r="AD66" s="31">
        <f>'mnt Data'!P69</f>
        <v>0</v>
      </c>
      <c r="AE66" s="31">
        <f>'mnt Data'!Q69</f>
        <v>0</v>
      </c>
      <c r="AF66" s="31">
        <f>'mnt Data'!R69</f>
        <v>0</v>
      </c>
      <c r="AG66" s="31">
        <f>'mnt Data'!S69</f>
        <v>0</v>
      </c>
      <c r="AH66" s="31">
        <f>'mnt Data'!T69</f>
        <v>0</v>
      </c>
      <c r="AI66" s="31">
        <f>'mnt Data'!U69</f>
        <v>0</v>
      </c>
      <c r="AJ66" s="31">
        <f>'mnt Data'!V69</f>
        <v>0</v>
      </c>
      <c r="AK66" s="31">
        <f>'mnt Data'!W69</f>
        <v>0</v>
      </c>
      <c r="AL66" s="31">
        <f>'mnt Data'!X69</f>
        <v>0</v>
      </c>
      <c r="AM66" s="31">
        <f>'mnt Data'!Y69</f>
        <v>0</v>
      </c>
      <c r="AN66" s="31">
        <f>'mnt Data'!Z69</f>
        <v>0</v>
      </c>
      <c r="AO66" s="31">
        <f>'mnt Data'!AA69</f>
        <v>0</v>
      </c>
      <c r="AP66" s="31">
        <f>'mnt Data'!AB69</f>
        <v>0</v>
      </c>
      <c r="AQ66" s="31">
        <f>'mnt Data'!AC69</f>
        <v>0</v>
      </c>
      <c r="AR66" s="31">
        <f>'mnt Data'!AD69</f>
        <v>0</v>
      </c>
      <c r="AS66" s="31">
        <f>'mnt Data'!AE69</f>
        <v>0</v>
      </c>
      <c r="AT66" s="31">
        <f>'mnt Data'!AF69</f>
        <v>0</v>
      </c>
      <c r="AU66" s="31">
        <f>'mnt Data'!AG69</f>
        <v>0</v>
      </c>
      <c r="AV66" s="31">
        <f>'mnt Data'!AH69</f>
        <v>0</v>
      </c>
      <c r="AW66" s="31">
        <f>'mnt Data'!AI69</f>
        <v>0</v>
      </c>
      <c r="AX66" s="31">
        <f>'mnt Data'!AJ69</f>
        <v>0</v>
      </c>
      <c r="AY66" s="31">
        <f>'mnt Data'!AK69</f>
        <v>0</v>
      </c>
    </row>
    <row r="67" spans="1:51" x14ac:dyDescent="0.25">
      <c r="A67">
        <v>66</v>
      </c>
      <c r="B67" s="32">
        <f t="shared" si="12"/>
        <v>0</v>
      </c>
      <c r="C67" s="32">
        <f t="shared" si="13"/>
        <v>0</v>
      </c>
      <c r="D67" s="32" t="str">
        <f t="shared" si="17"/>
        <v>No Gs</v>
      </c>
      <c r="E67" s="32">
        <f t="shared" ref="E67:E130" si="21">C67/(IF(O67&gt;1000,998,62.4))</f>
        <v>0</v>
      </c>
      <c r="F67" s="32" t="str">
        <f t="shared" ref="F67:F130" si="22">IFERROR(1-D67-E67,"No Gs")</f>
        <v>No Gs</v>
      </c>
      <c r="G67" s="32" t="str">
        <f t="shared" ref="G67:G130" si="23">IFERROR(E67+F67,"No Gs")</f>
        <v>No Gs</v>
      </c>
      <c r="H67" s="32" t="str">
        <f t="shared" si="14"/>
        <v>Gs is needed</v>
      </c>
      <c r="I67" s="32" t="str">
        <f t="shared" si="15"/>
        <v>Gs is needed</v>
      </c>
      <c r="J67" s="32" t="str">
        <f t="shared" si="16"/>
        <v>Gs is needed</v>
      </c>
      <c r="K67" s="32" t="str">
        <f t="shared" si="18"/>
        <v>Need Max and Min</v>
      </c>
      <c r="L67" s="32" t="str">
        <f t="shared" si="19"/>
        <v>Need Max and Min</v>
      </c>
      <c r="M67" s="32" t="str">
        <f t="shared" si="20"/>
        <v>Fail</v>
      </c>
      <c r="N67" s="32"/>
      <c r="O67" s="31">
        <f>'mnt Data'!A70</f>
        <v>0</v>
      </c>
      <c r="P67" s="31">
        <f>'mnt Data'!B70</f>
        <v>0</v>
      </c>
      <c r="Q67" s="31">
        <f>'mnt Data'!C70</f>
        <v>0</v>
      </c>
      <c r="R67" s="31">
        <f>'mnt Data'!D70</f>
        <v>0</v>
      </c>
      <c r="S67" s="31">
        <f>'mnt Data'!E70</f>
        <v>0</v>
      </c>
      <c r="T67" s="31">
        <f>'mnt Data'!F70</f>
        <v>0</v>
      </c>
      <c r="U67" s="31">
        <f>'mnt Data'!G70</f>
        <v>0</v>
      </c>
      <c r="V67" s="31">
        <f>'mnt Data'!H70</f>
        <v>0</v>
      </c>
      <c r="W67" s="31">
        <f>'mnt Data'!I70</f>
        <v>0</v>
      </c>
      <c r="X67" s="31">
        <f>'mnt Data'!J70</f>
        <v>0</v>
      </c>
      <c r="Y67" s="31">
        <f>'mnt Data'!K70</f>
        <v>0</v>
      </c>
      <c r="Z67" s="31">
        <f>'mnt Data'!L70</f>
        <v>0</v>
      </c>
      <c r="AA67" s="31">
        <f>'mnt Data'!M70</f>
        <v>0</v>
      </c>
      <c r="AB67" s="31">
        <f>'mnt Data'!N70</f>
        <v>0</v>
      </c>
      <c r="AC67" s="31">
        <f>'mnt Data'!O70</f>
        <v>0</v>
      </c>
      <c r="AD67" s="31">
        <f>'mnt Data'!P70</f>
        <v>0</v>
      </c>
      <c r="AE67" s="31">
        <f>'mnt Data'!Q70</f>
        <v>0</v>
      </c>
      <c r="AF67" s="31">
        <f>'mnt Data'!R70</f>
        <v>0</v>
      </c>
      <c r="AG67" s="31">
        <f>'mnt Data'!S70</f>
        <v>0</v>
      </c>
      <c r="AH67" s="31">
        <f>'mnt Data'!T70</f>
        <v>0</v>
      </c>
      <c r="AI67" s="31">
        <f>'mnt Data'!U70</f>
        <v>0</v>
      </c>
      <c r="AJ67" s="31">
        <f>'mnt Data'!V70</f>
        <v>0</v>
      </c>
      <c r="AK67" s="31">
        <f>'mnt Data'!W70</f>
        <v>0</v>
      </c>
      <c r="AL67" s="31">
        <f>'mnt Data'!X70</f>
        <v>0</v>
      </c>
      <c r="AM67" s="31">
        <f>'mnt Data'!Y70</f>
        <v>0</v>
      </c>
      <c r="AN67" s="31">
        <f>'mnt Data'!Z70</f>
        <v>0</v>
      </c>
      <c r="AO67" s="31">
        <f>'mnt Data'!AA70</f>
        <v>0</v>
      </c>
      <c r="AP67" s="31">
        <f>'mnt Data'!AB70</f>
        <v>0</v>
      </c>
      <c r="AQ67" s="31">
        <f>'mnt Data'!AC70</f>
        <v>0</v>
      </c>
      <c r="AR67" s="31">
        <f>'mnt Data'!AD70</f>
        <v>0</v>
      </c>
      <c r="AS67" s="31">
        <f>'mnt Data'!AE70</f>
        <v>0</v>
      </c>
      <c r="AT67" s="31">
        <f>'mnt Data'!AF70</f>
        <v>0</v>
      </c>
      <c r="AU67" s="31">
        <f>'mnt Data'!AG70</f>
        <v>0</v>
      </c>
      <c r="AV67" s="31">
        <f>'mnt Data'!AH70</f>
        <v>0</v>
      </c>
      <c r="AW67" s="31">
        <f>'mnt Data'!AI70</f>
        <v>0</v>
      </c>
      <c r="AX67" s="31">
        <f>'mnt Data'!AJ70</f>
        <v>0</v>
      </c>
      <c r="AY67" s="31">
        <f>'mnt Data'!AK70</f>
        <v>0</v>
      </c>
    </row>
    <row r="68" spans="1:51" x14ac:dyDescent="0.25">
      <c r="A68">
        <v>67</v>
      </c>
      <c r="B68" s="32">
        <f t="shared" si="12"/>
        <v>0</v>
      </c>
      <c r="C68" s="32">
        <f t="shared" si="13"/>
        <v>0</v>
      </c>
      <c r="D68" s="32" t="str">
        <f t="shared" si="17"/>
        <v>No Gs</v>
      </c>
      <c r="E68" s="32">
        <f t="shared" si="21"/>
        <v>0</v>
      </c>
      <c r="F68" s="32" t="str">
        <f t="shared" si="22"/>
        <v>No Gs</v>
      </c>
      <c r="G68" s="32" t="str">
        <f t="shared" si="23"/>
        <v>No Gs</v>
      </c>
      <c r="H68" s="32" t="str">
        <f t="shared" si="14"/>
        <v>Gs is needed</v>
      </c>
      <c r="I68" s="32" t="str">
        <f t="shared" si="15"/>
        <v>Gs is needed</v>
      </c>
      <c r="J68" s="32" t="str">
        <f t="shared" si="16"/>
        <v>Gs is needed</v>
      </c>
      <c r="K68" s="32" t="str">
        <f t="shared" si="18"/>
        <v>Need Max and Min</v>
      </c>
      <c r="L68" s="32" t="str">
        <f t="shared" si="19"/>
        <v>Need Max and Min</v>
      </c>
      <c r="M68" s="32" t="str">
        <f t="shared" si="20"/>
        <v>Fail</v>
      </c>
      <c r="N68" s="32"/>
      <c r="O68" s="31">
        <f>'mnt Data'!A71</f>
        <v>0</v>
      </c>
      <c r="P68" s="31">
        <f>'mnt Data'!B71</f>
        <v>0</v>
      </c>
      <c r="Q68" s="31">
        <f>'mnt Data'!C71</f>
        <v>0</v>
      </c>
      <c r="R68" s="31">
        <f>'mnt Data'!D71</f>
        <v>0</v>
      </c>
      <c r="S68" s="31">
        <f>'mnt Data'!E71</f>
        <v>0</v>
      </c>
      <c r="T68" s="31">
        <f>'mnt Data'!F71</f>
        <v>0</v>
      </c>
      <c r="U68" s="31">
        <f>'mnt Data'!G71</f>
        <v>0</v>
      </c>
      <c r="V68" s="31">
        <f>'mnt Data'!H71</f>
        <v>0</v>
      </c>
      <c r="W68" s="31">
        <f>'mnt Data'!I71</f>
        <v>0</v>
      </c>
      <c r="X68" s="31">
        <f>'mnt Data'!J71</f>
        <v>0</v>
      </c>
      <c r="Y68" s="31">
        <f>'mnt Data'!K71</f>
        <v>0</v>
      </c>
      <c r="Z68" s="31">
        <f>'mnt Data'!L71</f>
        <v>0</v>
      </c>
      <c r="AA68" s="31">
        <f>'mnt Data'!M71</f>
        <v>0</v>
      </c>
      <c r="AB68" s="31">
        <f>'mnt Data'!N71</f>
        <v>0</v>
      </c>
      <c r="AC68" s="31">
        <f>'mnt Data'!O71</f>
        <v>0</v>
      </c>
      <c r="AD68" s="31">
        <f>'mnt Data'!P71</f>
        <v>0</v>
      </c>
      <c r="AE68" s="31">
        <f>'mnt Data'!Q71</f>
        <v>0</v>
      </c>
      <c r="AF68" s="31">
        <f>'mnt Data'!R71</f>
        <v>0</v>
      </c>
      <c r="AG68" s="31">
        <f>'mnt Data'!S71</f>
        <v>0</v>
      </c>
      <c r="AH68" s="31">
        <f>'mnt Data'!T71</f>
        <v>0</v>
      </c>
      <c r="AI68" s="31">
        <f>'mnt Data'!U71</f>
        <v>0</v>
      </c>
      <c r="AJ68" s="31">
        <f>'mnt Data'!V71</f>
        <v>0</v>
      </c>
      <c r="AK68" s="31">
        <f>'mnt Data'!W71</f>
        <v>0</v>
      </c>
      <c r="AL68" s="31">
        <f>'mnt Data'!X71</f>
        <v>0</v>
      </c>
      <c r="AM68" s="31">
        <f>'mnt Data'!Y71</f>
        <v>0</v>
      </c>
      <c r="AN68" s="31">
        <f>'mnt Data'!Z71</f>
        <v>0</v>
      </c>
      <c r="AO68" s="31">
        <f>'mnt Data'!AA71</f>
        <v>0</v>
      </c>
      <c r="AP68" s="31">
        <f>'mnt Data'!AB71</f>
        <v>0</v>
      </c>
      <c r="AQ68" s="31">
        <f>'mnt Data'!AC71</f>
        <v>0</v>
      </c>
      <c r="AR68" s="31">
        <f>'mnt Data'!AD71</f>
        <v>0</v>
      </c>
      <c r="AS68" s="31">
        <f>'mnt Data'!AE71</f>
        <v>0</v>
      </c>
      <c r="AT68" s="31">
        <f>'mnt Data'!AF71</f>
        <v>0</v>
      </c>
      <c r="AU68" s="31">
        <f>'mnt Data'!AG71</f>
        <v>0</v>
      </c>
      <c r="AV68" s="31">
        <f>'mnt Data'!AH71</f>
        <v>0</v>
      </c>
      <c r="AW68" s="31">
        <f>'mnt Data'!AI71</f>
        <v>0</v>
      </c>
      <c r="AX68" s="31">
        <f>'mnt Data'!AJ71</f>
        <v>0</v>
      </c>
      <c r="AY68" s="31">
        <f>'mnt Data'!AK71</f>
        <v>0</v>
      </c>
    </row>
    <row r="69" spans="1:51" x14ac:dyDescent="0.25">
      <c r="A69">
        <v>68</v>
      </c>
      <c r="B69" s="32">
        <f t="shared" si="12"/>
        <v>0</v>
      </c>
      <c r="C69" s="32">
        <f t="shared" si="13"/>
        <v>0</v>
      </c>
      <c r="D69" s="32" t="str">
        <f t="shared" si="17"/>
        <v>No Gs</v>
      </c>
      <c r="E69" s="32">
        <f t="shared" si="21"/>
        <v>0</v>
      </c>
      <c r="F69" s="32" t="str">
        <f t="shared" si="22"/>
        <v>No Gs</v>
      </c>
      <c r="G69" s="32" t="str">
        <f t="shared" si="23"/>
        <v>No Gs</v>
      </c>
      <c r="H69" s="32" t="str">
        <f t="shared" si="14"/>
        <v>Gs is needed</v>
      </c>
      <c r="I69" s="32" t="str">
        <f t="shared" si="15"/>
        <v>Gs is needed</v>
      </c>
      <c r="J69" s="32" t="str">
        <f t="shared" si="16"/>
        <v>Gs is needed</v>
      </c>
      <c r="K69" s="32" t="str">
        <f t="shared" si="18"/>
        <v>Need Max and Min</v>
      </c>
      <c r="L69" s="32" t="str">
        <f t="shared" si="19"/>
        <v>Need Max and Min</v>
      </c>
      <c r="M69" s="32" t="str">
        <f t="shared" si="20"/>
        <v>Fail</v>
      </c>
      <c r="N69" s="32"/>
      <c r="O69" s="31">
        <f>'mnt Data'!A72</f>
        <v>0</v>
      </c>
      <c r="P69" s="31">
        <f>'mnt Data'!B72</f>
        <v>0</v>
      </c>
      <c r="Q69" s="31">
        <f>'mnt Data'!C72</f>
        <v>0</v>
      </c>
      <c r="R69" s="31">
        <f>'mnt Data'!D72</f>
        <v>0</v>
      </c>
      <c r="S69" s="31">
        <f>'mnt Data'!E72</f>
        <v>0</v>
      </c>
      <c r="T69" s="31">
        <f>'mnt Data'!F72</f>
        <v>0</v>
      </c>
      <c r="U69" s="31">
        <f>'mnt Data'!G72</f>
        <v>0</v>
      </c>
      <c r="V69" s="31">
        <f>'mnt Data'!H72</f>
        <v>0</v>
      </c>
      <c r="W69" s="31">
        <f>'mnt Data'!I72</f>
        <v>0</v>
      </c>
      <c r="X69" s="31">
        <f>'mnt Data'!J72</f>
        <v>0</v>
      </c>
      <c r="Y69" s="31">
        <f>'mnt Data'!K72</f>
        <v>0</v>
      </c>
      <c r="Z69" s="31">
        <f>'mnt Data'!L72</f>
        <v>0</v>
      </c>
      <c r="AA69" s="31">
        <f>'mnt Data'!M72</f>
        <v>0</v>
      </c>
      <c r="AB69" s="31">
        <f>'mnt Data'!N72</f>
        <v>0</v>
      </c>
      <c r="AC69" s="31">
        <f>'mnt Data'!O72</f>
        <v>0</v>
      </c>
      <c r="AD69" s="31">
        <f>'mnt Data'!P72</f>
        <v>0</v>
      </c>
      <c r="AE69" s="31">
        <f>'mnt Data'!Q72</f>
        <v>0</v>
      </c>
      <c r="AF69" s="31">
        <f>'mnt Data'!R72</f>
        <v>0</v>
      </c>
      <c r="AG69" s="31">
        <f>'mnt Data'!S72</f>
        <v>0</v>
      </c>
      <c r="AH69" s="31">
        <f>'mnt Data'!T72</f>
        <v>0</v>
      </c>
      <c r="AI69" s="31">
        <f>'mnt Data'!U72</f>
        <v>0</v>
      </c>
      <c r="AJ69" s="31">
        <f>'mnt Data'!V72</f>
        <v>0</v>
      </c>
      <c r="AK69" s="31">
        <f>'mnt Data'!W72</f>
        <v>0</v>
      </c>
      <c r="AL69" s="31">
        <f>'mnt Data'!X72</f>
        <v>0</v>
      </c>
      <c r="AM69" s="31">
        <f>'mnt Data'!Y72</f>
        <v>0</v>
      </c>
      <c r="AN69" s="31">
        <f>'mnt Data'!Z72</f>
        <v>0</v>
      </c>
      <c r="AO69" s="31">
        <f>'mnt Data'!AA72</f>
        <v>0</v>
      </c>
      <c r="AP69" s="31">
        <f>'mnt Data'!AB72</f>
        <v>0</v>
      </c>
      <c r="AQ69" s="31">
        <f>'mnt Data'!AC72</f>
        <v>0</v>
      </c>
      <c r="AR69" s="31">
        <f>'mnt Data'!AD72</f>
        <v>0</v>
      </c>
      <c r="AS69" s="31">
        <f>'mnt Data'!AE72</f>
        <v>0</v>
      </c>
      <c r="AT69" s="31">
        <f>'mnt Data'!AF72</f>
        <v>0</v>
      </c>
      <c r="AU69" s="31">
        <f>'mnt Data'!AG72</f>
        <v>0</v>
      </c>
      <c r="AV69" s="31">
        <f>'mnt Data'!AH72</f>
        <v>0</v>
      </c>
      <c r="AW69" s="31">
        <f>'mnt Data'!AI72</f>
        <v>0</v>
      </c>
      <c r="AX69" s="31">
        <f>'mnt Data'!AJ72</f>
        <v>0</v>
      </c>
      <c r="AY69" s="31">
        <f>'mnt Data'!AK72</f>
        <v>0</v>
      </c>
    </row>
    <row r="70" spans="1:51" x14ac:dyDescent="0.25">
      <c r="A70">
        <v>69</v>
      </c>
      <c r="B70" s="32">
        <f t="shared" si="12"/>
        <v>0</v>
      </c>
      <c r="C70" s="32">
        <f t="shared" si="13"/>
        <v>0</v>
      </c>
      <c r="D70" s="32" t="str">
        <f t="shared" si="17"/>
        <v>No Gs</v>
      </c>
      <c r="E70" s="32">
        <f t="shared" si="21"/>
        <v>0</v>
      </c>
      <c r="F70" s="32" t="str">
        <f t="shared" si="22"/>
        <v>No Gs</v>
      </c>
      <c r="G70" s="32" t="str">
        <f t="shared" si="23"/>
        <v>No Gs</v>
      </c>
      <c r="H70" s="32" t="str">
        <f t="shared" si="14"/>
        <v>Gs is needed</v>
      </c>
      <c r="I70" s="32" t="str">
        <f t="shared" si="15"/>
        <v>Gs is needed</v>
      </c>
      <c r="J70" s="32" t="str">
        <f t="shared" si="16"/>
        <v>Gs is needed</v>
      </c>
      <c r="K70" s="32" t="str">
        <f t="shared" si="18"/>
        <v>Need Max and Min</v>
      </c>
      <c r="L70" s="32" t="str">
        <f t="shared" si="19"/>
        <v>Need Max and Min</v>
      </c>
      <c r="M70" s="32" t="str">
        <f t="shared" si="20"/>
        <v>Fail</v>
      </c>
      <c r="N70" s="32"/>
      <c r="O70" s="31">
        <f>'mnt Data'!A73</f>
        <v>0</v>
      </c>
      <c r="P70" s="31">
        <f>'mnt Data'!B73</f>
        <v>0</v>
      </c>
      <c r="Q70" s="31">
        <f>'mnt Data'!C73</f>
        <v>0</v>
      </c>
      <c r="R70" s="31">
        <f>'mnt Data'!D73</f>
        <v>0</v>
      </c>
      <c r="S70" s="31">
        <f>'mnt Data'!E73</f>
        <v>0</v>
      </c>
      <c r="T70" s="31">
        <f>'mnt Data'!F73</f>
        <v>0</v>
      </c>
      <c r="U70" s="31">
        <f>'mnt Data'!G73</f>
        <v>0</v>
      </c>
      <c r="V70" s="31">
        <f>'mnt Data'!H73</f>
        <v>0</v>
      </c>
      <c r="W70" s="31">
        <f>'mnt Data'!I73</f>
        <v>0</v>
      </c>
      <c r="X70" s="31">
        <f>'mnt Data'!J73</f>
        <v>0</v>
      </c>
      <c r="Y70" s="31">
        <f>'mnt Data'!K73</f>
        <v>0</v>
      </c>
      <c r="Z70" s="31">
        <f>'mnt Data'!L73</f>
        <v>0</v>
      </c>
      <c r="AA70" s="31">
        <f>'mnt Data'!M73</f>
        <v>0</v>
      </c>
      <c r="AB70" s="31">
        <f>'mnt Data'!N73</f>
        <v>0</v>
      </c>
      <c r="AC70" s="31">
        <f>'mnt Data'!O73</f>
        <v>0</v>
      </c>
      <c r="AD70" s="31">
        <f>'mnt Data'!P73</f>
        <v>0</v>
      </c>
      <c r="AE70" s="31">
        <f>'mnt Data'!Q73</f>
        <v>0</v>
      </c>
      <c r="AF70" s="31">
        <f>'mnt Data'!R73</f>
        <v>0</v>
      </c>
      <c r="AG70" s="31">
        <f>'mnt Data'!S73</f>
        <v>0</v>
      </c>
      <c r="AH70" s="31">
        <f>'mnt Data'!T73</f>
        <v>0</v>
      </c>
      <c r="AI70" s="31">
        <f>'mnt Data'!U73</f>
        <v>0</v>
      </c>
      <c r="AJ70" s="31">
        <f>'mnt Data'!V73</f>
        <v>0</v>
      </c>
      <c r="AK70" s="31">
        <f>'mnt Data'!W73</f>
        <v>0</v>
      </c>
      <c r="AL70" s="31">
        <f>'mnt Data'!X73</f>
        <v>0</v>
      </c>
      <c r="AM70" s="31">
        <f>'mnt Data'!Y73</f>
        <v>0</v>
      </c>
      <c r="AN70" s="31">
        <f>'mnt Data'!Z73</f>
        <v>0</v>
      </c>
      <c r="AO70" s="31">
        <f>'mnt Data'!AA73</f>
        <v>0</v>
      </c>
      <c r="AP70" s="31">
        <f>'mnt Data'!AB73</f>
        <v>0</v>
      </c>
      <c r="AQ70" s="31">
        <f>'mnt Data'!AC73</f>
        <v>0</v>
      </c>
      <c r="AR70" s="31">
        <f>'mnt Data'!AD73</f>
        <v>0</v>
      </c>
      <c r="AS70" s="31">
        <f>'mnt Data'!AE73</f>
        <v>0</v>
      </c>
      <c r="AT70" s="31">
        <f>'mnt Data'!AF73</f>
        <v>0</v>
      </c>
      <c r="AU70" s="31">
        <f>'mnt Data'!AG73</f>
        <v>0</v>
      </c>
      <c r="AV70" s="31">
        <f>'mnt Data'!AH73</f>
        <v>0</v>
      </c>
      <c r="AW70" s="31">
        <f>'mnt Data'!AI73</f>
        <v>0</v>
      </c>
      <c r="AX70" s="31">
        <f>'mnt Data'!AJ73</f>
        <v>0</v>
      </c>
      <c r="AY70" s="31">
        <f>'mnt Data'!AK73</f>
        <v>0</v>
      </c>
    </row>
    <row r="71" spans="1:51" x14ac:dyDescent="0.25">
      <c r="A71">
        <v>70</v>
      </c>
      <c r="B71" s="32">
        <f t="shared" si="12"/>
        <v>0</v>
      </c>
      <c r="C71" s="32">
        <f t="shared" si="13"/>
        <v>0</v>
      </c>
      <c r="D71" s="32" t="str">
        <f t="shared" si="17"/>
        <v>No Gs</v>
      </c>
      <c r="E71" s="32">
        <f t="shared" si="21"/>
        <v>0</v>
      </c>
      <c r="F71" s="32" t="str">
        <f t="shared" si="22"/>
        <v>No Gs</v>
      </c>
      <c r="G71" s="32" t="str">
        <f t="shared" si="23"/>
        <v>No Gs</v>
      </c>
      <c r="H71" s="32" t="str">
        <f t="shared" si="14"/>
        <v>Gs is needed</v>
      </c>
      <c r="I71" s="32" t="str">
        <f t="shared" si="15"/>
        <v>Gs is needed</v>
      </c>
      <c r="J71" s="32" t="str">
        <f t="shared" si="16"/>
        <v>Gs is needed</v>
      </c>
      <c r="K71" s="32" t="str">
        <f t="shared" si="18"/>
        <v>Need Max and Min</v>
      </c>
      <c r="L71" s="32" t="str">
        <f t="shared" si="19"/>
        <v>Need Max and Min</v>
      </c>
      <c r="M71" s="32" t="str">
        <f t="shared" si="20"/>
        <v>Fail</v>
      </c>
      <c r="N71" s="32"/>
      <c r="O71" s="31">
        <f>'mnt Data'!A74</f>
        <v>0</v>
      </c>
      <c r="P71" s="31">
        <f>'mnt Data'!B74</f>
        <v>0</v>
      </c>
      <c r="Q71" s="31">
        <f>'mnt Data'!C74</f>
        <v>0</v>
      </c>
      <c r="R71" s="31">
        <f>'mnt Data'!D74</f>
        <v>0</v>
      </c>
      <c r="S71" s="31">
        <f>'mnt Data'!E74</f>
        <v>0</v>
      </c>
      <c r="T71" s="31">
        <f>'mnt Data'!F74</f>
        <v>0</v>
      </c>
      <c r="U71" s="31">
        <f>'mnt Data'!G74</f>
        <v>0</v>
      </c>
      <c r="V71" s="31">
        <f>'mnt Data'!H74</f>
        <v>0</v>
      </c>
      <c r="W71" s="31">
        <f>'mnt Data'!I74</f>
        <v>0</v>
      </c>
      <c r="X71" s="31">
        <f>'mnt Data'!J74</f>
        <v>0</v>
      </c>
      <c r="Y71" s="31">
        <f>'mnt Data'!K74</f>
        <v>0</v>
      </c>
      <c r="Z71" s="31">
        <f>'mnt Data'!L74</f>
        <v>0</v>
      </c>
      <c r="AA71" s="31">
        <f>'mnt Data'!M74</f>
        <v>0</v>
      </c>
      <c r="AB71" s="31">
        <f>'mnt Data'!N74</f>
        <v>0</v>
      </c>
      <c r="AC71" s="31">
        <f>'mnt Data'!O74</f>
        <v>0</v>
      </c>
      <c r="AD71" s="31">
        <f>'mnt Data'!P74</f>
        <v>0</v>
      </c>
      <c r="AE71" s="31">
        <f>'mnt Data'!Q74</f>
        <v>0</v>
      </c>
      <c r="AF71" s="31">
        <f>'mnt Data'!R74</f>
        <v>0</v>
      </c>
      <c r="AG71" s="31">
        <f>'mnt Data'!S74</f>
        <v>0</v>
      </c>
      <c r="AH71" s="31">
        <f>'mnt Data'!T74</f>
        <v>0</v>
      </c>
      <c r="AI71" s="31">
        <f>'mnt Data'!U74</f>
        <v>0</v>
      </c>
      <c r="AJ71" s="31">
        <f>'mnt Data'!V74</f>
        <v>0</v>
      </c>
      <c r="AK71" s="31">
        <f>'mnt Data'!W74</f>
        <v>0</v>
      </c>
      <c r="AL71" s="31">
        <f>'mnt Data'!X74</f>
        <v>0</v>
      </c>
      <c r="AM71" s="31">
        <f>'mnt Data'!Y74</f>
        <v>0</v>
      </c>
      <c r="AN71" s="31">
        <f>'mnt Data'!Z74</f>
        <v>0</v>
      </c>
      <c r="AO71" s="31">
        <f>'mnt Data'!AA74</f>
        <v>0</v>
      </c>
      <c r="AP71" s="31">
        <f>'mnt Data'!AB74</f>
        <v>0</v>
      </c>
      <c r="AQ71" s="31">
        <f>'mnt Data'!AC74</f>
        <v>0</v>
      </c>
      <c r="AR71" s="31">
        <f>'mnt Data'!AD74</f>
        <v>0</v>
      </c>
      <c r="AS71" s="31">
        <f>'mnt Data'!AE74</f>
        <v>0</v>
      </c>
      <c r="AT71" s="31">
        <f>'mnt Data'!AF74</f>
        <v>0</v>
      </c>
      <c r="AU71" s="31">
        <f>'mnt Data'!AG74</f>
        <v>0</v>
      </c>
      <c r="AV71" s="31">
        <f>'mnt Data'!AH74</f>
        <v>0</v>
      </c>
      <c r="AW71" s="31">
        <f>'mnt Data'!AI74</f>
        <v>0</v>
      </c>
      <c r="AX71" s="31">
        <f>'mnt Data'!AJ74</f>
        <v>0</v>
      </c>
      <c r="AY71" s="31">
        <f>'mnt Data'!AK74</f>
        <v>0</v>
      </c>
    </row>
    <row r="72" spans="1:51" x14ac:dyDescent="0.25">
      <c r="A72">
        <v>71</v>
      </c>
      <c r="B72" s="32">
        <f t="shared" si="12"/>
        <v>0</v>
      </c>
      <c r="C72" s="32">
        <f t="shared" si="13"/>
        <v>0</v>
      </c>
      <c r="D72" s="32" t="str">
        <f t="shared" si="17"/>
        <v>No Gs</v>
      </c>
      <c r="E72" s="32">
        <f t="shared" si="21"/>
        <v>0</v>
      </c>
      <c r="F72" s="32" t="str">
        <f t="shared" si="22"/>
        <v>No Gs</v>
      </c>
      <c r="G72" s="32" t="str">
        <f t="shared" si="23"/>
        <v>No Gs</v>
      </c>
      <c r="H72" s="32" t="str">
        <f t="shared" si="14"/>
        <v>Gs is needed</v>
      </c>
      <c r="I72" s="32" t="str">
        <f t="shared" si="15"/>
        <v>Gs is needed</v>
      </c>
      <c r="J72" s="32" t="str">
        <f t="shared" si="16"/>
        <v>Gs is needed</v>
      </c>
      <c r="K72" s="32" t="str">
        <f t="shared" si="18"/>
        <v>Need Max and Min</v>
      </c>
      <c r="L72" s="32" t="str">
        <f t="shared" si="19"/>
        <v>Need Max and Min</v>
      </c>
      <c r="M72" s="32" t="str">
        <f t="shared" si="20"/>
        <v>Fail</v>
      </c>
      <c r="N72" s="32"/>
      <c r="O72" s="31">
        <f>'mnt Data'!A75</f>
        <v>0</v>
      </c>
      <c r="P72" s="31">
        <f>'mnt Data'!B75</f>
        <v>0</v>
      </c>
      <c r="Q72" s="31">
        <f>'mnt Data'!C75</f>
        <v>0</v>
      </c>
      <c r="R72" s="31">
        <f>'mnt Data'!D75</f>
        <v>0</v>
      </c>
      <c r="S72" s="31">
        <f>'mnt Data'!E75</f>
        <v>0</v>
      </c>
      <c r="T72" s="31">
        <f>'mnt Data'!F75</f>
        <v>0</v>
      </c>
      <c r="U72" s="31">
        <f>'mnt Data'!G75</f>
        <v>0</v>
      </c>
      <c r="V72" s="31">
        <f>'mnt Data'!H75</f>
        <v>0</v>
      </c>
      <c r="W72" s="31">
        <f>'mnt Data'!I75</f>
        <v>0</v>
      </c>
      <c r="X72" s="31">
        <f>'mnt Data'!J75</f>
        <v>0</v>
      </c>
      <c r="Y72" s="31">
        <f>'mnt Data'!K75</f>
        <v>0</v>
      </c>
      <c r="Z72" s="31">
        <f>'mnt Data'!L75</f>
        <v>0</v>
      </c>
      <c r="AA72" s="31">
        <f>'mnt Data'!M75</f>
        <v>0</v>
      </c>
      <c r="AB72" s="31">
        <f>'mnt Data'!N75</f>
        <v>0</v>
      </c>
      <c r="AC72" s="31">
        <f>'mnt Data'!O75</f>
        <v>0</v>
      </c>
      <c r="AD72" s="31">
        <f>'mnt Data'!P75</f>
        <v>0</v>
      </c>
      <c r="AE72" s="31">
        <f>'mnt Data'!Q75</f>
        <v>0</v>
      </c>
      <c r="AF72" s="31">
        <f>'mnt Data'!R75</f>
        <v>0</v>
      </c>
      <c r="AG72" s="31">
        <f>'mnt Data'!S75</f>
        <v>0</v>
      </c>
      <c r="AH72" s="31">
        <f>'mnt Data'!T75</f>
        <v>0</v>
      </c>
      <c r="AI72" s="31">
        <f>'mnt Data'!U75</f>
        <v>0</v>
      </c>
      <c r="AJ72" s="31">
        <f>'mnt Data'!V75</f>
        <v>0</v>
      </c>
      <c r="AK72" s="31">
        <f>'mnt Data'!W75</f>
        <v>0</v>
      </c>
      <c r="AL72" s="31">
        <f>'mnt Data'!X75</f>
        <v>0</v>
      </c>
      <c r="AM72" s="31">
        <f>'mnt Data'!Y75</f>
        <v>0</v>
      </c>
      <c r="AN72" s="31">
        <f>'mnt Data'!Z75</f>
        <v>0</v>
      </c>
      <c r="AO72" s="31">
        <f>'mnt Data'!AA75</f>
        <v>0</v>
      </c>
      <c r="AP72" s="31">
        <f>'mnt Data'!AB75</f>
        <v>0</v>
      </c>
      <c r="AQ72" s="31">
        <f>'mnt Data'!AC75</f>
        <v>0</v>
      </c>
      <c r="AR72" s="31">
        <f>'mnt Data'!AD75</f>
        <v>0</v>
      </c>
      <c r="AS72" s="31">
        <f>'mnt Data'!AE75</f>
        <v>0</v>
      </c>
      <c r="AT72" s="31">
        <f>'mnt Data'!AF75</f>
        <v>0</v>
      </c>
      <c r="AU72" s="31">
        <f>'mnt Data'!AG75</f>
        <v>0</v>
      </c>
      <c r="AV72" s="31">
        <f>'mnt Data'!AH75</f>
        <v>0</v>
      </c>
      <c r="AW72" s="31">
        <f>'mnt Data'!AI75</f>
        <v>0</v>
      </c>
      <c r="AX72" s="31">
        <f>'mnt Data'!AJ75</f>
        <v>0</v>
      </c>
      <c r="AY72" s="31">
        <f>'mnt Data'!AK75</f>
        <v>0</v>
      </c>
    </row>
    <row r="73" spans="1:51" x14ac:dyDescent="0.25">
      <c r="A73">
        <v>72</v>
      </c>
      <c r="B73" s="32">
        <f t="shared" si="12"/>
        <v>0</v>
      </c>
      <c r="C73" s="32">
        <f t="shared" si="13"/>
        <v>0</v>
      </c>
      <c r="D73" s="32" t="str">
        <f t="shared" si="17"/>
        <v>No Gs</v>
      </c>
      <c r="E73" s="32">
        <f t="shared" si="21"/>
        <v>0</v>
      </c>
      <c r="F73" s="32" t="str">
        <f t="shared" si="22"/>
        <v>No Gs</v>
      </c>
      <c r="G73" s="32" t="str">
        <f t="shared" si="23"/>
        <v>No Gs</v>
      </c>
      <c r="H73" s="32" t="str">
        <f t="shared" si="14"/>
        <v>Gs is needed</v>
      </c>
      <c r="I73" s="32" t="str">
        <f t="shared" si="15"/>
        <v>Gs is needed</v>
      </c>
      <c r="J73" s="32" t="str">
        <f t="shared" si="16"/>
        <v>Gs is needed</v>
      </c>
      <c r="K73" s="32" t="str">
        <f t="shared" si="18"/>
        <v>Need Max and Min</v>
      </c>
      <c r="L73" s="32" t="str">
        <f t="shared" si="19"/>
        <v>Need Max and Min</v>
      </c>
      <c r="M73" s="32" t="str">
        <f t="shared" si="20"/>
        <v>Fail</v>
      </c>
      <c r="N73" s="32"/>
      <c r="O73" s="31">
        <f>'mnt Data'!A76</f>
        <v>0</v>
      </c>
      <c r="P73" s="31">
        <f>'mnt Data'!B76</f>
        <v>0</v>
      </c>
      <c r="Q73" s="31">
        <f>'mnt Data'!C76</f>
        <v>0</v>
      </c>
      <c r="R73" s="31">
        <f>'mnt Data'!D76</f>
        <v>0</v>
      </c>
      <c r="S73" s="31">
        <f>'mnt Data'!E76</f>
        <v>0</v>
      </c>
      <c r="T73" s="31">
        <f>'mnt Data'!F76</f>
        <v>0</v>
      </c>
      <c r="U73" s="31">
        <f>'mnt Data'!G76</f>
        <v>0</v>
      </c>
      <c r="V73" s="31">
        <f>'mnt Data'!H76</f>
        <v>0</v>
      </c>
      <c r="W73" s="31">
        <f>'mnt Data'!I76</f>
        <v>0</v>
      </c>
      <c r="X73" s="31">
        <f>'mnt Data'!J76</f>
        <v>0</v>
      </c>
      <c r="Y73" s="31">
        <f>'mnt Data'!K76</f>
        <v>0</v>
      </c>
      <c r="Z73" s="31">
        <f>'mnt Data'!L76</f>
        <v>0</v>
      </c>
      <c r="AA73" s="31">
        <f>'mnt Data'!M76</f>
        <v>0</v>
      </c>
      <c r="AB73" s="31">
        <f>'mnt Data'!N76</f>
        <v>0</v>
      </c>
      <c r="AC73" s="31">
        <f>'mnt Data'!O76</f>
        <v>0</v>
      </c>
      <c r="AD73" s="31">
        <f>'mnt Data'!P76</f>
        <v>0</v>
      </c>
      <c r="AE73" s="31">
        <f>'mnt Data'!Q76</f>
        <v>0</v>
      </c>
      <c r="AF73" s="31">
        <f>'mnt Data'!R76</f>
        <v>0</v>
      </c>
      <c r="AG73" s="31">
        <f>'mnt Data'!S76</f>
        <v>0</v>
      </c>
      <c r="AH73" s="31">
        <f>'mnt Data'!T76</f>
        <v>0</v>
      </c>
      <c r="AI73" s="31">
        <f>'mnt Data'!U76</f>
        <v>0</v>
      </c>
      <c r="AJ73" s="31">
        <f>'mnt Data'!V76</f>
        <v>0</v>
      </c>
      <c r="AK73" s="31">
        <f>'mnt Data'!W76</f>
        <v>0</v>
      </c>
      <c r="AL73" s="31">
        <f>'mnt Data'!X76</f>
        <v>0</v>
      </c>
      <c r="AM73" s="31">
        <f>'mnt Data'!Y76</f>
        <v>0</v>
      </c>
      <c r="AN73" s="31">
        <f>'mnt Data'!Z76</f>
        <v>0</v>
      </c>
      <c r="AO73" s="31">
        <f>'mnt Data'!AA76</f>
        <v>0</v>
      </c>
      <c r="AP73" s="31">
        <f>'mnt Data'!AB76</f>
        <v>0</v>
      </c>
      <c r="AQ73" s="31">
        <f>'mnt Data'!AC76</f>
        <v>0</v>
      </c>
      <c r="AR73" s="31">
        <f>'mnt Data'!AD76</f>
        <v>0</v>
      </c>
      <c r="AS73" s="31">
        <f>'mnt Data'!AE76</f>
        <v>0</v>
      </c>
      <c r="AT73" s="31">
        <f>'mnt Data'!AF76</f>
        <v>0</v>
      </c>
      <c r="AU73" s="31">
        <f>'mnt Data'!AG76</f>
        <v>0</v>
      </c>
      <c r="AV73" s="31">
        <f>'mnt Data'!AH76</f>
        <v>0</v>
      </c>
      <c r="AW73" s="31">
        <f>'mnt Data'!AI76</f>
        <v>0</v>
      </c>
      <c r="AX73" s="31">
        <f>'mnt Data'!AJ76</f>
        <v>0</v>
      </c>
      <c r="AY73" s="31">
        <f>'mnt Data'!AK76</f>
        <v>0</v>
      </c>
    </row>
    <row r="74" spans="1:51" x14ac:dyDescent="0.25">
      <c r="A74">
        <v>73</v>
      </c>
      <c r="B74" s="32">
        <f t="shared" si="12"/>
        <v>0</v>
      </c>
      <c r="C74" s="32">
        <f t="shared" si="13"/>
        <v>0</v>
      </c>
      <c r="D74" s="32" t="str">
        <f t="shared" si="17"/>
        <v>No Gs</v>
      </c>
      <c r="E74" s="32">
        <f t="shared" si="21"/>
        <v>0</v>
      </c>
      <c r="F74" s="32" t="str">
        <f t="shared" si="22"/>
        <v>No Gs</v>
      </c>
      <c r="G74" s="32" t="str">
        <f t="shared" si="23"/>
        <v>No Gs</v>
      </c>
      <c r="H74" s="32" t="str">
        <f t="shared" si="14"/>
        <v>Gs is needed</v>
      </c>
      <c r="I74" s="32" t="str">
        <f t="shared" si="15"/>
        <v>Gs is needed</v>
      </c>
      <c r="J74" s="32" t="str">
        <f t="shared" si="16"/>
        <v>Gs is needed</v>
      </c>
      <c r="K74" s="32" t="str">
        <f t="shared" si="18"/>
        <v>Need Max and Min</v>
      </c>
      <c r="L74" s="32" t="str">
        <f t="shared" si="19"/>
        <v>Need Max and Min</v>
      </c>
      <c r="M74" s="32" t="str">
        <f t="shared" si="20"/>
        <v>Fail</v>
      </c>
      <c r="N74" s="32"/>
      <c r="O74" s="31">
        <f>'mnt Data'!A77</f>
        <v>0</v>
      </c>
      <c r="P74" s="31">
        <f>'mnt Data'!B77</f>
        <v>0</v>
      </c>
      <c r="Q74" s="31">
        <f>'mnt Data'!C77</f>
        <v>0</v>
      </c>
      <c r="R74" s="31">
        <f>'mnt Data'!D77</f>
        <v>0</v>
      </c>
      <c r="S74" s="31">
        <f>'mnt Data'!E77</f>
        <v>0</v>
      </c>
      <c r="T74" s="31">
        <f>'mnt Data'!F77</f>
        <v>0</v>
      </c>
      <c r="U74" s="31">
        <f>'mnt Data'!G77</f>
        <v>0</v>
      </c>
      <c r="V74" s="31">
        <f>'mnt Data'!H77</f>
        <v>0</v>
      </c>
      <c r="W74" s="31">
        <f>'mnt Data'!I77</f>
        <v>0</v>
      </c>
      <c r="X74" s="31">
        <f>'mnt Data'!J77</f>
        <v>0</v>
      </c>
      <c r="Y74" s="31">
        <f>'mnt Data'!K77</f>
        <v>0</v>
      </c>
      <c r="Z74" s="31">
        <f>'mnt Data'!L77</f>
        <v>0</v>
      </c>
      <c r="AA74" s="31">
        <f>'mnt Data'!M77</f>
        <v>0</v>
      </c>
      <c r="AB74" s="31">
        <f>'mnt Data'!N77</f>
        <v>0</v>
      </c>
      <c r="AC74" s="31">
        <f>'mnt Data'!O77</f>
        <v>0</v>
      </c>
      <c r="AD74" s="31">
        <f>'mnt Data'!P77</f>
        <v>0</v>
      </c>
      <c r="AE74" s="31">
        <f>'mnt Data'!Q77</f>
        <v>0</v>
      </c>
      <c r="AF74" s="31">
        <f>'mnt Data'!R77</f>
        <v>0</v>
      </c>
      <c r="AG74" s="31">
        <f>'mnt Data'!S77</f>
        <v>0</v>
      </c>
      <c r="AH74" s="31">
        <f>'mnt Data'!T77</f>
        <v>0</v>
      </c>
      <c r="AI74" s="31">
        <f>'mnt Data'!U77</f>
        <v>0</v>
      </c>
      <c r="AJ74" s="31">
        <f>'mnt Data'!V77</f>
        <v>0</v>
      </c>
      <c r="AK74" s="31">
        <f>'mnt Data'!W77</f>
        <v>0</v>
      </c>
      <c r="AL74" s="31">
        <f>'mnt Data'!X77</f>
        <v>0</v>
      </c>
      <c r="AM74" s="31">
        <f>'mnt Data'!Y77</f>
        <v>0</v>
      </c>
      <c r="AN74" s="31">
        <f>'mnt Data'!Z77</f>
        <v>0</v>
      </c>
      <c r="AO74" s="31">
        <f>'mnt Data'!AA77</f>
        <v>0</v>
      </c>
      <c r="AP74" s="31">
        <f>'mnt Data'!AB77</f>
        <v>0</v>
      </c>
      <c r="AQ74" s="31">
        <f>'mnt Data'!AC77</f>
        <v>0</v>
      </c>
      <c r="AR74" s="31">
        <f>'mnt Data'!AD77</f>
        <v>0</v>
      </c>
      <c r="AS74" s="31">
        <f>'mnt Data'!AE77</f>
        <v>0</v>
      </c>
      <c r="AT74" s="31">
        <f>'mnt Data'!AF77</f>
        <v>0</v>
      </c>
      <c r="AU74" s="31">
        <f>'mnt Data'!AG77</f>
        <v>0</v>
      </c>
      <c r="AV74" s="31">
        <f>'mnt Data'!AH77</f>
        <v>0</v>
      </c>
      <c r="AW74" s="31">
        <f>'mnt Data'!AI77</f>
        <v>0</v>
      </c>
      <c r="AX74" s="31">
        <f>'mnt Data'!AJ77</f>
        <v>0</v>
      </c>
      <c r="AY74" s="31">
        <f>'mnt Data'!AK77</f>
        <v>0</v>
      </c>
    </row>
    <row r="75" spans="1:51" x14ac:dyDescent="0.25">
      <c r="A75">
        <v>74</v>
      </c>
      <c r="B75" s="32">
        <f t="shared" si="12"/>
        <v>0</v>
      </c>
      <c r="C75" s="32">
        <f t="shared" si="13"/>
        <v>0</v>
      </c>
      <c r="D75" s="32" t="str">
        <f t="shared" si="17"/>
        <v>No Gs</v>
      </c>
      <c r="E75" s="32">
        <f t="shared" si="21"/>
        <v>0</v>
      </c>
      <c r="F75" s="32" t="str">
        <f t="shared" si="22"/>
        <v>No Gs</v>
      </c>
      <c r="G75" s="32" t="str">
        <f t="shared" si="23"/>
        <v>No Gs</v>
      </c>
      <c r="H75" s="32" t="str">
        <f t="shared" si="14"/>
        <v>Gs is needed</v>
      </c>
      <c r="I75" s="32" t="str">
        <f t="shared" si="15"/>
        <v>Gs is needed</v>
      </c>
      <c r="J75" s="32" t="str">
        <f t="shared" si="16"/>
        <v>Gs is needed</v>
      </c>
      <c r="K75" s="32" t="str">
        <f t="shared" si="18"/>
        <v>Need Max and Min</v>
      </c>
      <c r="L75" s="32" t="str">
        <f t="shared" si="19"/>
        <v>Need Max and Min</v>
      </c>
      <c r="M75" s="32" t="str">
        <f t="shared" si="20"/>
        <v>Fail</v>
      </c>
      <c r="N75" s="32"/>
      <c r="O75" s="31">
        <f>'mnt Data'!A78</f>
        <v>0</v>
      </c>
      <c r="P75" s="31">
        <f>'mnt Data'!B78</f>
        <v>0</v>
      </c>
      <c r="Q75" s="31">
        <f>'mnt Data'!C78</f>
        <v>0</v>
      </c>
      <c r="R75" s="31">
        <f>'mnt Data'!D78</f>
        <v>0</v>
      </c>
      <c r="S75" s="31">
        <f>'mnt Data'!E78</f>
        <v>0</v>
      </c>
      <c r="T75" s="31">
        <f>'mnt Data'!F78</f>
        <v>0</v>
      </c>
      <c r="U75" s="31">
        <f>'mnt Data'!G78</f>
        <v>0</v>
      </c>
      <c r="V75" s="31">
        <f>'mnt Data'!H78</f>
        <v>0</v>
      </c>
      <c r="W75" s="31">
        <f>'mnt Data'!I78</f>
        <v>0</v>
      </c>
      <c r="X75" s="31">
        <f>'mnt Data'!J78</f>
        <v>0</v>
      </c>
      <c r="Y75" s="31">
        <f>'mnt Data'!K78</f>
        <v>0</v>
      </c>
      <c r="Z75" s="31">
        <f>'mnt Data'!L78</f>
        <v>0</v>
      </c>
      <c r="AA75" s="31">
        <f>'mnt Data'!M78</f>
        <v>0</v>
      </c>
      <c r="AB75" s="31">
        <f>'mnt Data'!N78</f>
        <v>0</v>
      </c>
      <c r="AC75" s="31">
        <f>'mnt Data'!O78</f>
        <v>0</v>
      </c>
      <c r="AD75" s="31">
        <f>'mnt Data'!P78</f>
        <v>0</v>
      </c>
      <c r="AE75" s="31">
        <f>'mnt Data'!Q78</f>
        <v>0</v>
      </c>
      <c r="AF75" s="31">
        <f>'mnt Data'!R78</f>
        <v>0</v>
      </c>
      <c r="AG75" s="31">
        <f>'mnt Data'!S78</f>
        <v>0</v>
      </c>
      <c r="AH75" s="31">
        <f>'mnt Data'!T78</f>
        <v>0</v>
      </c>
      <c r="AI75" s="31">
        <f>'mnt Data'!U78</f>
        <v>0</v>
      </c>
      <c r="AJ75" s="31">
        <f>'mnt Data'!V78</f>
        <v>0</v>
      </c>
      <c r="AK75" s="31">
        <f>'mnt Data'!W78</f>
        <v>0</v>
      </c>
      <c r="AL75" s="31">
        <f>'mnt Data'!X78</f>
        <v>0</v>
      </c>
      <c r="AM75" s="31">
        <f>'mnt Data'!Y78</f>
        <v>0</v>
      </c>
      <c r="AN75" s="31">
        <f>'mnt Data'!Z78</f>
        <v>0</v>
      </c>
      <c r="AO75" s="31">
        <f>'mnt Data'!AA78</f>
        <v>0</v>
      </c>
      <c r="AP75" s="31">
        <f>'mnt Data'!AB78</f>
        <v>0</v>
      </c>
      <c r="AQ75" s="31">
        <f>'mnt Data'!AC78</f>
        <v>0</v>
      </c>
      <c r="AR75" s="31">
        <f>'mnt Data'!AD78</f>
        <v>0</v>
      </c>
      <c r="AS75" s="31">
        <f>'mnt Data'!AE78</f>
        <v>0</v>
      </c>
      <c r="AT75" s="31">
        <f>'mnt Data'!AF78</f>
        <v>0</v>
      </c>
      <c r="AU75" s="31">
        <f>'mnt Data'!AG78</f>
        <v>0</v>
      </c>
      <c r="AV75" s="31">
        <f>'mnt Data'!AH78</f>
        <v>0</v>
      </c>
      <c r="AW75" s="31">
        <f>'mnt Data'!AI78</f>
        <v>0</v>
      </c>
      <c r="AX75" s="31">
        <f>'mnt Data'!AJ78</f>
        <v>0</v>
      </c>
      <c r="AY75" s="31">
        <f>'mnt Data'!AK78</f>
        <v>0</v>
      </c>
    </row>
    <row r="76" spans="1:51" x14ac:dyDescent="0.25">
      <c r="A76">
        <v>75</v>
      </c>
      <c r="B76" s="32">
        <f t="shared" si="12"/>
        <v>0</v>
      </c>
      <c r="C76" s="32">
        <f t="shared" si="13"/>
        <v>0</v>
      </c>
      <c r="D76" s="32" t="str">
        <f t="shared" si="17"/>
        <v>No Gs</v>
      </c>
      <c r="E76" s="32">
        <f t="shared" si="21"/>
        <v>0</v>
      </c>
      <c r="F76" s="32" t="str">
        <f t="shared" si="22"/>
        <v>No Gs</v>
      </c>
      <c r="G76" s="32" t="str">
        <f t="shared" si="23"/>
        <v>No Gs</v>
      </c>
      <c r="H76" s="32" t="str">
        <f t="shared" si="14"/>
        <v>Gs is needed</v>
      </c>
      <c r="I76" s="32" t="str">
        <f t="shared" si="15"/>
        <v>Gs is needed</v>
      </c>
      <c r="J76" s="32" t="str">
        <f t="shared" si="16"/>
        <v>Gs is needed</v>
      </c>
      <c r="K76" s="32" t="str">
        <f t="shared" si="18"/>
        <v>Need Max and Min</v>
      </c>
      <c r="L76" s="32" t="str">
        <f t="shared" si="19"/>
        <v>Need Max and Min</v>
      </c>
      <c r="M76" s="32" t="str">
        <f t="shared" si="20"/>
        <v>Fail</v>
      </c>
      <c r="N76" s="32"/>
      <c r="O76" s="31">
        <f>'mnt Data'!A79</f>
        <v>0</v>
      </c>
      <c r="P76" s="31">
        <f>'mnt Data'!B79</f>
        <v>0</v>
      </c>
      <c r="Q76" s="31">
        <f>'mnt Data'!C79</f>
        <v>0</v>
      </c>
      <c r="R76" s="31">
        <f>'mnt Data'!D79</f>
        <v>0</v>
      </c>
      <c r="S76" s="31">
        <f>'mnt Data'!E79</f>
        <v>0</v>
      </c>
      <c r="T76" s="31">
        <f>'mnt Data'!F79</f>
        <v>0</v>
      </c>
      <c r="U76" s="31">
        <f>'mnt Data'!G79</f>
        <v>0</v>
      </c>
      <c r="V76" s="31">
        <f>'mnt Data'!H79</f>
        <v>0</v>
      </c>
      <c r="W76" s="31">
        <f>'mnt Data'!I79</f>
        <v>0</v>
      </c>
      <c r="X76" s="31">
        <f>'mnt Data'!J79</f>
        <v>0</v>
      </c>
      <c r="Y76" s="31">
        <f>'mnt Data'!K79</f>
        <v>0</v>
      </c>
      <c r="Z76" s="31">
        <f>'mnt Data'!L79</f>
        <v>0</v>
      </c>
      <c r="AA76" s="31">
        <f>'mnt Data'!M79</f>
        <v>0</v>
      </c>
      <c r="AB76" s="31">
        <f>'mnt Data'!N79</f>
        <v>0</v>
      </c>
      <c r="AC76" s="31">
        <f>'mnt Data'!O79</f>
        <v>0</v>
      </c>
      <c r="AD76" s="31">
        <f>'mnt Data'!P79</f>
        <v>0</v>
      </c>
      <c r="AE76" s="31">
        <f>'mnt Data'!Q79</f>
        <v>0</v>
      </c>
      <c r="AF76" s="31">
        <f>'mnt Data'!R79</f>
        <v>0</v>
      </c>
      <c r="AG76" s="31">
        <f>'mnt Data'!S79</f>
        <v>0</v>
      </c>
      <c r="AH76" s="31">
        <f>'mnt Data'!T79</f>
        <v>0</v>
      </c>
      <c r="AI76" s="31">
        <f>'mnt Data'!U79</f>
        <v>0</v>
      </c>
      <c r="AJ76" s="31">
        <f>'mnt Data'!V79</f>
        <v>0</v>
      </c>
      <c r="AK76" s="31">
        <f>'mnt Data'!W79</f>
        <v>0</v>
      </c>
      <c r="AL76" s="31">
        <f>'mnt Data'!X79</f>
        <v>0</v>
      </c>
      <c r="AM76" s="31">
        <f>'mnt Data'!Y79</f>
        <v>0</v>
      </c>
      <c r="AN76" s="31">
        <f>'mnt Data'!Z79</f>
        <v>0</v>
      </c>
      <c r="AO76" s="31">
        <f>'mnt Data'!AA79</f>
        <v>0</v>
      </c>
      <c r="AP76" s="31">
        <f>'mnt Data'!AB79</f>
        <v>0</v>
      </c>
      <c r="AQ76" s="31">
        <f>'mnt Data'!AC79</f>
        <v>0</v>
      </c>
      <c r="AR76" s="31">
        <f>'mnt Data'!AD79</f>
        <v>0</v>
      </c>
      <c r="AS76" s="31">
        <f>'mnt Data'!AE79</f>
        <v>0</v>
      </c>
      <c r="AT76" s="31">
        <f>'mnt Data'!AF79</f>
        <v>0</v>
      </c>
      <c r="AU76" s="31">
        <f>'mnt Data'!AG79</f>
        <v>0</v>
      </c>
      <c r="AV76" s="31">
        <f>'mnt Data'!AH79</f>
        <v>0</v>
      </c>
      <c r="AW76" s="31">
        <f>'mnt Data'!AI79</f>
        <v>0</v>
      </c>
      <c r="AX76" s="31">
        <f>'mnt Data'!AJ79</f>
        <v>0</v>
      </c>
      <c r="AY76" s="31">
        <f>'mnt Data'!AK79</f>
        <v>0</v>
      </c>
    </row>
    <row r="77" spans="1:51" x14ac:dyDescent="0.25">
      <c r="A77">
        <v>76</v>
      </c>
      <c r="B77" s="32">
        <f t="shared" si="12"/>
        <v>0</v>
      </c>
      <c r="C77" s="32">
        <f t="shared" si="13"/>
        <v>0</v>
      </c>
      <c r="D77" s="32" t="str">
        <f t="shared" si="17"/>
        <v>No Gs</v>
      </c>
      <c r="E77" s="32">
        <f t="shared" si="21"/>
        <v>0</v>
      </c>
      <c r="F77" s="32" t="str">
        <f t="shared" si="22"/>
        <v>No Gs</v>
      </c>
      <c r="G77" s="32" t="str">
        <f t="shared" si="23"/>
        <v>No Gs</v>
      </c>
      <c r="H77" s="32" t="str">
        <f t="shared" si="14"/>
        <v>Gs is needed</v>
      </c>
      <c r="I77" s="32" t="str">
        <f t="shared" si="15"/>
        <v>Gs is needed</v>
      </c>
      <c r="J77" s="32" t="str">
        <f t="shared" si="16"/>
        <v>Gs is needed</v>
      </c>
      <c r="K77" s="32" t="str">
        <f t="shared" si="18"/>
        <v>Need Max and Min</v>
      </c>
      <c r="L77" s="32" t="str">
        <f t="shared" si="19"/>
        <v>Need Max and Min</v>
      </c>
      <c r="M77" s="32" t="str">
        <f t="shared" si="20"/>
        <v>Fail</v>
      </c>
      <c r="N77" s="32"/>
      <c r="O77" s="31">
        <f>'mnt Data'!A80</f>
        <v>0</v>
      </c>
      <c r="P77" s="31">
        <f>'mnt Data'!B80</f>
        <v>0</v>
      </c>
      <c r="Q77" s="31">
        <f>'mnt Data'!C80</f>
        <v>0</v>
      </c>
      <c r="R77" s="31">
        <f>'mnt Data'!D80</f>
        <v>0</v>
      </c>
      <c r="S77" s="31">
        <f>'mnt Data'!E80</f>
        <v>0</v>
      </c>
      <c r="T77" s="31">
        <f>'mnt Data'!F80</f>
        <v>0</v>
      </c>
      <c r="U77" s="31">
        <f>'mnt Data'!G80</f>
        <v>0</v>
      </c>
      <c r="V77" s="31">
        <f>'mnt Data'!H80</f>
        <v>0</v>
      </c>
      <c r="W77" s="31">
        <f>'mnt Data'!I80</f>
        <v>0</v>
      </c>
      <c r="X77" s="31">
        <f>'mnt Data'!J80</f>
        <v>0</v>
      </c>
      <c r="Y77" s="31">
        <f>'mnt Data'!K80</f>
        <v>0</v>
      </c>
      <c r="Z77" s="31">
        <f>'mnt Data'!L80</f>
        <v>0</v>
      </c>
      <c r="AA77" s="31">
        <f>'mnt Data'!M80</f>
        <v>0</v>
      </c>
      <c r="AB77" s="31">
        <f>'mnt Data'!N80</f>
        <v>0</v>
      </c>
      <c r="AC77" s="31">
        <f>'mnt Data'!O80</f>
        <v>0</v>
      </c>
      <c r="AD77" s="31">
        <f>'mnt Data'!P80</f>
        <v>0</v>
      </c>
      <c r="AE77" s="31">
        <f>'mnt Data'!Q80</f>
        <v>0</v>
      </c>
      <c r="AF77" s="31">
        <f>'mnt Data'!R80</f>
        <v>0</v>
      </c>
      <c r="AG77" s="31">
        <f>'mnt Data'!S80</f>
        <v>0</v>
      </c>
      <c r="AH77" s="31">
        <f>'mnt Data'!T80</f>
        <v>0</v>
      </c>
      <c r="AI77" s="31">
        <f>'mnt Data'!U80</f>
        <v>0</v>
      </c>
      <c r="AJ77" s="31">
        <f>'mnt Data'!V80</f>
        <v>0</v>
      </c>
      <c r="AK77" s="31">
        <f>'mnt Data'!W80</f>
        <v>0</v>
      </c>
      <c r="AL77" s="31">
        <f>'mnt Data'!X80</f>
        <v>0</v>
      </c>
      <c r="AM77" s="31">
        <f>'mnt Data'!Y80</f>
        <v>0</v>
      </c>
      <c r="AN77" s="31">
        <f>'mnt Data'!Z80</f>
        <v>0</v>
      </c>
      <c r="AO77" s="31">
        <f>'mnt Data'!AA80</f>
        <v>0</v>
      </c>
      <c r="AP77" s="31">
        <f>'mnt Data'!AB80</f>
        <v>0</v>
      </c>
      <c r="AQ77" s="31">
        <f>'mnt Data'!AC80</f>
        <v>0</v>
      </c>
      <c r="AR77" s="31">
        <f>'mnt Data'!AD80</f>
        <v>0</v>
      </c>
      <c r="AS77" s="31">
        <f>'mnt Data'!AE80</f>
        <v>0</v>
      </c>
      <c r="AT77" s="31">
        <f>'mnt Data'!AF80</f>
        <v>0</v>
      </c>
      <c r="AU77" s="31">
        <f>'mnt Data'!AG80</f>
        <v>0</v>
      </c>
      <c r="AV77" s="31">
        <f>'mnt Data'!AH80</f>
        <v>0</v>
      </c>
      <c r="AW77" s="31">
        <f>'mnt Data'!AI80</f>
        <v>0</v>
      </c>
      <c r="AX77" s="31">
        <f>'mnt Data'!AJ80</f>
        <v>0</v>
      </c>
      <c r="AY77" s="31">
        <f>'mnt Data'!AK80</f>
        <v>0</v>
      </c>
    </row>
    <row r="78" spans="1:51" x14ac:dyDescent="0.25">
      <c r="A78">
        <v>77</v>
      </c>
      <c r="B78" s="32">
        <f t="shared" si="12"/>
        <v>0</v>
      </c>
      <c r="C78" s="32">
        <f t="shared" si="13"/>
        <v>0</v>
      </c>
      <c r="D78" s="32" t="str">
        <f t="shared" si="17"/>
        <v>No Gs</v>
      </c>
      <c r="E78" s="32">
        <f t="shared" si="21"/>
        <v>0</v>
      </c>
      <c r="F78" s="32" t="str">
        <f t="shared" si="22"/>
        <v>No Gs</v>
      </c>
      <c r="G78" s="32" t="str">
        <f t="shared" si="23"/>
        <v>No Gs</v>
      </c>
      <c r="H78" s="32" t="str">
        <f t="shared" si="14"/>
        <v>Gs is needed</v>
      </c>
      <c r="I78" s="32" t="str">
        <f t="shared" si="15"/>
        <v>Gs is needed</v>
      </c>
      <c r="J78" s="32" t="str">
        <f t="shared" si="16"/>
        <v>Gs is needed</v>
      </c>
      <c r="K78" s="32" t="str">
        <f t="shared" si="18"/>
        <v>Need Max and Min</v>
      </c>
      <c r="L78" s="32" t="str">
        <f t="shared" si="19"/>
        <v>Need Max and Min</v>
      </c>
      <c r="M78" s="32" t="str">
        <f t="shared" si="20"/>
        <v>Fail</v>
      </c>
      <c r="N78" s="32"/>
      <c r="O78" s="31">
        <f>'mnt Data'!A81</f>
        <v>0</v>
      </c>
      <c r="P78" s="31">
        <f>'mnt Data'!B81</f>
        <v>0</v>
      </c>
      <c r="Q78" s="31">
        <f>'mnt Data'!C81</f>
        <v>0</v>
      </c>
      <c r="R78" s="31">
        <f>'mnt Data'!D81</f>
        <v>0</v>
      </c>
      <c r="S78" s="31">
        <f>'mnt Data'!E81</f>
        <v>0</v>
      </c>
      <c r="T78" s="31">
        <f>'mnt Data'!F81</f>
        <v>0</v>
      </c>
      <c r="U78" s="31">
        <f>'mnt Data'!G81</f>
        <v>0</v>
      </c>
      <c r="V78" s="31">
        <f>'mnt Data'!H81</f>
        <v>0</v>
      </c>
      <c r="W78" s="31">
        <f>'mnt Data'!I81</f>
        <v>0</v>
      </c>
      <c r="X78" s="31">
        <f>'mnt Data'!J81</f>
        <v>0</v>
      </c>
      <c r="Y78" s="31">
        <f>'mnt Data'!K81</f>
        <v>0</v>
      </c>
      <c r="Z78" s="31">
        <f>'mnt Data'!L81</f>
        <v>0</v>
      </c>
      <c r="AA78" s="31">
        <f>'mnt Data'!M81</f>
        <v>0</v>
      </c>
      <c r="AB78" s="31">
        <f>'mnt Data'!N81</f>
        <v>0</v>
      </c>
      <c r="AC78" s="31">
        <f>'mnt Data'!O81</f>
        <v>0</v>
      </c>
      <c r="AD78" s="31">
        <f>'mnt Data'!P81</f>
        <v>0</v>
      </c>
      <c r="AE78" s="31">
        <f>'mnt Data'!Q81</f>
        <v>0</v>
      </c>
      <c r="AF78" s="31">
        <f>'mnt Data'!R81</f>
        <v>0</v>
      </c>
      <c r="AG78" s="31">
        <f>'mnt Data'!S81</f>
        <v>0</v>
      </c>
      <c r="AH78" s="31">
        <f>'mnt Data'!T81</f>
        <v>0</v>
      </c>
      <c r="AI78" s="31">
        <f>'mnt Data'!U81</f>
        <v>0</v>
      </c>
      <c r="AJ78" s="31">
        <f>'mnt Data'!V81</f>
        <v>0</v>
      </c>
      <c r="AK78" s="31">
        <f>'mnt Data'!W81</f>
        <v>0</v>
      </c>
      <c r="AL78" s="31">
        <f>'mnt Data'!X81</f>
        <v>0</v>
      </c>
      <c r="AM78" s="31">
        <f>'mnt Data'!Y81</f>
        <v>0</v>
      </c>
      <c r="AN78" s="31">
        <f>'mnt Data'!Z81</f>
        <v>0</v>
      </c>
      <c r="AO78" s="31">
        <f>'mnt Data'!AA81</f>
        <v>0</v>
      </c>
      <c r="AP78" s="31">
        <f>'mnt Data'!AB81</f>
        <v>0</v>
      </c>
      <c r="AQ78" s="31">
        <f>'mnt Data'!AC81</f>
        <v>0</v>
      </c>
      <c r="AR78" s="31">
        <f>'mnt Data'!AD81</f>
        <v>0</v>
      </c>
      <c r="AS78" s="31">
        <f>'mnt Data'!AE81</f>
        <v>0</v>
      </c>
      <c r="AT78" s="31">
        <f>'mnt Data'!AF81</f>
        <v>0</v>
      </c>
      <c r="AU78" s="31">
        <f>'mnt Data'!AG81</f>
        <v>0</v>
      </c>
      <c r="AV78" s="31">
        <f>'mnt Data'!AH81</f>
        <v>0</v>
      </c>
      <c r="AW78" s="31">
        <f>'mnt Data'!AI81</f>
        <v>0</v>
      </c>
      <c r="AX78" s="31">
        <f>'mnt Data'!AJ81</f>
        <v>0</v>
      </c>
      <c r="AY78" s="31">
        <f>'mnt Data'!AK81</f>
        <v>0</v>
      </c>
    </row>
    <row r="79" spans="1:51" x14ac:dyDescent="0.25">
      <c r="A79">
        <v>78</v>
      </c>
      <c r="B79" s="32">
        <f t="shared" si="12"/>
        <v>0</v>
      </c>
      <c r="C79" s="32">
        <f t="shared" si="13"/>
        <v>0</v>
      </c>
      <c r="D79" s="32" t="str">
        <f t="shared" si="17"/>
        <v>No Gs</v>
      </c>
      <c r="E79" s="32">
        <f t="shared" si="21"/>
        <v>0</v>
      </c>
      <c r="F79" s="32" t="str">
        <f t="shared" si="22"/>
        <v>No Gs</v>
      </c>
      <c r="G79" s="32" t="str">
        <f t="shared" si="23"/>
        <v>No Gs</v>
      </c>
      <c r="H79" s="32" t="str">
        <f t="shared" si="14"/>
        <v>Gs is needed</v>
      </c>
      <c r="I79" s="32" t="str">
        <f t="shared" si="15"/>
        <v>Gs is needed</v>
      </c>
      <c r="J79" s="32" t="str">
        <f t="shared" si="16"/>
        <v>Gs is needed</v>
      </c>
      <c r="K79" s="32" t="str">
        <f t="shared" si="18"/>
        <v>Need Max and Min</v>
      </c>
      <c r="L79" s="32" t="str">
        <f t="shared" si="19"/>
        <v>Need Max and Min</v>
      </c>
      <c r="M79" s="32" t="str">
        <f t="shared" si="20"/>
        <v>Fail</v>
      </c>
      <c r="N79" s="32"/>
      <c r="O79" s="31">
        <f>'mnt Data'!A82</f>
        <v>0</v>
      </c>
      <c r="P79" s="31">
        <f>'mnt Data'!B82</f>
        <v>0</v>
      </c>
      <c r="Q79" s="31">
        <f>'mnt Data'!C82</f>
        <v>0</v>
      </c>
      <c r="R79" s="31">
        <f>'mnt Data'!D82</f>
        <v>0</v>
      </c>
      <c r="S79" s="31">
        <f>'mnt Data'!E82</f>
        <v>0</v>
      </c>
      <c r="T79" s="31">
        <f>'mnt Data'!F82</f>
        <v>0</v>
      </c>
      <c r="U79" s="31">
        <f>'mnt Data'!G82</f>
        <v>0</v>
      </c>
      <c r="V79" s="31">
        <f>'mnt Data'!H82</f>
        <v>0</v>
      </c>
      <c r="W79" s="31">
        <f>'mnt Data'!I82</f>
        <v>0</v>
      </c>
      <c r="X79" s="31">
        <f>'mnt Data'!J82</f>
        <v>0</v>
      </c>
      <c r="Y79" s="31">
        <f>'mnt Data'!K82</f>
        <v>0</v>
      </c>
      <c r="Z79" s="31">
        <f>'mnt Data'!L82</f>
        <v>0</v>
      </c>
      <c r="AA79" s="31">
        <f>'mnt Data'!M82</f>
        <v>0</v>
      </c>
      <c r="AB79" s="31">
        <f>'mnt Data'!N82</f>
        <v>0</v>
      </c>
      <c r="AC79" s="31">
        <f>'mnt Data'!O82</f>
        <v>0</v>
      </c>
      <c r="AD79" s="31">
        <f>'mnt Data'!P82</f>
        <v>0</v>
      </c>
      <c r="AE79" s="31">
        <f>'mnt Data'!Q82</f>
        <v>0</v>
      </c>
      <c r="AF79" s="31">
        <f>'mnt Data'!R82</f>
        <v>0</v>
      </c>
      <c r="AG79" s="31">
        <f>'mnt Data'!S82</f>
        <v>0</v>
      </c>
      <c r="AH79" s="31">
        <f>'mnt Data'!T82</f>
        <v>0</v>
      </c>
      <c r="AI79" s="31">
        <f>'mnt Data'!U82</f>
        <v>0</v>
      </c>
      <c r="AJ79" s="31">
        <f>'mnt Data'!V82</f>
        <v>0</v>
      </c>
      <c r="AK79" s="31">
        <f>'mnt Data'!W82</f>
        <v>0</v>
      </c>
      <c r="AL79" s="31">
        <f>'mnt Data'!X82</f>
        <v>0</v>
      </c>
      <c r="AM79" s="31">
        <f>'mnt Data'!Y82</f>
        <v>0</v>
      </c>
      <c r="AN79" s="31">
        <f>'mnt Data'!Z82</f>
        <v>0</v>
      </c>
      <c r="AO79" s="31">
        <f>'mnt Data'!AA82</f>
        <v>0</v>
      </c>
      <c r="AP79" s="31">
        <f>'mnt Data'!AB82</f>
        <v>0</v>
      </c>
      <c r="AQ79" s="31">
        <f>'mnt Data'!AC82</f>
        <v>0</v>
      </c>
      <c r="AR79" s="31">
        <f>'mnt Data'!AD82</f>
        <v>0</v>
      </c>
      <c r="AS79" s="31">
        <f>'mnt Data'!AE82</f>
        <v>0</v>
      </c>
      <c r="AT79" s="31">
        <f>'mnt Data'!AF82</f>
        <v>0</v>
      </c>
      <c r="AU79" s="31">
        <f>'mnt Data'!AG82</f>
        <v>0</v>
      </c>
      <c r="AV79" s="31">
        <f>'mnt Data'!AH82</f>
        <v>0</v>
      </c>
      <c r="AW79" s="31">
        <f>'mnt Data'!AI82</f>
        <v>0</v>
      </c>
      <c r="AX79" s="31">
        <f>'mnt Data'!AJ82</f>
        <v>0</v>
      </c>
      <c r="AY79" s="31">
        <f>'mnt Data'!AK82</f>
        <v>0</v>
      </c>
    </row>
    <row r="80" spans="1:51" x14ac:dyDescent="0.25">
      <c r="A80">
        <v>79</v>
      </c>
      <c r="B80" s="32">
        <f t="shared" si="12"/>
        <v>0</v>
      </c>
      <c r="C80" s="32">
        <f t="shared" si="13"/>
        <v>0</v>
      </c>
      <c r="D80" s="32" t="str">
        <f t="shared" si="17"/>
        <v>No Gs</v>
      </c>
      <c r="E80" s="32">
        <f t="shared" si="21"/>
        <v>0</v>
      </c>
      <c r="F80" s="32" t="str">
        <f t="shared" si="22"/>
        <v>No Gs</v>
      </c>
      <c r="G80" s="32" t="str">
        <f t="shared" si="23"/>
        <v>No Gs</v>
      </c>
      <c r="H80" s="32" t="str">
        <f t="shared" si="14"/>
        <v>Gs is needed</v>
      </c>
      <c r="I80" s="32" t="str">
        <f t="shared" si="15"/>
        <v>Gs is needed</v>
      </c>
      <c r="J80" s="32" t="str">
        <f t="shared" si="16"/>
        <v>Gs is needed</v>
      </c>
      <c r="K80" s="32" t="str">
        <f t="shared" si="18"/>
        <v>Need Max and Min</v>
      </c>
      <c r="L80" s="32" t="str">
        <f t="shared" si="19"/>
        <v>Need Max and Min</v>
      </c>
      <c r="M80" s="32" t="str">
        <f t="shared" si="20"/>
        <v>Fail</v>
      </c>
      <c r="N80" s="32"/>
      <c r="O80" s="31">
        <f>'mnt Data'!A83</f>
        <v>0</v>
      </c>
      <c r="P80" s="31">
        <f>'mnt Data'!B83</f>
        <v>0</v>
      </c>
      <c r="Q80" s="31">
        <f>'mnt Data'!C83</f>
        <v>0</v>
      </c>
      <c r="R80" s="31">
        <f>'mnt Data'!D83</f>
        <v>0</v>
      </c>
      <c r="S80" s="31">
        <f>'mnt Data'!E83</f>
        <v>0</v>
      </c>
      <c r="T80" s="31">
        <f>'mnt Data'!F83</f>
        <v>0</v>
      </c>
      <c r="U80" s="31">
        <f>'mnt Data'!G83</f>
        <v>0</v>
      </c>
      <c r="V80" s="31">
        <f>'mnt Data'!H83</f>
        <v>0</v>
      </c>
      <c r="W80" s="31">
        <f>'mnt Data'!I83</f>
        <v>0</v>
      </c>
      <c r="X80" s="31">
        <f>'mnt Data'!J83</f>
        <v>0</v>
      </c>
      <c r="Y80" s="31">
        <f>'mnt Data'!K83</f>
        <v>0</v>
      </c>
      <c r="Z80" s="31">
        <f>'mnt Data'!L83</f>
        <v>0</v>
      </c>
      <c r="AA80" s="31">
        <f>'mnt Data'!M83</f>
        <v>0</v>
      </c>
      <c r="AB80" s="31">
        <f>'mnt Data'!N83</f>
        <v>0</v>
      </c>
      <c r="AC80" s="31">
        <f>'mnt Data'!O83</f>
        <v>0</v>
      </c>
      <c r="AD80" s="31">
        <f>'mnt Data'!P83</f>
        <v>0</v>
      </c>
      <c r="AE80" s="31">
        <f>'mnt Data'!Q83</f>
        <v>0</v>
      </c>
      <c r="AF80" s="31">
        <f>'mnt Data'!R83</f>
        <v>0</v>
      </c>
      <c r="AG80" s="31">
        <f>'mnt Data'!S83</f>
        <v>0</v>
      </c>
      <c r="AH80" s="31">
        <f>'mnt Data'!T83</f>
        <v>0</v>
      </c>
      <c r="AI80" s="31">
        <f>'mnt Data'!U83</f>
        <v>0</v>
      </c>
      <c r="AJ80" s="31">
        <f>'mnt Data'!V83</f>
        <v>0</v>
      </c>
      <c r="AK80" s="31">
        <f>'mnt Data'!W83</f>
        <v>0</v>
      </c>
      <c r="AL80" s="31">
        <f>'mnt Data'!X83</f>
        <v>0</v>
      </c>
      <c r="AM80" s="31">
        <f>'mnt Data'!Y83</f>
        <v>0</v>
      </c>
      <c r="AN80" s="31">
        <f>'mnt Data'!Z83</f>
        <v>0</v>
      </c>
      <c r="AO80" s="31">
        <f>'mnt Data'!AA83</f>
        <v>0</v>
      </c>
      <c r="AP80" s="31">
        <f>'mnt Data'!AB83</f>
        <v>0</v>
      </c>
      <c r="AQ80" s="31">
        <f>'mnt Data'!AC83</f>
        <v>0</v>
      </c>
      <c r="AR80" s="31">
        <f>'mnt Data'!AD83</f>
        <v>0</v>
      </c>
      <c r="AS80" s="31">
        <f>'mnt Data'!AE83</f>
        <v>0</v>
      </c>
      <c r="AT80" s="31">
        <f>'mnt Data'!AF83</f>
        <v>0</v>
      </c>
      <c r="AU80" s="31">
        <f>'mnt Data'!AG83</f>
        <v>0</v>
      </c>
      <c r="AV80" s="31">
        <f>'mnt Data'!AH83</f>
        <v>0</v>
      </c>
      <c r="AW80" s="31">
        <f>'mnt Data'!AI83</f>
        <v>0</v>
      </c>
      <c r="AX80" s="31">
        <f>'mnt Data'!AJ83</f>
        <v>0</v>
      </c>
      <c r="AY80" s="31">
        <f>'mnt Data'!AK83</f>
        <v>0</v>
      </c>
    </row>
    <row r="81" spans="1:51" x14ac:dyDescent="0.25">
      <c r="A81">
        <v>80</v>
      </c>
      <c r="B81" s="32">
        <f t="shared" si="12"/>
        <v>0</v>
      </c>
      <c r="C81" s="32">
        <f t="shared" si="13"/>
        <v>0</v>
      </c>
      <c r="D81" s="32" t="str">
        <f t="shared" si="17"/>
        <v>No Gs</v>
      </c>
      <c r="E81" s="32">
        <f t="shared" si="21"/>
        <v>0</v>
      </c>
      <c r="F81" s="32" t="str">
        <f t="shared" si="22"/>
        <v>No Gs</v>
      </c>
      <c r="G81" s="32" t="str">
        <f t="shared" si="23"/>
        <v>No Gs</v>
      </c>
      <c r="H81" s="32" t="str">
        <f t="shared" si="14"/>
        <v>Gs is needed</v>
      </c>
      <c r="I81" s="32" t="str">
        <f t="shared" si="15"/>
        <v>Gs is needed</v>
      </c>
      <c r="J81" s="32" t="str">
        <f t="shared" si="16"/>
        <v>Gs is needed</v>
      </c>
      <c r="K81" s="32" t="str">
        <f t="shared" si="18"/>
        <v>Need Max and Min</v>
      </c>
      <c r="L81" s="32" t="str">
        <f t="shared" si="19"/>
        <v>Need Max and Min</v>
      </c>
      <c r="M81" s="32" t="str">
        <f t="shared" si="20"/>
        <v>Fail</v>
      </c>
      <c r="N81" s="32"/>
      <c r="O81" s="31">
        <f>'mnt Data'!A84</f>
        <v>0</v>
      </c>
      <c r="P81" s="31">
        <f>'mnt Data'!B84</f>
        <v>0</v>
      </c>
      <c r="Q81" s="31">
        <f>'mnt Data'!C84</f>
        <v>0</v>
      </c>
      <c r="R81" s="31">
        <f>'mnt Data'!D84</f>
        <v>0</v>
      </c>
      <c r="S81" s="31">
        <f>'mnt Data'!E84</f>
        <v>0</v>
      </c>
      <c r="T81" s="31">
        <f>'mnt Data'!F84</f>
        <v>0</v>
      </c>
      <c r="U81" s="31">
        <f>'mnt Data'!G84</f>
        <v>0</v>
      </c>
      <c r="V81" s="31">
        <f>'mnt Data'!H84</f>
        <v>0</v>
      </c>
      <c r="W81" s="31">
        <f>'mnt Data'!I84</f>
        <v>0</v>
      </c>
      <c r="X81" s="31">
        <f>'mnt Data'!J84</f>
        <v>0</v>
      </c>
      <c r="Y81" s="31">
        <f>'mnt Data'!K84</f>
        <v>0</v>
      </c>
      <c r="Z81" s="31">
        <f>'mnt Data'!L84</f>
        <v>0</v>
      </c>
      <c r="AA81" s="31">
        <f>'mnt Data'!M84</f>
        <v>0</v>
      </c>
      <c r="AB81" s="31">
        <f>'mnt Data'!N84</f>
        <v>0</v>
      </c>
      <c r="AC81" s="31">
        <f>'mnt Data'!O84</f>
        <v>0</v>
      </c>
      <c r="AD81" s="31">
        <f>'mnt Data'!P84</f>
        <v>0</v>
      </c>
      <c r="AE81" s="31">
        <f>'mnt Data'!Q84</f>
        <v>0</v>
      </c>
      <c r="AF81" s="31">
        <f>'mnt Data'!R84</f>
        <v>0</v>
      </c>
      <c r="AG81" s="31">
        <f>'mnt Data'!S84</f>
        <v>0</v>
      </c>
      <c r="AH81" s="31">
        <f>'mnt Data'!T84</f>
        <v>0</v>
      </c>
      <c r="AI81" s="31">
        <f>'mnt Data'!U84</f>
        <v>0</v>
      </c>
      <c r="AJ81" s="31">
        <f>'mnt Data'!V84</f>
        <v>0</v>
      </c>
      <c r="AK81" s="31">
        <f>'mnt Data'!W84</f>
        <v>0</v>
      </c>
      <c r="AL81" s="31">
        <f>'mnt Data'!X84</f>
        <v>0</v>
      </c>
      <c r="AM81" s="31">
        <f>'mnt Data'!Y84</f>
        <v>0</v>
      </c>
      <c r="AN81" s="31">
        <f>'mnt Data'!Z84</f>
        <v>0</v>
      </c>
      <c r="AO81" s="31">
        <f>'mnt Data'!AA84</f>
        <v>0</v>
      </c>
      <c r="AP81" s="31">
        <f>'mnt Data'!AB84</f>
        <v>0</v>
      </c>
      <c r="AQ81" s="31">
        <f>'mnt Data'!AC84</f>
        <v>0</v>
      </c>
      <c r="AR81" s="31">
        <f>'mnt Data'!AD84</f>
        <v>0</v>
      </c>
      <c r="AS81" s="31">
        <f>'mnt Data'!AE84</f>
        <v>0</v>
      </c>
      <c r="AT81" s="31">
        <f>'mnt Data'!AF84</f>
        <v>0</v>
      </c>
      <c r="AU81" s="31">
        <f>'mnt Data'!AG84</f>
        <v>0</v>
      </c>
      <c r="AV81" s="31">
        <f>'mnt Data'!AH84</f>
        <v>0</v>
      </c>
      <c r="AW81" s="31">
        <f>'mnt Data'!AI84</f>
        <v>0</v>
      </c>
      <c r="AX81" s="31">
        <f>'mnt Data'!AJ84</f>
        <v>0</v>
      </c>
      <c r="AY81" s="31">
        <f>'mnt Data'!AK84</f>
        <v>0</v>
      </c>
    </row>
    <row r="82" spans="1:51" x14ac:dyDescent="0.25">
      <c r="A82">
        <v>81</v>
      </c>
      <c r="B82" s="32">
        <f t="shared" si="12"/>
        <v>0</v>
      </c>
      <c r="C82" s="32">
        <f t="shared" si="13"/>
        <v>0</v>
      </c>
      <c r="D82" s="32" t="str">
        <f t="shared" si="17"/>
        <v>No Gs</v>
      </c>
      <c r="E82" s="32">
        <f t="shared" si="21"/>
        <v>0</v>
      </c>
      <c r="F82" s="32" t="str">
        <f t="shared" si="22"/>
        <v>No Gs</v>
      </c>
      <c r="G82" s="32" t="str">
        <f t="shared" si="23"/>
        <v>No Gs</v>
      </c>
      <c r="H82" s="32" t="str">
        <f t="shared" si="14"/>
        <v>Gs is needed</v>
      </c>
      <c r="I82" s="32" t="str">
        <f t="shared" si="15"/>
        <v>Gs is needed</v>
      </c>
      <c r="J82" s="32" t="str">
        <f t="shared" si="16"/>
        <v>Gs is needed</v>
      </c>
      <c r="K82" s="32" t="str">
        <f t="shared" si="18"/>
        <v>Need Max and Min</v>
      </c>
      <c r="L82" s="32" t="str">
        <f t="shared" si="19"/>
        <v>Need Max and Min</v>
      </c>
      <c r="M82" s="32" t="str">
        <f t="shared" si="20"/>
        <v>Fail</v>
      </c>
      <c r="N82" s="32"/>
      <c r="O82" s="31">
        <f>'mnt Data'!A85</f>
        <v>0</v>
      </c>
      <c r="P82" s="31">
        <f>'mnt Data'!B85</f>
        <v>0</v>
      </c>
      <c r="Q82" s="31">
        <f>'mnt Data'!C85</f>
        <v>0</v>
      </c>
      <c r="R82" s="31">
        <f>'mnt Data'!D85</f>
        <v>0</v>
      </c>
      <c r="S82" s="31">
        <f>'mnt Data'!E85</f>
        <v>0</v>
      </c>
      <c r="T82" s="31">
        <f>'mnt Data'!F85</f>
        <v>0</v>
      </c>
      <c r="U82" s="31">
        <f>'mnt Data'!G85</f>
        <v>0</v>
      </c>
      <c r="V82" s="31">
        <f>'mnt Data'!H85</f>
        <v>0</v>
      </c>
      <c r="W82" s="31">
        <f>'mnt Data'!I85</f>
        <v>0</v>
      </c>
      <c r="X82" s="31">
        <f>'mnt Data'!J85</f>
        <v>0</v>
      </c>
      <c r="Y82" s="31">
        <f>'mnt Data'!K85</f>
        <v>0</v>
      </c>
      <c r="Z82" s="31">
        <f>'mnt Data'!L85</f>
        <v>0</v>
      </c>
      <c r="AA82" s="31">
        <f>'mnt Data'!M85</f>
        <v>0</v>
      </c>
      <c r="AB82" s="31">
        <f>'mnt Data'!N85</f>
        <v>0</v>
      </c>
      <c r="AC82" s="31">
        <f>'mnt Data'!O85</f>
        <v>0</v>
      </c>
      <c r="AD82" s="31">
        <f>'mnt Data'!P85</f>
        <v>0</v>
      </c>
      <c r="AE82" s="31">
        <f>'mnt Data'!Q85</f>
        <v>0</v>
      </c>
      <c r="AF82" s="31">
        <f>'mnt Data'!R85</f>
        <v>0</v>
      </c>
      <c r="AG82" s="31">
        <f>'mnt Data'!S85</f>
        <v>0</v>
      </c>
      <c r="AH82" s="31">
        <f>'mnt Data'!T85</f>
        <v>0</v>
      </c>
      <c r="AI82" s="31">
        <f>'mnt Data'!U85</f>
        <v>0</v>
      </c>
      <c r="AJ82" s="31">
        <f>'mnt Data'!V85</f>
        <v>0</v>
      </c>
      <c r="AK82" s="31">
        <f>'mnt Data'!W85</f>
        <v>0</v>
      </c>
      <c r="AL82" s="31">
        <f>'mnt Data'!X85</f>
        <v>0</v>
      </c>
      <c r="AM82" s="31">
        <f>'mnt Data'!Y85</f>
        <v>0</v>
      </c>
      <c r="AN82" s="31">
        <f>'mnt Data'!Z85</f>
        <v>0</v>
      </c>
      <c r="AO82" s="31">
        <f>'mnt Data'!AA85</f>
        <v>0</v>
      </c>
      <c r="AP82" s="31">
        <f>'mnt Data'!AB85</f>
        <v>0</v>
      </c>
      <c r="AQ82" s="31">
        <f>'mnt Data'!AC85</f>
        <v>0</v>
      </c>
      <c r="AR82" s="31">
        <f>'mnt Data'!AD85</f>
        <v>0</v>
      </c>
      <c r="AS82" s="31">
        <f>'mnt Data'!AE85</f>
        <v>0</v>
      </c>
      <c r="AT82" s="31">
        <f>'mnt Data'!AF85</f>
        <v>0</v>
      </c>
      <c r="AU82" s="31">
        <f>'mnt Data'!AG85</f>
        <v>0</v>
      </c>
      <c r="AV82" s="31">
        <f>'mnt Data'!AH85</f>
        <v>0</v>
      </c>
      <c r="AW82" s="31">
        <f>'mnt Data'!AI85</f>
        <v>0</v>
      </c>
      <c r="AX82" s="31">
        <f>'mnt Data'!AJ85</f>
        <v>0</v>
      </c>
      <c r="AY82" s="31">
        <f>'mnt Data'!AK85</f>
        <v>0</v>
      </c>
    </row>
    <row r="83" spans="1:51" x14ac:dyDescent="0.25">
      <c r="A83">
        <v>82</v>
      </c>
      <c r="B83" s="32">
        <f t="shared" si="12"/>
        <v>0</v>
      </c>
      <c r="C83" s="32">
        <f t="shared" si="13"/>
        <v>0</v>
      </c>
      <c r="D83" s="32" t="str">
        <f t="shared" si="17"/>
        <v>No Gs</v>
      </c>
      <c r="E83" s="32">
        <f t="shared" si="21"/>
        <v>0</v>
      </c>
      <c r="F83" s="32" t="str">
        <f t="shared" si="22"/>
        <v>No Gs</v>
      </c>
      <c r="G83" s="32" t="str">
        <f t="shared" si="23"/>
        <v>No Gs</v>
      </c>
      <c r="H83" s="32" t="str">
        <f t="shared" si="14"/>
        <v>Gs is needed</v>
      </c>
      <c r="I83" s="32" t="str">
        <f t="shared" si="15"/>
        <v>Gs is needed</v>
      </c>
      <c r="J83" s="32" t="str">
        <f t="shared" si="16"/>
        <v>Gs is needed</v>
      </c>
      <c r="K83" s="32" t="str">
        <f t="shared" si="18"/>
        <v>Need Max and Min</v>
      </c>
      <c r="L83" s="32" t="str">
        <f t="shared" si="19"/>
        <v>Need Max and Min</v>
      </c>
      <c r="M83" s="32" t="str">
        <f t="shared" si="20"/>
        <v>Fail</v>
      </c>
      <c r="N83" s="32"/>
      <c r="O83" s="31">
        <f>'mnt Data'!A86</f>
        <v>0</v>
      </c>
      <c r="P83" s="31">
        <f>'mnt Data'!B86</f>
        <v>0</v>
      </c>
      <c r="Q83" s="31">
        <f>'mnt Data'!C86</f>
        <v>0</v>
      </c>
      <c r="R83" s="31">
        <f>'mnt Data'!D86</f>
        <v>0</v>
      </c>
      <c r="S83" s="31">
        <f>'mnt Data'!E86</f>
        <v>0</v>
      </c>
      <c r="T83" s="31">
        <f>'mnt Data'!F86</f>
        <v>0</v>
      </c>
      <c r="U83" s="31">
        <f>'mnt Data'!G86</f>
        <v>0</v>
      </c>
      <c r="V83" s="31">
        <f>'mnt Data'!H86</f>
        <v>0</v>
      </c>
      <c r="W83" s="31">
        <f>'mnt Data'!I86</f>
        <v>0</v>
      </c>
      <c r="X83" s="31">
        <f>'mnt Data'!J86</f>
        <v>0</v>
      </c>
      <c r="Y83" s="31">
        <f>'mnt Data'!K86</f>
        <v>0</v>
      </c>
      <c r="Z83" s="31">
        <f>'mnt Data'!L86</f>
        <v>0</v>
      </c>
      <c r="AA83" s="31">
        <f>'mnt Data'!M86</f>
        <v>0</v>
      </c>
      <c r="AB83" s="31">
        <f>'mnt Data'!N86</f>
        <v>0</v>
      </c>
      <c r="AC83" s="31">
        <f>'mnt Data'!O86</f>
        <v>0</v>
      </c>
      <c r="AD83" s="31">
        <f>'mnt Data'!P86</f>
        <v>0</v>
      </c>
      <c r="AE83" s="31">
        <f>'mnt Data'!Q86</f>
        <v>0</v>
      </c>
      <c r="AF83" s="31">
        <f>'mnt Data'!R86</f>
        <v>0</v>
      </c>
      <c r="AG83" s="31">
        <f>'mnt Data'!S86</f>
        <v>0</v>
      </c>
      <c r="AH83" s="31">
        <f>'mnt Data'!T86</f>
        <v>0</v>
      </c>
      <c r="AI83" s="31">
        <f>'mnt Data'!U86</f>
        <v>0</v>
      </c>
      <c r="AJ83" s="31">
        <f>'mnt Data'!V86</f>
        <v>0</v>
      </c>
      <c r="AK83" s="31">
        <f>'mnt Data'!W86</f>
        <v>0</v>
      </c>
      <c r="AL83" s="31">
        <f>'mnt Data'!X86</f>
        <v>0</v>
      </c>
      <c r="AM83" s="31">
        <f>'mnt Data'!Y86</f>
        <v>0</v>
      </c>
      <c r="AN83" s="31">
        <f>'mnt Data'!Z86</f>
        <v>0</v>
      </c>
      <c r="AO83" s="31">
        <f>'mnt Data'!AA86</f>
        <v>0</v>
      </c>
      <c r="AP83" s="31">
        <f>'mnt Data'!AB86</f>
        <v>0</v>
      </c>
      <c r="AQ83" s="31">
        <f>'mnt Data'!AC86</f>
        <v>0</v>
      </c>
      <c r="AR83" s="31">
        <f>'mnt Data'!AD86</f>
        <v>0</v>
      </c>
      <c r="AS83" s="31">
        <f>'mnt Data'!AE86</f>
        <v>0</v>
      </c>
      <c r="AT83" s="31">
        <f>'mnt Data'!AF86</f>
        <v>0</v>
      </c>
      <c r="AU83" s="31">
        <f>'mnt Data'!AG86</f>
        <v>0</v>
      </c>
      <c r="AV83" s="31">
        <f>'mnt Data'!AH86</f>
        <v>0</v>
      </c>
      <c r="AW83" s="31">
        <f>'mnt Data'!AI86</f>
        <v>0</v>
      </c>
      <c r="AX83" s="31">
        <f>'mnt Data'!AJ86</f>
        <v>0</v>
      </c>
      <c r="AY83" s="31">
        <f>'mnt Data'!AK86</f>
        <v>0</v>
      </c>
    </row>
    <row r="84" spans="1:51" x14ac:dyDescent="0.25">
      <c r="A84">
        <v>83</v>
      </c>
      <c r="B84" s="32">
        <f t="shared" si="12"/>
        <v>0</v>
      </c>
      <c r="C84" s="32">
        <f t="shared" si="13"/>
        <v>0</v>
      </c>
      <c r="D84" s="32" t="str">
        <f t="shared" si="17"/>
        <v>No Gs</v>
      </c>
      <c r="E84" s="32">
        <f t="shared" si="21"/>
        <v>0</v>
      </c>
      <c r="F84" s="32" t="str">
        <f t="shared" si="22"/>
        <v>No Gs</v>
      </c>
      <c r="G84" s="32" t="str">
        <f t="shared" si="23"/>
        <v>No Gs</v>
      </c>
      <c r="H84" s="32" t="str">
        <f t="shared" si="14"/>
        <v>Gs is needed</v>
      </c>
      <c r="I84" s="32" t="str">
        <f t="shared" si="15"/>
        <v>Gs is needed</v>
      </c>
      <c r="J84" s="32" t="str">
        <f t="shared" si="16"/>
        <v>Gs is needed</v>
      </c>
      <c r="K84" s="32" t="str">
        <f t="shared" si="18"/>
        <v>Need Max and Min</v>
      </c>
      <c r="L84" s="32" t="str">
        <f t="shared" si="19"/>
        <v>Need Max and Min</v>
      </c>
      <c r="M84" s="32" t="str">
        <f t="shared" si="20"/>
        <v>Fail</v>
      </c>
      <c r="N84" s="32"/>
      <c r="O84" s="31">
        <f>'mnt Data'!A87</f>
        <v>0</v>
      </c>
      <c r="P84" s="31">
        <f>'mnt Data'!B87</f>
        <v>0</v>
      </c>
      <c r="Q84" s="31">
        <f>'mnt Data'!C87</f>
        <v>0</v>
      </c>
      <c r="R84" s="31">
        <f>'mnt Data'!D87</f>
        <v>0</v>
      </c>
      <c r="S84" s="31">
        <f>'mnt Data'!E87</f>
        <v>0</v>
      </c>
      <c r="T84" s="31">
        <f>'mnt Data'!F87</f>
        <v>0</v>
      </c>
      <c r="U84" s="31">
        <f>'mnt Data'!G87</f>
        <v>0</v>
      </c>
      <c r="V84" s="31">
        <f>'mnt Data'!H87</f>
        <v>0</v>
      </c>
      <c r="W84" s="31">
        <f>'mnt Data'!I87</f>
        <v>0</v>
      </c>
      <c r="X84" s="31">
        <f>'mnt Data'!J87</f>
        <v>0</v>
      </c>
      <c r="Y84" s="31">
        <f>'mnt Data'!K87</f>
        <v>0</v>
      </c>
      <c r="Z84" s="31">
        <f>'mnt Data'!L87</f>
        <v>0</v>
      </c>
      <c r="AA84" s="31">
        <f>'mnt Data'!M87</f>
        <v>0</v>
      </c>
      <c r="AB84" s="31">
        <f>'mnt Data'!N87</f>
        <v>0</v>
      </c>
      <c r="AC84" s="31">
        <f>'mnt Data'!O87</f>
        <v>0</v>
      </c>
      <c r="AD84" s="31">
        <f>'mnt Data'!P87</f>
        <v>0</v>
      </c>
      <c r="AE84" s="31">
        <f>'mnt Data'!Q87</f>
        <v>0</v>
      </c>
      <c r="AF84" s="31">
        <f>'mnt Data'!R87</f>
        <v>0</v>
      </c>
      <c r="AG84" s="31">
        <f>'mnt Data'!S87</f>
        <v>0</v>
      </c>
      <c r="AH84" s="31">
        <f>'mnt Data'!T87</f>
        <v>0</v>
      </c>
      <c r="AI84" s="31">
        <f>'mnt Data'!U87</f>
        <v>0</v>
      </c>
      <c r="AJ84" s="31">
        <f>'mnt Data'!V87</f>
        <v>0</v>
      </c>
      <c r="AK84" s="31">
        <f>'mnt Data'!W87</f>
        <v>0</v>
      </c>
      <c r="AL84" s="31">
        <f>'mnt Data'!X87</f>
        <v>0</v>
      </c>
      <c r="AM84" s="31">
        <f>'mnt Data'!Y87</f>
        <v>0</v>
      </c>
      <c r="AN84" s="31">
        <f>'mnt Data'!Z87</f>
        <v>0</v>
      </c>
      <c r="AO84" s="31">
        <f>'mnt Data'!AA87</f>
        <v>0</v>
      </c>
      <c r="AP84" s="31">
        <f>'mnt Data'!AB87</f>
        <v>0</v>
      </c>
      <c r="AQ84" s="31">
        <f>'mnt Data'!AC87</f>
        <v>0</v>
      </c>
      <c r="AR84" s="31">
        <f>'mnt Data'!AD87</f>
        <v>0</v>
      </c>
      <c r="AS84" s="31">
        <f>'mnt Data'!AE87</f>
        <v>0</v>
      </c>
      <c r="AT84" s="31">
        <f>'mnt Data'!AF87</f>
        <v>0</v>
      </c>
      <c r="AU84" s="31">
        <f>'mnt Data'!AG87</f>
        <v>0</v>
      </c>
      <c r="AV84" s="31">
        <f>'mnt Data'!AH87</f>
        <v>0</v>
      </c>
      <c r="AW84" s="31">
        <f>'mnt Data'!AI87</f>
        <v>0</v>
      </c>
      <c r="AX84" s="31">
        <f>'mnt Data'!AJ87</f>
        <v>0</v>
      </c>
      <c r="AY84" s="31">
        <f>'mnt Data'!AK87</f>
        <v>0</v>
      </c>
    </row>
    <row r="85" spans="1:51" x14ac:dyDescent="0.25">
      <c r="A85">
        <v>84</v>
      </c>
      <c r="B85" s="32">
        <f t="shared" si="12"/>
        <v>0</v>
      </c>
      <c r="C85" s="32">
        <f t="shared" si="13"/>
        <v>0</v>
      </c>
      <c r="D85" s="32" t="str">
        <f t="shared" si="17"/>
        <v>No Gs</v>
      </c>
      <c r="E85" s="32">
        <f t="shared" si="21"/>
        <v>0</v>
      </c>
      <c r="F85" s="32" t="str">
        <f t="shared" si="22"/>
        <v>No Gs</v>
      </c>
      <c r="G85" s="32" t="str">
        <f t="shared" si="23"/>
        <v>No Gs</v>
      </c>
      <c r="H85" s="32" t="str">
        <f t="shared" si="14"/>
        <v>Gs is needed</v>
      </c>
      <c r="I85" s="32" t="str">
        <f t="shared" si="15"/>
        <v>Gs is needed</v>
      </c>
      <c r="J85" s="32" t="str">
        <f t="shared" si="16"/>
        <v>Gs is needed</v>
      </c>
      <c r="K85" s="32" t="str">
        <f t="shared" si="18"/>
        <v>Need Max and Min</v>
      </c>
      <c r="L85" s="32" t="str">
        <f t="shared" si="19"/>
        <v>Need Max and Min</v>
      </c>
      <c r="M85" s="32" t="str">
        <f t="shared" si="20"/>
        <v>Fail</v>
      </c>
      <c r="N85" s="32"/>
      <c r="O85" s="31">
        <f>'mnt Data'!A88</f>
        <v>0</v>
      </c>
      <c r="P85" s="31">
        <f>'mnt Data'!B88</f>
        <v>0</v>
      </c>
      <c r="Q85" s="31">
        <f>'mnt Data'!C88</f>
        <v>0</v>
      </c>
      <c r="R85" s="31">
        <f>'mnt Data'!D88</f>
        <v>0</v>
      </c>
      <c r="S85" s="31">
        <f>'mnt Data'!E88</f>
        <v>0</v>
      </c>
      <c r="T85" s="31">
        <f>'mnt Data'!F88</f>
        <v>0</v>
      </c>
      <c r="U85" s="31">
        <f>'mnt Data'!G88</f>
        <v>0</v>
      </c>
      <c r="V85" s="31">
        <f>'mnt Data'!H88</f>
        <v>0</v>
      </c>
      <c r="W85" s="31">
        <f>'mnt Data'!I88</f>
        <v>0</v>
      </c>
      <c r="X85" s="31">
        <f>'mnt Data'!J88</f>
        <v>0</v>
      </c>
      <c r="Y85" s="31">
        <f>'mnt Data'!K88</f>
        <v>0</v>
      </c>
      <c r="Z85" s="31">
        <f>'mnt Data'!L88</f>
        <v>0</v>
      </c>
      <c r="AA85" s="31">
        <f>'mnt Data'!M88</f>
        <v>0</v>
      </c>
      <c r="AB85" s="31">
        <f>'mnt Data'!N88</f>
        <v>0</v>
      </c>
      <c r="AC85" s="31">
        <f>'mnt Data'!O88</f>
        <v>0</v>
      </c>
      <c r="AD85" s="31">
        <f>'mnt Data'!P88</f>
        <v>0</v>
      </c>
      <c r="AE85" s="31">
        <f>'mnt Data'!Q88</f>
        <v>0</v>
      </c>
      <c r="AF85" s="31">
        <f>'mnt Data'!R88</f>
        <v>0</v>
      </c>
      <c r="AG85" s="31">
        <f>'mnt Data'!S88</f>
        <v>0</v>
      </c>
      <c r="AH85" s="31">
        <f>'mnt Data'!T88</f>
        <v>0</v>
      </c>
      <c r="AI85" s="31">
        <f>'mnt Data'!U88</f>
        <v>0</v>
      </c>
      <c r="AJ85" s="31">
        <f>'mnt Data'!V88</f>
        <v>0</v>
      </c>
      <c r="AK85" s="31">
        <f>'mnt Data'!W88</f>
        <v>0</v>
      </c>
      <c r="AL85" s="31">
        <f>'mnt Data'!X88</f>
        <v>0</v>
      </c>
      <c r="AM85" s="31">
        <f>'mnt Data'!Y88</f>
        <v>0</v>
      </c>
      <c r="AN85" s="31">
        <f>'mnt Data'!Z88</f>
        <v>0</v>
      </c>
      <c r="AO85" s="31">
        <f>'mnt Data'!AA88</f>
        <v>0</v>
      </c>
      <c r="AP85" s="31">
        <f>'mnt Data'!AB88</f>
        <v>0</v>
      </c>
      <c r="AQ85" s="31">
        <f>'mnt Data'!AC88</f>
        <v>0</v>
      </c>
      <c r="AR85" s="31">
        <f>'mnt Data'!AD88</f>
        <v>0</v>
      </c>
      <c r="AS85" s="31">
        <f>'mnt Data'!AE88</f>
        <v>0</v>
      </c>
      <c r="AT85" s="31">
        <f>'mnt Data'!AF88</f>
        <v>0</v>
      </c>
      <c r="AU85" s="31">
        <f>'mnt Data'!AG88</f>
        <v>0</v>
      </c>
      <c r="AV85" s="31">
        <f>'mnt Data'!AH88</f>
        <v>0</v>
      </c>
      <c r="AW85" s="31">
        <f>'mnt Data'!AI88</f>
        <v>0</v>
      </c>
      <c r="AX85" s="31">
        <f>'mnt Data'!AJ88</f>
        <v>0</v>
      </c>
      <c r="AY85" s="31">
        <f>'mnt Data'!AK88</f>
        <v>0</v>
      </c>
    </row>
    <row r="86" spans="1:51" x14ac:dyDescent="0.25">
      <c r="A86">
        <v>85</v>
      </c>
      <c r="B86" s="32">
        <f t="shared" si="12"/>
        <v>0</v>
      </c>
      <c r="C86" s="32">
        <f t="shared" si="13"/>
        <v>0</v>
      </c>
      <c r="D86" s="32" t="str">
        <f t="shared" si="17"/>
        <v>No Gs</v>
      </c>
      <c r="E86" s="32">
        <f t="shared" si="21"/>
        <v>0</v>
      </c>
      <c r="F86" s="32" t="str">
        <f t="shared" si="22"/>
        <v>No Gs</v>
      </c>
      <c r="G86" s="32" t="str">
        <f t="shared" si="23"/>
        <v>No Gs</v>
      </c>
      <c r="H86" s="32" t="str">
        <f t="shared" si="14"/>
        <v>Gs is needed</v>
      </c>
      <c r="I86" s="32" t="str">
        <f t="shared" si="15"/>
        <v>Gs is needed</v>
      </c>
      <c r="J86" s="32" t="str">
        <f t="shared" si="16"/>
        <v>Gs is needed</v>
      </c>
      <c r="K86" s="32" t="str">
        <f t="shared" si="18"/>
        <v>Need Max and Min</v>
      </c>
      <c r="L86" s="32" t="str">
        <f t="shared" si="19"/>
        <v>Need Max and Min</v>
      </c>
      <c r="M86" s="32" t="str">
        <f t="shared" si="20"/>
        <v>Fail</v>
      </c>
      <c r="N86" s="32"/>
      <c r="O86" s="31">
        <f>'mnt Data'!A89</f>
        <v>0</v>
      </c>
      <c r="P86" s="31">
        <f>'mnt Data'!B89</f>
        <v>0</v>
      </c>
      <c r="Q86" s="31">
        <f>'mnt Data'!C89</f>
        <v>0</v>
      </c>
      <c r="R86" s="31">
        <f>'mnt Data'!D89</f>
        <v>0</v>
      </c>
      <c r="S86" s="31">
        <f>'mnt Data'!E89</f>
        <v>0</v>
      </c>
      <c r="T86" s="31">
        <f>'mnt Data'!F89</f>
        <v>0</v>
      </c>
      <c r="U86" s="31">
        <f>'mnt Data'!G89</f>
        <v>0</v>
      </c>
      <c r="V86" s="31">
        <f>'mnt Data'!H89</f>
        <v>0</v>
      </c>
      <c r="W86" s="31">
        <f>'mnt Data'!I89</f>
        <v>0</v>
      </c>
      <c r="X86" s="31">
        <f>'mnt Data'!J89</f>
        <v>0</v>
      </c>
      <c r="Y86" s="31">
        <f>'mnt Data'!K89</f>
        <v>0</v>
      </c>
      <c r="Z86" s="31">
        <f>'mnt Data'!L89</f>
        <v>0</v>
      </c>
      <c r="AA86" s="31">
        <f>'mnt Data'!M89</f>
        <v>0</v>
      </c>
      <c r="AB86" s="31">
        <f>'mnt Data'!N89</f>
        <v>0</v>
      </c>
      <c r="AC86" s="31">
        <f>'mnt Data'!O89</f>
        <v>0</v>
      </c>
      <c r="AD86" s="31">
        <f>'mnt Data'!P89</f>
        <v>0</v>
      </c>
      <c r="AE86" s="31">
        <f>'mnt Data'!Q89</f>
        <v>0</v>
      </c>
      <c r="AF86" s="31">
        <f>'mnt Data'!R89</f>
        <v>0</v>
      </c>
      <c r="AG86" s="31">
        <f>'mnt Data'!S89</f>
        <v>0</v>
      </c>
      <c r="AH86" s="31">
        <f>'mnt Data'!T89</f>
        <v>0</v>
      </c>
      <c r="AI86" s="31">
        <f>'mnt Data'!U89</f>
        <v>0</v>
      </c>
      <c r="AJ86" s="31">
        <f>'mnt Data'!V89</f>
        <v>0</v>
      </c>
      <c r="AK86" s="31">
        <f>'mnt Data'!W89</f>
        <v>0</v>
      </c>
      <c r="AL86" s="31">
        <f>'mnt Data'!X89</f>
        <v>0</v>
      </c>
      <c r="AM86" s="31">
        <f>'mnt Data'!Y89</f>
        <v>0</v>
      </c>
      <c r="AN86" s="31">
        <f>'mnt Data'!Z89</f>
        <v>0</v>
      </c>
      <c r="AO86" s="31">
        <f>'mnt Data'!AA89</f>
        <v>0</v>
      </c>
      <c r="AP86" s="31">
        <f>'mnt Data'!AB89</f>
        <v>0</v>
      </c>
      <c r="AQ86" s="31">
        <f>'mnt Data'!AC89</f>
        <v>0</v>
      </c>
      <c r="AR86" s="31">
        <f>'mnt Data'!AD89</f>
        <v>0</v>
      </c>
      <c r="AS86" s="31">
        <f>'mnt Data'!AE89</f>
        <v>0</v>
      </c>
      <c r="AT86" s="31">
        <f>'mnt Data'!AF89</f>
        <v>0</v>
      </c>
      <c r="AU86" s="31">
        <f>'mnt Data'!AG89</f>
        <v>0</v>
      </c>
      <c r="AV86" s="31">
        <f>'mnt Data'!AH89</f>
        <v>0</v>
      </c>
      <c r="AW86" s="31">
        <f>'mnt Data'!AI89</f>
        <v>0</v>
      </c>
      <c r="AX86" s="31">
        <f>'mnt Data'!AJ89</f>
        <v>0</v>
      </c>
      <c r="AY86" s="31">
        <f>'mnt Data'!AK89</f>
        <v>0</v>
      </c>
    </row>
    <row r="87" spans="1:51" x14ac:dyDescent="0.25">
      <c r="A87">
        <v>86</v>
      </c>
      <c r="B87" s="32">
        <f t="shared" si="12"/>
        <v>0</v>
      </c>
      <c r="C87" s="32">
        <f t="shared" si="13"/>
        <v>0</v>
      </c>
      <c r="D87" s="32" t="str">
        <f t="shared" si="17"/>
        <v>No Gs</v>
      </c>
      <c r="E87" s="32">
        <f t="shared" si="21"/>
        <v>0</v>
      </c>
      <c r="F87" s="32" t="str">
        <f t="shared" si="22"/>
        <v>No Gs</v>
      </c>
      <c r="G87" s="32" t="str">
        <f t="shared" si="23"/>
        <v>No Gs</v>
      </c>
      <c r="H87" s="32" t="str">
        <f t="shared" si="14"/>
        <v>Gs is needed</v>
      </c>
      <c r="I87" s="32" t="str">
        <f t="shared" si="15"/>
        <v>Gs is needed</v>
      </c>
      <c r="J87" s="32" t="str">
        <f t="shared" si="16"/>
        <v>Gs is needed</v>
      </c>
      <c r="K87" s="32" t="str">
        <f t="shared" si="18"/>
        <v>Need Max and Min</v>
      </c>
      <c r="L87" s="32" t="str">
        <f t="shared" si="19"/>
        <v>Need Max and Min</v>
      </c>
      <c r="M87" s="32" t="str">
        <f t="shared" si="20"/>
        <v>Fail</v>
      </c>
      <c r="N87" s="32"/>
      <c r="O87" s="31">
        <f>'mnt Data'!A90</f>
        <v>0</v>
      </c>
      <c r="P87" s="31">
        <f>'mnt Data'!B90</f>
        <v>0</v>
      </c>
      <c r="Q87" s="31">
        <f>'mnt Data'!C90</f>
        <v>0</v>
      </c>
      <c r="R87" s="31">
        <f>'mnt Data'!D90</f>
        <v>0</v>
      </c>
      <c r="S87" s="31">
        <f>'mnt Data'!E90</f>
        <v>0</v>
      </c>
      <c r="T87" s="31">
        <f>'mnt Data'!F90</f>
        <v>0</v>
      </c>
      <c r="U87" s="31">
        <f>'mnt Data'!G90</f>
        <v>0</v>
      </c>
      <c r="V87" s="31">
        <f>'mnt Data'!H90</f>
        <v>0</v>
      </c>
      <c r="W87" s="31">
        <f>'mnt Data'!I90</f>
        <v>0</v>
      </c>
      <c r="X87" s="31">
        <f>'mnt Data'!J90</f>
        <v>0</v>
      </c>
      <c r="Y87" s="31">
        <f>'mnt Data'!K90</f>
        <v>0</v>
      </c>
      <c r="Z87" s="31">
        <f>'mnt Data'!L90</f>
        <v>0</v>
      </c>
      <c r="AA87" s="31">
        <f>'mnt Data'!M90</f>
        <v>0</v>
      </c>
      <c r="AB87" s="31">
        <f>'mnt Data'!N90</f>
        <v>0</v>
      </c>
      <c r="AC87" s="31">
        <f>'mnt Data'!O90</f>
        <v>0</v>
      </c>
      <c r="AD87" s="31">
        <f>'mnt Data'!P90</f>
        <v>0</v>
      </c>
      <c r="AE87" s="31">
        <f>'mnt Data'!Q90</f>
        <v>0</v>
      </c>
      <c r="AF87" s="31">
        <f>'mnt Data'!R90</f>
        <v>0</v>
      </c>
      <c r="AG87" s="31">
        <f>'mnt Data'!S90</f>
        <v>0</v>
      </c>
      <c r="AH87" s="31">
        <f>'mnt Data'!T90</f>
        <v>0</v>
      </c>
      <c r="AI87" s="31">
        <f>'mnt Data'!U90</f>
        <v>0</v>
      </c>
      <c r="AJ87" s="31">
        <f>'mnt Data'!V90</f>
        <v>0</v>
      </c>
      <c r="AK87" s="31">
        <f>'mnt Data'!W90</f>
        <v>0</v>
      </c>
      <c r="AL87" s="31">
        <f>'mnt Data'!X90</f>
        <v>0</v>
      </c>
      <c r="AM87" s="31">
        <f>'mnt Data'!Y90</f>
        <v>0</v>
      </c>
      <c r="AN87" s="31">
        <f>'mnt Data'!Z90</f>
        <v>0</v>
      </c>
      <c r="AO87" s="31">
        <f>'mnt Data'!AA90</f>
        <v>0</v>
      </c>
      <c r="AP87" s="31">
        <f>'mnt Data'!AB90</f>
        <v>0</v>
      </c>
      <c r="AQ87" s="31">
        <f>'mnt Data'!AC90</f>
        <v>0</v>
      </c>
      <c r="AR87" s="31">
        <f>'mnt Data'!AD90</f>
        <v>0</v>
      </c>
      <c r="AS87" s="31">
        <f>'mnt Data'!AE90</f>
        <v>0</v>
      </c>
      <c r="AT87" s="31">
        <f>'mnt Data'!AF90</f>
        <v>0</v>
      </c>
      <c r="AU87" s="31">
        <f>'mnt Data'!AG90</f>
        <v>0</v>
      </c>
      <c r="AV87" s="31">
        <f>'mnt Data'!AH90</f>
        <v>0</v>
      </c>
      <c r="AW87" s="31">
        <f>'mnt Data'!AI90</f>
        <v>0</v>
      </c>
      <c r="AX87" s="31">
        <f>'mnt Data'!AJ90</f>
        <v>0</v>
      </c>
      <c r="AY87" s="31">
        <f>'mnt Data'!AK90</f>
        <v>0</v>
      </c>
    </row>
    <row r="88" spans="1:51" x14ac:dyDescent="0.25">
      <c r="A88">
        <v>87</v>
      </c>
      <c r="B88" s="32">
        <f t="shared" si="12"/>
        <v>0</v>
      </c>
      <c r="C88" s="32">
        <f t="shared" si="13"/>
        <v>0</v>
      </c>
      <c r="D88" s="32" t="str">
        <f t="shared" si="17"/>
        <v>No Gs</v>
      </c>
      <c r="E88" s="32">
        <f t="shared" si="21"/>
        <v>0</v>
      </c>
      <c r="F88" s="32" t="str">
        <f t="shared" si="22"/>
        <v>No Gs</v>
      </c>
      <c r="G88" s="32" t="str">
        <f t="shared" si="23"/>
        <v>No Gs</v>
      </c>
      <c r="H88" s="32" t="str">
        <f t="shared" si="14"/>
        <v>Gs is needed</v>
      </c>
      <c r="I88" s="32" t="str">
        <f t="shared" si="15"/>
        <v>Gs is needed</v>
      </c>
      <c r="J88" s="32" t="str">
        <f t="shared" si="16"/>
        <v>Gs is needed</v>
      </c>
      <c r="K88" s="32" t="str">
        <f t="shared" si="18"/>
        <v>Need Max and Min</v>
      </c>
      <c r="L88" s="32" t="str">
        <f t="shared" si="19"/>
        <v>Need Max and Min</v>
      </c>
      <c r="M88" s="32" t="str">
        <f t="shared" si="20"/>
        <v>Fail</v>
      </c>
      <c r="N88" s="32"/>
      <c r="O88" s="31">
        <f>'mnt Data'!A91</f>
        <v>0</v>
      </c>
      <c r="P88" s="31">
        <f>'mnt Data'!B91</f>
        <v>0</v>
      </c>
      <c r="Q88" s="31">
        <f>'mnt Data'!C91</f>
        <v>0</v>
      </c>
      <c r="R88" s="31">
        <f>'mnt Data'!D91</f>
        <v>0</v>
      </c>
      <c r="S88" s="31">
        <f>'mnt Data'!E91</f>
        <v>0</v>
      </c>
      <c r="T88" s="31">
        <f>'mnt Data'!F91</f>
        <v>0</v>
      </c>
      <c r="U88" s="31">
        <f>'mnt Data'!G91</f>
        <v>0</v>
      </c>
      <c r="V88" s="31">
        <f>'mnt Data'!H91</f>
        <v>0</v>
      </c>
      <c r="W88" s="31">
        <f>'mnt Data'!I91</f>
        <v>0</v>
      </c>
      <c r="X88" s="31">
        <f>'mnt Data'!J91</f>
        <v>0</v>
      </c>
      <c r="Y88" s="31">
        <f>'mnt Data'!K91</f>
        <v>0</v>
      </c>
      <c r="Z88" s="31">
        <f>'mnt Data'!L91</f>
        <v>0</v>
      </c>
      <c r="AA88" s="31">
        <f>'mnt Data'!M91</f>
        <v>0</v>
      </c>
      <c r="AB88" s="31">
        <f>'mnt Data'!N91</f>
        <v>0</v>
      </c>
      <c r="AC88" s="31">
        <f>'mnt Data'!O91</f>
        <v>0</v>
      </c>
      <c r="AD88" s="31">
        <f>'mnt Data'!P91</f>
        <v>0</v>
      </c>
      <c r="AE88" s="31">
        <f>'mnt Data'!Q91</f>
        <v>0</v>
      </c>
      <c r="AF88" s="31">
        <f>'mnt Data'!R91</f>
        <v>0</v>
      </c>
      <c r="AG88" s="31">
        <f>'mnt Data'!S91</f>
        <v>0</v>
      </c>
      <c r="AH88" s="31">
        <f>'mnt Data'!T91</f>
        <v>0</v>
      </c>
      <c r="AI88" s="31">
        <f>'mnt Data'!U91</f>
        <v>0</v>
      </c>
      <c r="AJ88" s="31">
        <f>'mnt Data'!V91</f>
        <v>0</v>
      </c>
      <c r="AK88" s="31">
        <f>'mnt Data'!W91</f>
        <v>0</v>
      </c>
      <c r="AL88" s="31">
        <f>'mnt Data'!X91</f>
        <v>0</v>
      </c>
      <c r="AM88" s="31">
        <f>'mnt Data'!Y91</f>
        <v>0</v>
      </c>
      <c r="AN88" s="31">
        <f>'mnt Data'!Z91</f>
        <v>0</v>
      </c>
      <c r="AO88" s="31">
        <f>'mnt Data'!AA91</f>
        <v>0</v>
      </c>
      <c r="AP88" s="31">
        <f>'mnt Data'!AB91</f>
        <v>0</v>
      </c>
      <c r="AQ88" s="31">
        <f>'mnt Data'!AC91</f>
        <v>0</v>
      </c>
      <c r="AR88" s="31">
        <f>'mnt Data'!AD91</f>
        <v>0</v>
      </c>
      <c r="AS88" s="31">
        <f>'mnt Data'!AE91</f>
        <v>0</v>
      </c>
      <c r="AT88" s="31">
        <f>'mnt Data'!AF91</f>
        <v>0</v>
      </c>
      <c r="AU88" s="31">
        <f>'mnt Data'!AG91</f>
        <v>0</v>
      </c>
      <c r="AV88" s="31">
        <f>'mnt Data'!AH91</f>
        <v>0</v>
      </c>
      <c r="AW88" s="31">
        <f>'mnt Data'!AI91</f>
        <v>0</v>
      </c>
      <c r="AX88" s="31">
        <f>'mnt Data'!AJ91</f>
        <v>0</v>
      </c>
      <c r="AY88" s="31">
        <f>'mnt Data'!AK91</f>
        <v>0</v>
      </c>
    </row>
    <row r="89" spans="1:51" x14ac:dyDescent="0.25">
      <c r="A89">
        <v>88</v>
      </c>
      <c r="B89" s="32">
        <f t="shared" si="12"/>
        <v>0</v>
      </c>
      <c r="C89" s="32">
        <f t="shared" si="13"/>
        <v>0</v>
      </c>
      <c r="D89" s="32" t="str">
        <f t="shared" si="17"/>
        <v>No Gs</v>
      </c>
      <c r="E89" s="32">
        <f t="shared" si="21"/>
        <v>0</v>
      </c>
      <c r="F89" s="32" t="str">
        <f t="shared" si="22"/>
        <v>No Gs</v>
      </c>
      <c r="G89" s="32" t="str">
        <f t="shared" si="23"/>
        <v>No Gs</v>
      </c>
      <c r="H89" s="32" t="str">
        <f t="shared" si="14"/>
        <v>Gs is needed</v>
      </c>
      <c r="I89" s="32" t="str">
        <f t="shared" si="15"/>
        <v>Gs is needed</v>
      </c>
      <c r="J89" s="32" t="str">
        <f t="shared" si="16"/>
        <v>Gs is needed</v>
      </c>
      <c r="K89" s="32" t="str">
        <f t="shared" si="18"/>
        <v>Need Max and Min</v>
      </c>
      <c r="L89" s="32" t="str">
        <f t="shared" si="19"/>
        <v>Need Max and Min</v>
      </c>
      <c r="M89" s="32" t="str">
        <f t="shared" si="20"/>
        <v>Fail</v>
      </c>
      <c r="N89" s="32"/>
      <c r="O89" s="31">
        <f>'mnt Data'!A92</f>
        <v>0</v>
      </c>
      <c r="P89" s="31">
        <f>'mnt Data'!B92</f>
        <v>0</v>
      </c>
      <c r="Q89" s="31">
        <f>'mnt Data'!C92</f>
        <v>0</v>
      </c>
      <c r="R89" s="31">
        <f>'mnt Data'!D92</f>
        <v>0</v>
      </c>
      <c r="S89" s="31">
        <f>'mnt Data'!E92</f>
        <v>0</v>
      </c>
      <c r="T89" s="31">
        <f>'mnt Data'!F92</f>
        <v>0</v>
      </c>
      <c r="U89" s="31">
        <f>'mnt Data'!G92</f>
        <v>0</v>
      </c>
      <c r="V89" s="31">
        <f>'mnt Data'!H92</f>
        <v>0</v>
      </c>
      <c r="W89" s="31">
        <f>'mnt Data'!I92</f>
        <v>0</v>
      </c>
      <c r="X89" s="31">
        <f>'mnt Data'!J92</f>
        <v>0</v>
      </c>
      <c r="Y89" s="31">
        <f>'mnt Data'!K92</f>
        <v>0</v>
      </c>
      <c r="Z89" s="31">
        <f>'mnt Data'!L92</f>
        <v>0</v>
      </c>
      <c r="AA89" s="31">
        <f>'mnt Data'!M92</f>
        <v>0</v>
      </c>
      <c r="AB89" s="31">
        <f>'mnt Data'!N92</f>
        <v>0</v>
      </c>
      <c r="AC89" s="31">
        <f>'mnt Data'!O92</f>
        <v>0</v>
      </c>
      <c r="AD89" s="31">
        <f>'mnt Data'!P92</f>
        <v>0</v>
      </c>
      <c r="AE89" s="31">
        <f>'mnt Data'!Q92</f>
        <v>0</v>
      </c>
      <c r="AF89" s="31">
        <f>'mnt Data'!R92</f>
        <v>0</v>
      </c>
      <c r="AG89" s="31">
        <f>'mnt Data'!S92</f>
        <v>0</v>
      </c>
      <c r="AH89" s="31">
        <f>'mnt Data'!T92</f>
        <v>0</v>
      </c>
      <c r="AI89" s="31">
        <f>'mnt Data'!U92</f>
        <v>0</v>
      </c>
      <c r="AJ89" s="31">
        <f>'mnt Data'!V92</f>
        <v>0</v>
      </c>
      <c r="AK89" s="31">
        <f>'mnt Data'!W92</f>
        <v>0</v>
      </c>
      <c r="AL89" s="31">
        <f>'mnt Data'!X92</f>
        <v>0</v>
      </c>
      <c r="AM89" s="31">
        <f>'mnt Data'!Y92</f>
        <v>0</v>
      </c>
      <c r="AN89" s="31">
        <f>'mnt Data'!Z92</f>
        <v>0</v>
      </c>
      <c r="AO89" s="31">
        <f>'mnt Data'!AA92</f>
        <v>0</v>
      </c>
      <c r="AP89" s="31">
        <f>'mnt Data'!AB92</f>
        <v>0</v>
      </c>
      <c r="AQ89" s="31">
        <f>'mnt Data'!AC92</f>
        <v>0</v>
      </c>
      <c r="AR89" s="31">
        <f>'mnt Data'!AD92</f>
        <v>0</v>
      </c>
      <c r="AS89" s="31">
        <f>'mnt Data'!AE92</f>
        <v>0</v>
      </c>
      <c r="AT89" s="31">
        <f>'mnt Data'!AF92</f>
        <v>0</v>
      </c>
      <c r="AU89" s="31">
        <f>'mnt Data'!AG92</f>
        <v>0</v>
      </c>
      <c r="AV89" s="31">
        <f>'mnt Data'!AH92</f>
        <v>0</v>
      </c>
      <c r="AW89" s="31">
        <f>'mnt Data'!AI92</f>
        <v>0</v>
      </c>
      <c r="AX89" s="31">
        <f>'mnt Data'!AJ92</f>
        <v>0</v>
      </c>
      <c r="AY89" s="31">
        <f>'mnt Data'!AK92</f>
        <v>0</v>
      </c>
    </row>
    <row r="90" spans="1:51" x14ac:dyDescent="0.25">
      <c r="A90">
        <v>89</v>
      </c>
      <c r="B90" s="32">
        <f t="shared" si="12"/>
        <v>0</v>
      </c>
      <c r="C90" s="32">
        <f t="shared" si="13"/>
        <v>0</v>
      </c>
      <c r="D90" s="32" t="str">
        <f t="shared" si="17"/>
        <v>No Gs</v>
      </c>
      <c r="E90" s="32">
        <f t="shared" si="21"/>
        <v>0</v>
      </c>
      <c r="F90" s="32" t="str">
        <f t="shared" si="22"/>
        <v>No Gs</v>
      </c>
      <c r="G90" s="32" t="str">
        <f t="shared" si="23"/>
        <v>No Gs</v>
      </c>
      <c r="H90" s="32" t="str">
        <f t="shared" si="14"/>
        <v>Gs is needed</v>
      </c>
      <c r="I90" s="32" t="str">
        <f t="shared" si="15"/>
        <v>Gs is needed</v>
      </c>
      <c r="J90" s="32" t="str">
        <f t="shared" si="16"/>
        <v>Gs is needed</v>
      </c>
      <c r="K90" s="32" t="str">
        <f t="shared" si="18"/>
        <v>Need Max and Min</v>
      </c>
      <c r="L90" s="32" t="str">
        <f t="shared" si="19"/>
        <v>Need Max and Min</v>
      </c>
      <c r="M90" s="32" t="str">
        <f t="shared" si="20"/>
        <v>Fail</v>
      </c>
      <c r="N90" s="32"/>
      <c r="O90" s="31">
        <f>'mnt Data'!A93</f>
        <v>0</v>
      </c>
      <c r="P90" s="31">
        <f>'mnt Data'!B93</f>
        <v>0</v>
      </c>
      <c r="Q90" s="31">
        <f>'mnt Data'!C93</f>
        <v>0</v>
      </c>
      <c r="R90" s="31">
        <f>'mnt Data'!D93</f>
        <v>0</v>
      </c>
      <c r="S90" s="31">
        <f>'mnt Data'!E93</f>
        <v>0</v>
      </c>
      <c r="T90" s="31">
        <f>'mnt Data'!F93</f>
        <v>0</v>
      </c>
      <c r="U90" s="31">
        <f>'mnt Data'!G93</f>
        <v>0</v>
      </c>
      <c r="V90" s="31">
        <f>'mnt Data'!H93</f>
        <v>0</v>
      </c>
      <c r="W90" s="31">
        <f>'mnt Data'!I93</f>
        <v>0</v>
      </c>
      <c r="X90" s="31">
        <f>'mnt Data'!J93</f>
        <v>0</v>
      </c>
      <c r="Y90" s="31">
        <f>'mnt Data'!K93</f>
        <v>0</v>
      </c>
      <c r="Z90" s="31">
        <f>'mnt Data'!L93</f>
        <v>0</v>
      </c>
      <c r="AA90" s="31">
        <f>'mnt Data'!M93</f>
        <v>0</v>
      </c>
      <c r="AB90" s="31">
        <f>'mnt Data'!N93</f>
        <v>0</v>
      </c>
      <c r="AC90" s="31">
        <f>'mnt Data'!O93</f>
        <v>0</v>
      </c>
      <c r="AD90" s="31">
        <f>'mnt Data'!P93</f>
        <v>0</v>
      </c>
      <c r="AE90" s="31">
        <f>'mnt Data'!Q93</f>
        <v>0</v>
      </c>
      <c r="AF90" s="31">
        <f>'mnt Data'!R93</f>
        <v>0</v>
      </c>
      <c r="AG90" s="31">
        <f>'mnt Data'!S93</f>
        <v>0</v>
      </c>
      <c r="AH90" s="31">
        <f>'mnt Data'!T93</f>
        <v>0</v>
      </c>
      <c r="AI90" s="31">
        <f>'mnt Data'!U93</f>
        <v>0</v>
      </c>
      <c r="AJ90" s="31">
        <f>'mnt Data'!V93</f>
        <v>0</v>
      </c>
      <c r="AK90" s="31">
        <f>'mnt Data'!W93</f>
        <v>0</v>
      </c>
      <c r="AL90" s="31">
        <f>'mnt Data'!X93</f>
        <v>0</v>
      </c>
      <c r="AM90" s="31">
        <f>'mnt Data'!Y93</f>
        <v>0</v>
      </c>
      <c r="AN90" s="31">
        <f>'mnt Data'!Z93</f>
        <v>0</v>
      </c>
      <c r="AO90" s="31">
        <f>'mnt Data'!AA93</f>
        <v>0</v>
      </c>
      <c r="AP90" s="31">
        <f>'mnt Data'!AB93</f>
        <v>0</v>
      </c>
      <c r="AQ90" s="31">
        <f>'mnt Data'!AC93</f>
        <v>0</v>
      </c>
      <c r="AR90" s="31">
        <f>'mnt Data'!AD93</f>
        <v>0</v>
      </c>
      <c r="AS90" s="31">
        <f>'mnt Data'!AE93</f>
        <v>0</v>
      </c>
      <c r="AT90" s="31">
        <f>'mnt Data'!AF93</f>
        <v>0</v>
      </c>
      <c r="AU90" s="31">
        <f>'mnt Data'!AG93</f>
        <v>0</v>
      </c>
      <c r="AV90" s="31">
        <f>'mnt Data'!AH93</f>
        <v>0</v>
      </c>
      <c r="AW90" s="31">
        <f>'mnt Data'!AI93</f>
        <v>0</v>
      </c>
      <c r="AX90" s="31">
        <f>'mnt Data'!AJ93</f>
        <v>0</v>
      </c>
      <c r="AY90" s="31">
        <f>'mnt Data'!AK93</f>
        <v>0</v>
      </c>
    </row>
    <row r="91" spans="1:51" x14ac:dyDescent="0.25">
      <c r="A91">
        <v>90</v>
      </c>
      <c r="B91" s="32">
        <f t="shared" si="12"/>
        <v>0</v>
      </c>
      <c r="C91" s="32">
        <f t="shared" si="13"/>
        <v>0</v>
      </c>
      <c r="D91" s="32" t="str">
        <f t="shared" si="17"/>
        <v>No Gs</v>
      </c>
      <c r="E91" s="32">
        <f t="shared" si="21"/>
        <v>0</v>
      </c>
      <c r="F91" s="32" t="str">
        <f t="shared" si="22"/>
        <v>No Gs</v>
      </c>
      <c r="G91" s="32" t="str">
        <f t="shared" si="23"/>
        <v>No Gs</v>
      </c>
      <c r="H91" s="32" t="str">
        <f t="shared" si="14"/>
        <v>Gs is needed</v>
      </c>
      <c r="I91" s="32" t="str">
        <f t="shared" si="15"/>
        <v>Gs is needed</v>
      </c>
      <c r="J91" s="32" t="str">
        <f t="shared" si="16"/>
        <v>Gs is needed</v>
      </c>
      <c r="K91" s="32" t="str">
        <f t="shared" si="18"/>
        <v>Need Max and Min</v>
      </c>
      <c r="L91" s="32" t="str">
        <f t="shared" si="19"/>
        <v>Need Max and Min</v>
      </c>
      <c r="M91" s="32" t="str">
        <f t="shared" si="20"/>
        <v>Fail</v>
      </c>
      <c r="N91" s="32"/>
      <c r="O91" s="31">
        <f>'mnt Data'!A94</f>
        <v>0</v>
      </c>
      <c r="P91" s="31">
        <f>'mnt Data'!B94</f>
        <v>0</v>
      </c>
      <c r="Q91" s="31">
        <f>'mnt Data'!C94</f>
        <v>0</v>
      </c>
      <c r="R91" s="31">
        <f>'mnt Data'!D94</f>
        <v>0</v>
      </c>
      <c r="S91" s="31">
        <f>'mnt Data'!E94</f>
        <v>0</v>
      </c>
      <c r="T91" s="31">
        <f>'mnt Data'!F94</f>
        <v>0</v>
      </c>
      <c r="U91" s="31">
        <f>'mnt Data'!G94</f>
        <v>0</v>
      </c>
      <c r="V91" s="31">
        <f>'mnt Data'!H94</f>
        <v>0</v>
      </c>
      <c r="W91" s="31">
        <f>'mnt Data'!I94</f>
        <v>0</v>
      </c>
      <c r="X91" s="31">
        <f>'mnt Data'!J94</f>
        <v>0</v>
      </c>
      <c r="Y91" s="31">
        <f>'mnt Data'!K94</f>
        <v>0</v>
      </c>
      <c r="Z91" s="31">
        <f>'mnt Data'!L94</f>
        <v>0</v>
      </c>
      <c r="AA91" s="31">
        <f>'mnt Data'!M94</f>
        <v>0</v>
      </c>
      <c r="AB91" s="31">
        <f>'mnt Data'!N94</f>
        <v>0</v>
      </c>
      <c r="AC91" s="31">
        <f>'mnt Data'!O94</f>
        <v>0</v>
      </c>
      <c r="AD91" s="31">
        <f>'mnt Data'!P94</f>
        <v>0</v>
      </c>
      <c r="AE91" s="31">
        <f>'mnt Data'!Q94</f>
        <v>0</v>
      </c>
      <c r="AF91" s="31">
        <f>'mnt Data'!R94</f>
        <v>0</v>
      </c>
      <c r="AG91" s="31">
        <f>'mnt Data'!S94</f>
        <v>0</v>
      </c>
      <c r="AH91" s="31">
        <f>'mnt Data'!T94</f>
        <v>0</v>
      </c>
      <c r="AI91" s="31">
        <f>'mnt Data'!U94</f>
        <v>0</v>
      </c>
      <c r="AJ91" s="31">
        <f>'mnt Data'!V94</f>
        <v>0</v>
      </c>
      <c r="AK91" s="31">
        <f>'mnt Data'!W94</f>
        <v>0</v>
      </c>
      <c r="AL91" s="31">
        <f>'mnt Data'!X94</f>
        <v>0</v>
      </c>
      <c r="AM91" s="31">
        <f>'mnt Data'!Y94</f>
        <v>0</v>
      </c>
      <c r="AN91" s="31">
        <f>'mnt Data'!Z94</f>
        <v>0</v>
      </c>
      <c r="AO91" s="31">
        <f>'mnt Data'!AA94</f>
        <v>0</v>
      </c>
      <c r="AP91" s="31">
        <f>'mnt Data'!AB94</f>
        <v>0</v>
      </c>
      <c r="AQ91" s="31">
        <f>'mnt Data'!AC94</f>
        <v>0</v>
      </c>
      <c r="AR91" s="31">
        <f>'mnt Data'!AD94</f>
        <v>0</v>
      </c>
      <c r="AS91" s="31">
        <f>'mnt Data'!AE94</f>
        <v>0</v>
      </c>
      <c r="AT91" s="31">
        <f>'mnt Data'!AF94</f>
        <v>0</v>
      </c>
      <c r="AU91" s="31">
        <f>'mnt Data'!AG94</f>
        <v>0</v>
      </c>
      <c r="AV91" s="31">
        <f>'mnt Data'!AH94</f>
        <v>0</v>
      </c>
      <c r="AW91" s="31">
        <f>'mnt Data'!AI94</f>
        <v>0</v>
      </c>
      <c r="AX91" s="31">
        <f>'mnt Data'!AJ94</f>
        <v>0</v>
      </c>
      <c r="AY91" s="31">
        <f>'mnt Data'!AK94</f>
        <v>0</v>
      </c>
    </row>
    <row r="92" spans="1:51" x14ac:dyDescent="0.25">
      <c r="A92">
        <v>91</v>
      </c>
      <c r="B92" s="32">
        <f t="shared" si="12"/>
        <v>0</v>
      </c>
      <c r="C92" s="32">
        <f t="shared" si="13"/>
        <v>0</v>
      </c>
      <c r="D92" s="32" t="str">
        <f t="shared" si="17"/>
        <v>No Gs</v>
      </c>
      <c r="E92" s="32">
        <f t="shared" si="21"/>
        <v>0</v>
      </c>
      <c r="F92" s="32" t="str">
        <f t="shared" si="22"/>
        <v>No Gs</v>
      </c>
      <c r="G92" s="32" t="str">
        <f t="shared" si="23"/>
        <v>No Gs</v>
      </c>
      <c r="H92" s="32" t="str">
        <f t="shared" si="14"/>
        <v>Gs is needed</v>
      </c>
      <c r="I92" s="32" t="str">
        <f t="shared" si="15"/>
        <v>Gs is needed</v>
      </c>
      <c r="J92" s="32" t="str">
        <f t="shared" si="16"/>
        <v>Gs is needed</v>
      </c>
      <c r="K92" s="32" t="str">
        <f t="shared" si="18"/>
        <v>Need Max and Min</v>
      </c>
      <c r="L92" s="32" t="str">
        <f t="shared" si="19"/>
        <v>Need Max and Min</v>
      </c>
      <c r="M92" s="32" t="str">
        <f t="shared" si="20"/>
        <v>Fail</v>
      </c>
      <c r="N92" s="32"/>
      <c r="O92" s="31">
        <f>'mnt Data'!A95</f>
        <v>0</v>
      </c>
      <c r="P92" s="31">
        <f>'mnt Data'!B95</f>
        <v>0</v>
      </c>
      <c r="Q92" s="31">
        <f>'mnt Data'!C95</f>
        <v>0</v>
      </c>
      <c r="R92" s="31">
        <f>'mnt Data'!D95</f>
        <v>0</v>
      </c>
      <c r="S92" s="31">
        <f>'mnt Data'!E95</f>
        <v>0</v>
      </c>
      <c r="T92" s="31">
        <f>'mnt Data'!F95</f>
        <v>0</v>
      </c>
      <c r="U92" s="31">
        <f>'mnt Data'!G95</f>
        <v>0</v>
      </c>
      <c r="V92" s="31">
        <f>'mnt Data'!H95</f>
        <v>0</v>
      </c>
      <c r="W92" s="31">
        <f>'mnt Data'!I95</f>
        <v>0</v>
      </c>
      <c r="X92" s="31">
        <f>'mnt Data'!J95</f>
        <v>0</v>
      </c>
      <c r="Y92" s="31">
        <f>'mnt Data'!K95</f>
        <v>0</v>
      </c>
      <c r="Z92" s="31">
        <f>'mnt Data'!L95</f>
        <v>0</v>
      </c>
      <c r="AA92" s="31">
        <f>'mnt Data'!M95</f>
        <v>0</v>
      </c>
      <c r="AB92" s="31">
        <f>'mnt Data'!N95</f>
        <v>0</v>
      </c>
      <c r="AC92" s="31">
        <f>'mnt Data'!O95</f>
        <v>0</v>
      </c>
      <c r="AD92" s="31">
        <f>'mnt Data'!P95</f>
        <v>0</v>
      </c>
      <c r="AE92" s="31">
        <f>'mnt Data'!Q95</f>
        <v>0</v>
      </c>
      <c r="AF92" s="31">
        <f>'mnt Data'!R95</f>
        <v>0</v>
      </c>
      <c r="AG92" s="31">
        <f>'mnt Data'!S95</f>
        <v>0</v>
      </c>
      <c r="AH92" s="31">
        <f>'mnt Data'!T95</f>
        <v>0</v>
      </c>
      <c r="AI92" s="31">
        <f>'mnt Data'!U95</f>
        <v>0</v>
      </c>
      <c r="AJ92" s="31">
        <f>'mnt Data'!V95</f>
        <v>0</v>
      </c>
      <c r="AK92" s="31">
        <f>'mnt Data'!W95</f>
        <v>0</v>
      </c>
      <c r="AL92" s="31">
        <f>'mnt Data'!X95</f>
        <v>0</v>
      </c>
      <c r="AM92" s="31">
        <f>'mnt Data'!Y95</f>
        <v>0</v>
      </c>
      <c r="AN92" s="31">
        <f>'mnt Data'!Z95</f>
        <v>0</v>
      </c>
      <c r="AO92" s="31">
        <f>'mnt Data'!AA95</f>
        <v>0</v>
      </c>
      <c r="AP92" s="31">
        <f>'mnt Data'!AB95</f>
        <v>0</v>
      </c>
      <c r="AQ92" s="31">
        <f>'mnt Data'!AC95</f>
        <v>0</v>
      </c>
      <c r="AR92" s="31">
        <f>'mnt Data'!AD95</f>
        <v>0</v>
      </c>
      <c r="AS92" s="31">
        <f>'mnt Data'!AE95</f>
        <v>0</v>
      </c>
      <c r="AT92" s="31">
        <f>'mnt Data'!AF95</f>
        <v>0</v>
      </c>
      <c r="AU92" s="31">
        <f>'mnt Data'!AG95</f>
        <v>0</v>
      </c>
      <c r="AV92" s="31">
        <f>'mnt Data'!AH95</f>
        <v>0</v>
      </c>
      <c r="AW92" s="31">
        <f>'mnt Data'!AI95</f>
        <v>0</v>
      </c>
      <c r="AX92" s="31">
        <f>'mnt Data'!AJ95</f>
        <v>0</v>
      </c>
      <c r="AY92" s="31">
        <f>'mnt Data'!AK95</f>
        <v>0</v>
      </c>
    </row>
    <row r="93" spans="1:51" x14ac:dyDescent="0.25">
      <c r="A93">
        <v>92</v>
      </c>
      <c r="B93" s="32">
        <f t="shared" si="12"/>
        <v>0</v>
      </c>
      <c r="C93" s="32">
        <f t="shared" si="13"/>
        <v>0</v>
      </c>
      <c r="D93" s="32" t="str">
        <f t="shared" si="17"/>
        <v>No Gs</v>
      </c>
      <c r="E93" s="32">
        <f t="shared" si="21"/>
        <v>0</v>
      </c>
      <c r="F93" s="32" t="str">
        <f t="shared" si="22"/>
        <v>No Gs</v>
      </c>
      <c r="G93" s="32" t="str">
        <f t="shared" si="23"/>
        <v>No Gs</v>
      </c>
      <c r="H93" s="32" t="str">
        <f t="shared" si="14"/>
        <v>Gs is needed</v>
      </c>
      <c r="I93" s="32" t="str">
        <f t="shared" si="15"/>
        <v>Gs is needed</v>
      </c>
      <c r="J93" s="32" t="str">
        <f t="shared" si="16"/>
        <v>Gs is needed</v>
      </c>
      <c r="K93" s="32" t="str">
        <f t="shared" si="18"/>
        <v>Need Max and Min</v>
      </c>
      <c r="L93" s="32" t="str">
        <f t="shared" si="19"/>
        <v>Need Max and Min</v>
      </c>
      <c r="M93" s="32" t="str">
        <f t="shared" si="20"/>
        <v>Fail</v>
      </c>
      <c r="N93" s="32"/>
      <c r="O93" s="31">
        <f>'mnt Data'!A96</f>
        <v>0</v>
      </c>
      <c r="P93" s="31">
        <f>'mnt Data'!B96</f>
        <v>0</v>
      </c>
      <c r="Q93" s="31">
        <f>'mnt Data'!C96</f>
        <v>0</v>
      </c>
      <c r="R93" s="31">
        <f>'mnt Data'!D96</f>
        <v>0</v>
      </c>
      <c r="S93" s="31">
        <f>'mnt Data'!E96</f>
        <v>0</v>
      </c>
      <c r="T93" s="31">
        <f>'mnt Data'!F96</f>
        <v>0</v>
      </c>
      <c r="U93" s="31">
        <f>'mnt Data'!G96</f>
        <v>0</v>
      </c>
      <c r="V93" s="31">
        <f>'mnt Data'!H96</f>
        <v>0</v>
      </c>
      <c r="W93" s="31">
        <f>'mnt Data'!I96</f>
        <v>0</v>
      </c>
      <c r="X93" s="31">
        <f>'mnt Data'!J96</f>
        <v>0</v>
      </c>
      <c r="Y93" s="31">
        <f>'mnt Data'!K96</f>
        <v>0</v>
      </c>
      <c r="Z93" s="31">
        <f>'mnt Data'!L96</f>
        <v>0</v>
      </c>
      <c r="AA93" s="31">
        <f>'mnt Data'!M96</f>
        <v>0</v>
      </c>
      <c r="AB93" s="31">
        <f>'mnt Data'!N96</f>
        <v>0</v>
      </c>
      <c r="AC93" s="31">
        <f>'mnt Data'!O96</f>
        <v>0</v>
      </c>
      <c r="AD93" s="31">
        <f>'mnt Data'!P96</f>
        <v>0</v>
      </c>
      <c r="AE93" s="31">
        <f>'mnt Data'!Q96</f>
        <v>0</v>
      </c>
      <c r="AF93" s="31">
        <f>'mnt Data'!R96</f>
        <v>0</v>
      </c>
      <c r="AG93" s="31">
        <f>'mnt Data'!S96</f>
        <v>0</v>
      </c>
      <c r="AH93" s="31">
        <f>'mnt Data'!T96</f>
        <v>0</v>
      </c>
      <c r="AI93" s="31">
        <f>'mnt Data'!U96</f>
        <v>0</v>
      </c>
      <c r="AJ93" s="31">
        <f>'mnt Data'!V96</f>
        <v>0</v>
      </c>
      <c r="AK93" s="31">
        <f>'mnt Data'!W96</f>
        <v>0</v>
      </c>
      <c r="AL93" s="31">
        <f>'mnt Data'!X96</f>
        <v>0</v>
      </c>
      <c r="AM93" s="31">
        <f>'mnt Data'!Y96</f>
        <v>0</v>
      </c>
      <c r="AN93" s="31">
        <f>'mnt Data'!Z96</f>
        <v>0</v>
      </c>
      <c r="AO93" s="31">
        <f>'mnt Data'!AA96</f>
        <v>0</v>
      </c>
      <c r="AP93" s="31">
        <f>'mnt Data'!AB96</f>
        <v>0</v>
      </c>
      <c r="AQ93" s="31">
        <f>'mnt Data'!AC96</f>
        <v>0</v>
      </c>
      <c r="AR93" s="31">
        <f>'mnt Data'!AD96</f>
        <v>0</v>
      </c>
      <c r="AS93" s="31">
        <f>'mnt Data'!AE96</f>
        <v>0</v>
      </c>
      <c r="AT93" s="31">
        <f>'mnt Data'!AF96</f>
        <v>0</v>
      </c>
      <c r="AU93" s="31">
        <f>'mnt Data'!AG96</f>
        <v>0</v>
      </c>
      <c r="AV93" s="31">
        <f>'mnt Data'!AH96</f>
        <v>0</v>
      </c>
      <c r="AW93" s="31">
        <f>'mnt Data'!AI96</f>
        <v>0</v>
      </c>
      <c r="AX93" s="31">
        <f>'mnt Data'!AJ96</f>
        <v>0</v>
      </c>
      <c r="AY93" s="31">
        <f>'mnt Data'!AK96</f>
        <v>0</v>
      </c>
    </row>
    <row r="94" spans="1:51" x14ac:dyDescent="0.25">
      <c r="A94">
        <v>93</v>
      </c>
      <c r="B94" s="32">
        <f t="shared" si="12"/>
        <v>0</v>
      </c>
      <c r="C94" s="32">
        <f t="shared" si="13"/>
        <v>0</v>
      </c>
      <c r="D94" s="32" t="str">
        <f t="shared" si="17"/>
        <v>No Gs</v>
      </c>
      <c r="E94" s="32">
        <f t="shared" si="21"/>
        <v>0</v>
      </c>
      <c r="F94" s="32" t="str">
        <f t="shared" si="22"/>
        <v>No Gs</v>
      </c>
      <c r="G94" s="32" t="str">
        <f t="shared" si="23"/>
        <v>No Gs</v>
      </c>
      <c r="H94" s="32" t="str">
        <f t="shared" si="14"/>
        <v>Gs is needed</v>
      </c>
      <c r="I94" s="32" t="str">
        <f t="shared" si="15"/>
        <v>Gs is needed</v>
      </c>
      <c r="J94" s="32" t="str">
        <f t="shared" si="16"/>
        <v>Gs is needed</v>
      </c>
      <c r="K94" s="32" t="str">
        <f t="shared" si="18"/>
        <v>Need Max and Min</v>
      </c>
      <c r="L94" s="32" t="str">
        <f t="shared" si="19"/>
        <v>Need Max and Min</v>
      </c>
      <c r="M94" s="32" t="str">
        <f t="shared" si="20"/>
        <v>Fail</v>
      </c>
      <c r="N94" s="32"/>
      <c r="O94" s="31">
        <f>'mnt Data'!A97</f>
        <v>0</v>
      </c>
      <c r="P94" s="31">
        <f>'mnt Data'!B97</f>
        <v>0</v>
      </c>
      <c r="Q94" s="31">
        <f>'mnt Data'!C97</f>
        <v>0</v>
      </c>
      <c r="R94" s="31">
        <f>'mnt Data'!D97</f>
        <v>0</v>
      </c>
      <c r="S94" s="31">
        <f>'mnt Data'!E97</f>
        <v>0</v>
      </c>
      <c r="T94" s="31">
        <f>'mnt Data'!F97</f>
        <v>0</v>
      </c>
      <c r="U94" s="31">
        <f>'mnt Data'!G97</f>
        <v>0</v>
      </c>
      <c r="V94" s="31">
        <f>'mnt Data'!H97</f>
        <v>0</v>
      </c>
      <c r="W94" s="31">
        <f>'mnt Data'!I97</f>
        <v>0</v>
      </c>
      <c r="X94" s="31">
        <f>'mnt Data'!J97</f>
        <v>0</v>
      </c>
      <c r="Y94" s="31">
        <f>'mnt Data'!K97</f>
        <v>0</v>
      </c>
      <c r="Z94" s="31">
        <f>'mnt Data'!L97</f>
        <v>0</v>
      </c>
      <c r="AA94" s="31">
        <f>'mnt Data'!M97</f>
        <v>0</v>
      </c>
      <c r="AB94" s="31">
        <f>'mnt Data'!N97</f>
        <v>0</v>
      </c>
      <c r="AC94" s="31">
        <f>'mnt Data'!O97</f>
        <v>0</v>
      </c>
      <c r="AD94" s="31">
        <f>'mnt Data'!P97</f>
        <v>0</v>
      </c>
      <c r="AE94" s="31">
        <f>'mnt Data'!Q97</f>
        <v>0</v>
      </c>
      <c r="AF94" s="31">
        <f>'mnt Data'!R97</f>
        <v>0</v>
      </c>
      <c r="AG94" s="31">
        <f>'mnt Data'!S97</f>
        <v>0</v>
      </c>
      <c r="AH94" s="31">
        <f>'mnt Data'!T97</f>
        <v>0</v>
      </c>
      <c r="AI94" s="31">
        <f>'mnt Data'!U97</f>
        <v>0</v>
      </c>
      <c r="AJ94" s="31">
        <f>'mnt Data'!V97</f>
        <v>0</v>
      </c>
      <c r="AK94" s="31">
        <f>'mnt Data'!W97</f>
        <v>0</v>
      </c>
      <c r="AL94" s="31">
        <f>'mnt Data'!X97</f>
        <v>0</v>
      </c>
      <c r="AM94" s="31">
        <f>'mnt Data'!Y97</f>
        <v>0</v>
      </c>
      <c r="AN94" s="31">
        <f>'mnt Data'!Z97</f>
        <v>0</v>
      </c>
      <c r="AO94" s="31">
        <f>'mnt Data'!AA97</f>
        <v>0</v>
      </c>
      <c r="AP94" s="31">
        <f>'mnt Data'!AB97</f>
        <v>0</v>
      </c>
      <c r="AQ94" s="31">
        <f>'mnt Data'!AC97</f>
        <v>0</v>
      </c>
      <c r="AR94" s="31">
        <f>'mnt Data'!AD97</f>
        <v>0</v>
      </c>
      <c r="AS94" s="31">
        <f>'mnt Data'!AE97</f>
        <v>0</v>
      </c>
      <c r="AT94" s="31">
        <f>'mnt Data'!AF97</f>
        <v>0</v>
      </c>
      <c r="AU94" s="31">
        <f>'mnt Data'!AG97</f>
        <v>0</v>
      </c>
      <c r="AV94" s="31">
        <f>'mnt Data'!AH97</f>
        <v>0</v>
      </c>
      <c r="AW94" s="31">
        <f>'mnt Data'!AI97</f>
        <v>0</v>
      </c>
      <c r="AX94" s="31">
        <f>'mnt Data'!AJ97</f>
        <v>0</v>
      </c>
      <c r="AY94" s="31">
        <f>'mnt Data'!AK97</f>
        <v>0</v>
      </c>
    </row>
    <row r="95" spans="1:51" x14ac:dyDescent="0.25">
      <c r="A95">
        <v>94</v>
      </c>
      <c r="B95" s="32">
        <f t="shared" si="12"/>
        <v>0</v>
      </c>
      <c r="C95" s="32">
        <f t="shared" si="13"/>
        <v>0</v>
      </c>
      <c r="D95" s="32" t="str">
        <f t="shared" si="17"/>
        <v>No Gs</v>
      </c>
      <c r="E95" s="32">
        <f t="shared" si="21"/>
        <v>0</v>
      </c>
      <c r="F95" s="32" t="str">
        <f t="shared" si="22"/>
        <v>No Gs</v>
      </c>
      <c r="G95" s="32" t="str">
        <f t="shared" si="23"/>
        <v>No Gs</v>
      </c>
      <c r="H95" s="32" t="str">
        <f t="shared" si="14"/>
        <v>Gs is needed</v>
      </c>
      <c r="I95" s="32" t="str">
        <f t="shared" si="15"/>
        <v>Gs is needed</v>
      </c>
      <c r="J95" s="32" t="str">
        <f t="shared" si="16"/>
        <v>Gs is needed</v>
      </c>
      <c r="K95" s="32" t="str">
        <f t="shared" si="18"/>
        <v>Need Max and Min</v>
      </c>
      <c r="L95" s="32" t="str">
        <f t="shared" si="19"/>
        <v>Need Max and Min</v>
      </c>
      <c r="M95" s="32" t="str">
        <f t="shared" si="20"/>
        <v>Fail</v>
      </c>
      <c r="N95" s="32"/>
      <c r="O95" s="31">
        <f>'mnt Data'!A98</f>
        <v>0</v>
      </c>
      <c r="P95" s="31">
        <f>'mnt Data'!B98</f>
        <v>0</v>
      </c>
      <c r="Q95" s="31">
        <f>'mnt Data'!C98</f>
        <v>0</v>
      </c>
      <c r="R95" s="31">
        <f>'mnt Data'!D98</f>
        <v>0</v>
      </c>
      <c r="S95" s="31">
        <f>'mnt Data'!E98</f>
        <v>0</v>
      </c>
      <c r="T95" s="31">
        <f>'mnt Data'!F98</f>
        <v>0</v>
      </c>
      <c r="U95" s="31">
        <f>'mnt Data'!G98</f>
        <v>0</v>
      </c>
      <c r="V95" s="31">
        <f>'mnt Data'!H98</f>
        <v>0</v>
      </c>
      <c r="W95" s="31">
        <f>'mnt Data'!I98</f>
        <v>0</v>
      </c>
      <c r="X95" s="31">
        <f>'mnt Data'!J98</f>
        <v>0</v>
      </c>
      <c r="Y95" s="31">
        <f>'mnt Data'!K98</f>
        <v>0</v>
      </c>
      <c r="Z95" s="31">
        <f>'mnt Data'!L98</f>
        <v>0</v>
      </c>
      <c r="AA95" s="31">
        <f>'mnt Data'!M98</f>
        <v>0</v>
      </c>
      <c r="AB95" s="31">
        <f>'mnt Data'!N98</f>
        <v>0</v>
      </c>
      <c r="AC95" s="31">
        <f>'mnt Data'!O98</f>
        <v>0</v>
      </c>
      <c r="AD95" s="31">
        <f>'mnt Data'!P98</f>
        <v>0</v>
      </c>
      <c r="AE95" s="31">
        <f>'mnt Data'!Q98</f>
        <v>0</v>
      </c>
      <c r="AF95" s="31">
        <f>'mnt Data'!R98</f>
        <v>0</v>
      </c>
      <c r="AG95" s="31">
        <f>'mnt Data'!S98</f>
        <v>0</v>
      </c>
      <c r="AH95" s="31">
        <f>'mnt Data'!T98</f>
        <v>0</v>
      </c>
      <c r="AI95" s="31">
        <f>'mnt Data'!U98</f>
        <v>0</v>
      </c>
      <c r="AJ95" s="31">
        <f>'mnt Data'!V98</f>
        <v>0</v>
      </c>
      <c r="AK95" s="31">
        <f>'mnt Data'!W98</f>
        <v>0</v>
      </c>
      <c r="AL95" s="31">
        <f>'mnt Data'!X98</f>
        <v>0</v>
      </c>
      <c r="AM95" s="31">
        <f>'mnt Data'!Y98</f>
        <v>0</v>
      </c>
      <c r="AN95" s="31">
        <f>'mnt Data'!Z98</f>
        <v>0</v>
      </c>
      <c r="AO95" s="31">
        <f>'mnt Data'!AA98</f>
        <v>0</v>
      </c>
      <c r="AP95" s="31">
        <f>'mnt Data'!AB98</f>
        <v>0</v>
      </c>
      <c r="AQ95" s="31">
        <f>'mnt Data'!AC98</f>
        <v>0</v>
      </c>
      <c r="AR95" s="31">
        <f>'mnt Data'!AD98</f>
        <v>0</v>
      </c>
      <c r="AS95" s="31">
        <f>'mnt Data'!AE98</f>
        <v>0</v>
      </c>
      <c r="AT95" s="31">
        <f>'mnt Data'!AF98</f>
        <v>0</v>
      </c>
      <c r="AU95" s="31">
        <f>'mnt Data'!AG98</f>
        <v>0</v>
      </c>
      <c r="AV95" s="31">
        <f>'mnt Data'!AH98</f>
        <v>0</v>
      </c>
      <c r="AW95" s="31">
        <f>'mnt Data'!AI98</f>
        <v>0</v>
      </c>
      <c r="AX95" s="31">
        <f>'mnt Data'!AJ98</f>
        <v>0</v>
      </c>
      <c r="AY95" s="31">
        <f>'mnt Data'!AK98</f>
        <v>0</v>
      </c>
    </row>
    <row r="96" spans="1:51" x14ac:dyDescent="0.25">
      <c r="A96">
        <v>95</v>
      </c>
      <c r="B96" s="32">
        <f t="shared" si="12"/>
        <v>0</v>
      </c>
      <c r="C96" s="32">
        <f t="shared" si="13"/>
        <v>0</v>
      </c>
      <c r="D96" s="32" t="str">
        <f t="shared" si="17"/>
        <v>No Gs</v>
      </c>
      <c r="E96" s="32">
        <f t="shared" si="21"/>
        <v>0</v>
      </c>
      <c r="F96" s="32" t="str">
        <f t="shared" si="22"/>
        <v>No Gs</v>
      </c>
      <c r="G96" s="32" t="str">
        <f t="shared" si="23"/>
        <v>No Gs</v>
      </c>
      <c r="H96" s="32" t="str">
        <f t="shared" si="14"/>
        <v>Gs is needed</v>
      </c>
      <c r="I96" s="32" t="str">
        <f t="shared" si="15"/>
        <v>Gs is needed</v>
      </c>
      <c r="J96" s="32" t="str">
        <f t="shared" si="16"/>
        <v>Gs is needed</v>
      </c>
      <c r="K96" s="32" t="str">
        <f t="shared" si="18"/>
        <v>Need Max and Min</v>
      </c>
      <c r="L96" s="32" t="str">
        <f t="shared" si="19"/>
        <v>Need Max and Min</v>
      </c>
      <c r="M96" s="32" t="str">
        <f t="shared" si="20"/>
        <v>Fail</v>
      </c>
      <c r="N96" s="32"/>
      <c r="O96" s="31">
        <f>'mnt Data'!A99</f>
        <v>0</v>
      </c>
      <c r="P96" s="31">
        <f>'mnt Data'!B99</f>
        <v>0</v>
      </c>
      <c r="Q96" s="31">
        <f>'mnt Data'!C99</f>
        <v>0</v>
      </c>
      <c r="R96" s="31">
        <f>'mnt Data'!D99</f>
        <v>0</v>
      </c>
      <c r="S96" s="31">
        <f>'mnt Data'!E99</f>
        <v>0</v>
      </c>
      <c r="T96" s="31">
        <f>'mnt Data'!F99</f>
        <v>0</v>
      </c>
      <c r="U96" s="31">
        <f>'mnt Data'!G99</f>
        <v>0</v>
      </c>
      <c r="V96" s="31">
        <f>'mnt Data'!H99</f>
        <v>0</v>
      </c>
      <c r="W96" s="31">
        <f>'mnt Data'!I99</f>
        <v>0</v>
      </c>
      <c r="X96" s="31">
        <f>'mnt Data'!J99</f>
        <v>0</v>
      </c>
      <c r="Y96" s="31">
        <f>'mnt Data'!K99</f>
        <v>0</v>
      </c>
      <c r="Z96" s="31">
        <f>'mnt Data'!L99</f>
        <v>0</v>
      </c>
      <c r="AA96" s="31">
        <f>'mnt Data'!M99</f>
        <v>0</v>
      </c>
      <c r="AB96" s="31">
        <f>'mnt Data'!N99</f>
        <v>0</v>
      </c>
      <c r="AC96" s="31">
        <f>'mnt Data'!O99</f>
        <v>0</v>
      </c>
      <c r="AD96" s="31">
        <f>'mnt Data'!P99</f>
        <v>0</v>
      </c>
      <c r="AE96" s="31">
        <f>'mnt Data'!Q99</f>
        <v>0</v>
      </c>
      <c r="AF96" s="31">
        <f>'mnt Data'!R99</f>
        <v>0</v>
      </c>
      <c r="AG96" s="31">
        <f>'mnt Data'!S99</f>
        <v>0</v>
      </c>
      <c r="AH96" s="31">
        <f>'mnt Data'!T99</f>
        <v>0</v>
      </c>
      <c r="AI96" s="31">
        <f>'mnt Data'!U99</f>
        <v>0</v>
      </c>
      <c r="AJ96" s="31">
        <f>'mnt Data'!V99</f>
        <v>0</v>
      </c>
      <c r="AK96" s="31">
        <f>'mnt Data'!W99</f>
        <v>0</v>
      </c>
      <c r="AL96" s="31">
        <f>'mnt Data'!X99</f>
        <v>0</v>
      </c>
      <c r="AM96" s="31">
        <f>'mnt Data'!Y99</f>
        <v>0</v>
      </c>
      <c r="AN96" s="31">
        <f>'mnt Data'!Z99</f>
        <v>0</v>
      </c>
      <c r="AO96" s="31">
        <f>'mnt Data'!AA99</f>
        <v>0</v>
      </c>
      <c r="AP96" s="31">
        <f>'mnt Data'!AB99</f>
        <v>0</v>
      </c>
      <c r="AQ96" s="31">
        <f>'mnt Data'!AC99</f>
        <v>0</v>
      </c>
      <c r="AR96" s="31">
        <f>'mnt Data'!AD99</f>
        <v>0</v>
      </c>
      <c r="AS96" s="31">
        <f>'mnt Data'!AE99</f>
        <v>0</v>
      </c>
      <c r="AT96" s="31">
        <f>'mnt Data'!AF99</f>
        <v>0</v>
      </c>
      <c r="AU96" s="31">
        <f>'mnt Data'!AG99</f>
        <v>0</v>
      </c>
      <c r="AV96" s="31">
        <f>'mnt Data'!AH99</f>
        <v>0</v>
      </c>
      <c r="AW96" s="31">
        <f>'mnt Data'!AI99</f>
        <v>0</v>
      </c>
      <c r="AX96" s="31">
        <f>'mnt Data'!AJ99</f>
        <v>0</v>
      </c>
      <c r="AY96" s="31">
        <f>'mnt Data'!AK99</f>
        <v>0</v>
      </c>
    </row>
    <row r="97" spans="1:51" x14ac:dyDescent="0.25">
      <c r="A97">
        <v>96</v>
      </c>
      <c r="B97" s="32">
        <f t="shared" si="12"/>
        <v>0</v>
      </c>
      <c r="C97" s="32">
        <f t="shared" si="13"/>
        <v>0</v>
      </c>
      <c r="D97" s="32" t="str">
        <f t="shared" si="17"/>
        <v>No Gs</v>
      </c>
      <c r="E97" s="32">
        <f t="shared" si="21"/>
        <v>0</v>
      </c>
      <c r="F97" s="32" t="str">
        <f t="shared" si="22"/>
        <v>No Gs</v>
      </c>
      <c r="G97" s="32" t="str">
        <f t="shared" si="23"/>
        <v>No Gs</v>
      </c>
      <c r="H97" s="32" t="str">
        <f t="shared" si="14"/>
        <v>Gs is needed</v>
      </c>
      <c r="I97" s="32" t="str">
        <f t="shared" si="15"/>
        <v>Gs is needed</v>
      </c>
      <c r="J97" s="32" t="str">
        <f t="shared" si="16"/>
        <v>Gs is needed</v>
      </c>
      <c r="K97" s="32" t="str">
        <f t="shared" si="18"/>
        <v>Need Max and Min</v>
      </c>
      <c r="L97" s="32" t="str">
        <f t="shared" si="19"/>
        <v>Need Max and Min</v>
      </c>
      <c r="M97" s="32" t="str">
        <f t="shared" si="20"/>
        <v>Fail</v>
      </c>
      <c r="N97" s="32"/>
      <c r="O97" s="31">
        <f>'mnt Data'!A100</f>
        <v>0</v>
      </c>
      <c r="P97" s="31">
        <f>'mnt Data'!B100</f>
        <v>0</v>
      </c>
      <c r="Q97" s="31">
        <f>'mnt Data'!C100</f>
        <v>0</v>
      </c>
      <c r="R97" s="31">
        <f>'mnt Data'!D100</f>
        <v>0</v>
      </c>
      <c r="S97" s="31">
        <f>'mnt Data'!E100</f>
        <v>0</v>
      </c>
      <c r="T97" s="31">
        <f>'mnt Data'!F100</f>
        <v>0</v>
      </c>
      <c r="U97" s="31">
        <f>'mnt Data'!G100</f>
        <v>0</v>
      </c>
      <c r="V97" s="31">
        <f>'mnt Data'!H100</f>
        <v>0</v>
      </c>
      <c r="W97" s="31">
        <f>'mnt Data'!I100</f>
        <v>0</v>
      </c>
      <c r="X97" s="31">
        <f>'mnt Data'!J100</f>
        <v>0</v>
      </c>
      <c r="Y97" s="31">
        <f>'mnt Data'!K100</f>
        <v>0</v>
      </c>
      <c r="Z97" s="31">
        <f>'mnt Data'!L100</f>
        <v>0</v>
      </c>
      <c r="AA97" s="31">
        <f>'mnt Data'!M100</f>
        <v>0</v>
      </c>
      <c r="AB97" s="31">
        <f>'mnt Data'!N100</f>
        <v>0</v>
      </c>
      <c r="AC97" s="31">
        <f>'mnt Data'!O100</f>
        <v>0</v>
      </c>
      <c r="AD97" s="31">
        <f>'mnt Data'!P100</f>
        <v>0</v>
      </c>
      <c r="AE97" s="31">
        <f>'mnt Data'!Q100</f>
        <v>0</v>
      </c>
      <c r="AF97" s="31">
        <f>'mnt Data'!R100</f>
        <v>0</v>
      </c>
      <c r="AG97" s="31">
        <f>'mnt Data'!S100</f>
        <v>0</v>
      </c>
      <c r="AH97" s="31">
        <f>'mnt Data'!T100</f>
        <v>0</v>
      </c>
      <c r="AI97" s="31">
        <f>'mnt Data'!U100</f>
        <v>0</v>
      </c>
      <c r="AJ97" s="31">
        <f>'mnt Data'!V100</f>
        <v>0</v>
      </c>
      <c r="AK97" s="31">
        <f>'mnt Data'!W100</f>
        <v>0</v>
      </c>
      <c r="AL97" s="31">
        <f>'mnt Data'!X100</f>
        <v>0</v>
      </c>
      <c r="AM97" s="31">
        <f>'mnt Data'!Y100</f>
        <v>0</v>
      </c>
      <c r="AN97" s="31">
        <f>'mnt Data'!Z100</f>
        <v>0</v>
      </c>
      <c r="AO97" s="31">
        <f>'mnt Data'!AA100</f>
        <v>0</v>
      </c>
      <c r="AP97" s="31">
        <f>'mnt Data'!AB100</f>
        <v>0</v>
      </c>
      <c r="AQ97" s="31">
        <f>'mnt Data'!AC100</f>
        <v>0</v>
      </c>
      <c r="AR97" s="31">
        <f>'mnt Data'!AD100</f>
        <v>0</v>
      </c>
      <c r="AS97" s="31">
        <f>'mnt Data'!AE100</f>
        <v>0</v>
      </c>
      <c r="AT97" s="31">
        <f>'mnt Data'!AF100</f>
        <v>0</v>
      </c>
      <c r="AU97" s="31">
        <f>'mnt Data'!AG100</f>
        <v>0</v>
      </c>
      <c r="AV97" s="31">
        <f>'mnt Data'!AH100</f>
        <v>0</v>
      </c>
      <c r="AW97" s="31">
        <f>'mnt Data'!AI100</f>
        <v>0</v>
      </c>
      <c r="AX97" s="31">
        <f>'mnt Data'!AJ100</f>
        <v>0</v>
      </c>
      <c r="AY97" s="31">
        <f>'mnt Data'!AK100</f>
        <v>0</v>
      </c>
    </row>
    <row r="98" spans="1:51" x14ac:dyDescent="0.25">
      <c r="A98">
        <v>97</v>
      </c>
      <c r="B98" s="32">
        <f t="shared" si="12"/>
        <v>0</v>
      </c>
      <c r="C98" s="32">
        <f t="shared" si="13"/>
        <v>0</v>
      </c>
      <c r="D98" s="32" t="str">
        <f t="shared" si="17"/>
        <v>No Gs</v>
      </c>
      <c r="E98" s="32">
        <f t="shared" si="21"/>
        <v>0</v>
      </c>
      <c r="F98" s="32" t="str">
        <f t="shared" si="22"/>
        <v>No Gs</v>
      </c>
      <c r="G98" s="32" t="str">
        <f t="shared" si="23"/>
        <v>No Gs</v>
      </c>
      <c r="H98" s="32" t="str">
        <f t="shared" si="14"/>
        <v>Gs is needed</v>
      </c>
      <c r="I98" s="32" t="str">
        <f t="shared" si="15"/>
        <v>Gs is needed</v>
      </c>
      <c r="J98" s="32" t="str">
        <f t="shared" si="16"/>
        <v>Gs is needed</v>
      </c>
      <c r="K98" s="32" t="str">
        <f t="shared" si="18"/>
        <v>Need Max and Min</v>
      </c>
      <c r="L98" s="32" t="str">
        <f t="shared" si="19"/>
        <v>Need Max and Min</v>
      </c>
      <c r="M98" s="32" t="str">
        <f t="shared" si="20"/>
        <v>Fail</v>
      </c>
      <c r="N98" s="32"/>
      <c r="O98" s="31">
        <f>'mnt Data'!A101</f>
        <v>0</v>
      </c>
      <c r="P98" s="31">
        <f>'mnt Data'!B101</f>
        <v>0</v>
      </c>
      <c r="Q98" s="31">
        <f>'mnt Data'!C101</f>
        <v>0</v>
      </c>
      <c r="R98" s="31">
        <f>'mnt Data'!D101</f>
        <v>0</v>
      </c>
      <c r="S98" s="31">
        <f>'mnt Data'!E101</f>
        <v>0</v>
      </c>
      <c r="T98" s="31">
        <f>'mnt Data'!F101</f>
        <v>0</v>
      </c>
      <c r="U98" s="31">
        <f>'mnt Data'!G101</f>
        <v>0</v>
      </c>
      <c r="V98" s="31">
        <f>'mnt Data'!H101</f>
        <v>0</v>
      </c>
      <c r="W98" s="31">
        <f>'mnt Data'!I101</f>
        <v>0</v>
      </c>
      <c r="X98" s="31">
        <f>'mnt Data'!J101</f>
        <v>0</v>
      </c>
      <c r="Y98" s="31">
        <f>'mnt Data'!K101</f>
        <v>0</v>
      </c>
      <c r="Z98" s="31">
        <f>'mnt Data'!L101</f>
        <v>0</v>
      </c>
      <c r="AA98" s="31">
        <f>'mnt Data'!M101</f>
        <v>0</v>
      </c>
      <c r="AB98" s="31">
        <f>'mnt Data'!N101</f>
        <v>0</v>
      </c>
      <c r="AC98" s="31">
        <f>'mnt Data'!O101</f>
        <v>0</v>
      </c>
      <c r="AD98" s="31">
        <f>'mnt Data'!P101</f>
        <v>0</v>
      </c>
      <c r="AE98" s="31">
        <f>'mnt Data'!Q101</f>
        <v>0</v>
      </c>
      <c r="AF98" s="31">
        <f>'mnt Data'!R101</f>
        <v>0</v>
      </c>
      <c r="AG98" s="31">
        <f>'mnt Data'!S101</f>
        <v>0</v>
      </c>
      <c r="AH98" s="31">
        <f>'mnt Data'!T101</f>
        <v>0</v>
      </c>
      <c r="AI98" s="31">
        <f>'mnt Data'!U101</f>
        <v>0</v>
      </c>
      <c r="AJ98" s="31">
        <f>'mnt Data'!V101</f>
        <v>0</v>
      </c>
      <c r="AK98" s="31">
        <f>'mnt Data'!W101</f>
        <v>0</v>
      </c>
      <c r="AL98" s="31">
        <f>'mnt Data'!X101</f>
        <v>0</v>
      </c>
      <c r="AM98" s="31">
        <f>'mnt Data'!Y101</f>
        <v>0</v>
      </c>
      <c r="AN98" s="31">
        <f>'mnt Data'!Z101</f>
        <v>0</v>
      </c>
      <c r="AO98" s="31">
        <f>'mnt Data'!AA101</f>
        <v>0</v>
      </c>
      <c r="AP98" s="31">
        <f>'mnt Data'!AB101</f>
        <v>0</v>
      </c>
      <c r="AQ98" s="31">
        <f>'mnt Data'!AC101</f>
        <v>0</v>
      </c>
      <c r="AR98" s="31">
        <f>'mnt Data'!AD101</f>
        <v>0</v>
      </c>
      <c r="AS98" s="31">
        <f>'mnt Data'!AE101</f>
        <v>0</v>
      </c>
      <c r="AT98" s="31">
        <f>'mnt Data'!AF101</f>
        <v>0</v>
      </c>
      <c r="AU98" s="31">
        <f>'mnt Data'!AG101</f>
        <v>0</v>
      </c>
      <c r="AV98" s="31">
        <f>'mnt Data'!AH101</f>
        <v>0</v>
      </c>
      <c r="AW98" s="31">
        <f>'mnt Data'!AI101</f>
        <v>0</v>
      </c>
      <c r="AX98" s="31">
        <f>'mnt Data'!AJ101</f>
        <v>0</v>
      </c>
      <c r="AY98" s="31">
        <f>'mnt Data'!AK101</f>
        <v>0</v>
      </c>
    </row>
    <row r="99" spans="1:51" x14ac:dyDescent="0.25">
      <c r="A99">
        <v>98</v>
      </c>
      <c r="B99" s="32">
        <f t="shared" si="12"/>
        <v>0</v>
      </c>
      <c r="C99" s="32">
        <f t="shared" si="13"/>
        <v>0</v>
      </c>
      <c r="D99" s="32" t="str">
        <f t="shared" si="17"/>
        <v>No Gs</v>
      </c>
      <c r="E99" s="32">
        <f t="shared" si="21"/>
        <v>0</v>
      </c>
      <c r="F99" s="32" t="str">
        <f t="shared" si="22"/>
        <v>No Gs</v>
      </c>
      <c r="G99" s="32" t="str">
        <f t="shared" si="23"/>
        <v>No Gs</v>
      </c>
      <c r="H99" s="32" t="str">
        <f t="shared" si="14"/>
        <v>Gs is needed</v>
      </c>
      <c r="I99" s="32" t="str">
        <f t="shared" si="15"/>
        <v>Gs is needed</v>
      </c>
      <c r="J99" s="32" t="str">
        <f t="shared" si="16"/>
        <v>Gs is needed</v>
      </c>
      <c r="K99" s="32" t="str">
        <f t="shared" si="18"/>
        <v>Need Max and Min</v>
      </c>
      <c r="L99" s="32" t="str">
        <f t="shared" si="19"/>
        <v>Need Max and Min</v>
      </c>
      <c r="M99" s="32" t="str">
        <f t="shared" si="20"/>
        <v>Fail</v>
      </c>
      <c r="N99" s="32"/>
      <c r="O99" s="31">
        <f>'mnt Data'!A102</f>
        <v>0</v>
      </c>
      <c r="P99" s="31">
        <f>'mnt Data'!B102</f>
        <v>0</v>
      </c>
      <c r="Q99" s="31">
        <f>'mnt Data'!C102</f>
        <v>0</v>
      </c>
      <c r="R99" s="31">
        <f>'mnt Data'!D102</f>
        <v>0</v>
      </c>
      <c r="S99" s="31">
        <f>'mnt Data'!E102</f>
        <v>0</v>
      </c>
      <c r="T99" s="31">
        <f>'mnt Data'!F102</f>
        <v>0</v>
      </c>
      <c r="U99" s="31">
        <f>'mnt Data'!G102</f>
        <v>0</v>
      </c>
      <c r="V99" s="31">
        <f>'mnt Data'!H102</f>
        <v>0</v>
      </c>
      <c r="W99" s="31">
        <f>'mnt Data'!I102</f>
        <v>0</v>
      </c>
      <c r="X99" s="31">
        <f>'mnt Data'!J102</f>
        <v>0</v>
      </c>
      <c r="Y99" s="31">
        <f>'mnt Data'!K102</f>
        <v>0</v>
      </c>
      <c r="Z99" s="31">
        <f>'mnt Data'!L102</f>
        <v>0</v>
      </c>
      <c r="AA99" s="31">
        <f>'mnt Data'!M102</f>
        <v>0</v>
      </c>
      <c r="AB99" s="31">
        <f>'mnt Data'!N102</f>
        <v>0</v>
      </c>
      <c r="AC99" s="31">
        <f>'mnt Data'!O102</f>
        <v>0</v>
      </c>
      <c r="AD99" s="31">
        <f>'mnt Data'!P102</f>
        <v>0</v>
      </c>
      <c r="AE99" s="31">
        <f>'mnt Data'!Q102</f>
        <v>0</v>
      </c>
      <c r="AF99" s="31">
        <f>'mnt Data'!R102</f>
        <v>0</v>
      </c>
      <c r="AG99" s="31">
        <f>'mnt Data'!S102</f>
        <v>0</v>
      </c>
      <c r="AH99" s="31">
        <f>'mnt Data'!T102</f>
        <v>0</v>
      </c>
      <c r="AI99" s="31">
        <f>'mnt Data'!U102</f>
        <v>0</v>
      </c>
      <c r="AJ99" s="31">
        <f>'mnt Data'!V102</f>
        <v>0</v>
      </c>
      <c r="AK99" s="31">
        <f>'mnt Data'!W102</f>
        <v>0</v>
      </c>
      <c r="AL99" s="31">
        <f>'mnt Data'!X102</f>
        <v>0</v>
      </c>
      <c r="AM99" s="31">
        <f>'mnt Data'!Y102</f>
        <v>0</v>
      </c>
      <c r="AN99" s="31">
        <f>'mnt Data'!Z102</f>
        <v>0</v>
      </c>
      <c r="AO99" s="31">
        <f>'mnt Data'!AA102</f>
        <v>0</v>
      </c>
      <c r="AP99" s="31">
        <f>'mnt Data'!AB102</f>
        <v>0</v>
      </c>
      <c r="AQ99" s="31">
        <f>'mnt Data'!AC102</f>
        <v>0</v>
      </c>
      <c r="AR99" s="31">
        <f>'mnt Data'!AD102</f>
        <v>0</v>
      </c>
      <c r="AS99" s="31">
        <f>'mnt Data'!AE102</f>
        <v>0</v>
      </c>
      <c r="AT99" s="31">
        <f>'mnt Data'!AF102</f>
        <v>0</v>
      </c>
      <c r="AU99" s="31">
        <f>'mnt Data'!AG102</f>
        <v>0</v>
      </c>
      <c r="AV99" s="31">
        <f>'mnt Data'!AH102</f>
        <v>0</v>
      </c>
      <c r="AW99" s="31">
        <f>'mnt Data'!AI102</f>
        <v>0</v>
      </c>
      <c r="AX99" s="31">
        <f>'mnt Data'!AJ102</f>
        <v>0</v>
      </c>
      <c r="AY99" s="31">
        <f>'mnt Data'!AK102</f>
        <v>0</v>
      </c>
    </row>
    <row r="100" spans="1:51" x14ac:dyDescent="0.25">
      <c r="A100">
        <v>99</v>
      </c>
      <c r="B100" s="32">
        <f t="shared" si="12"/>
        <v>0</v>
      </c>
      <c r="C100" s="32">
        <f t="shared" si="13"/>
        <v>0</v>
      </c>
      <c r="D100" s="32" t="str">
        <f t="shared" si="17"/>
        <v>No Gs</v>
      </c>
      <c r="E100" s="32">
        <f t="shared" si="21"/>
        <v>0</v>
      </c>
      <c r="F100" s="32" t="str">
        <f t="shared" si="22"/>
        <v>No Gs</v>
      </c>
      <c r="G100" s="32" t="str">
        <f t="shared" si="23"/>
        <v>No Gs</v>
      </c>
      <c r="H100" s="32" t="str">
        <f t="shared" si="14"/>
        <v>Gs is needed</v>
      </c>
      <c r="I100" s="32" t="str">
        <f t="shared" si="15"/>
        <v>Gs is needed</v>
      </c>
      <c r="J100" s="32" t="str">
        <f t="shared" si="16"/>
        <v>Gs is needed</v>
      </c>
      <c r="K100" s="32" t="str">
        <f t="shared" si="18"/>
        <v>Need Max and Min</v>
      </c>
      <c r="L100" s="32" t="str">
        <f t="shared" si="19"/>
        <v>Need Max and Min</v>
      </c>
      <c r="M100" s="32" t="str">
        <f t="shared" si="20"/>
        <v>Fail</v>
      </c>
      <c r="N100" s="32"/>
      <c r="O100" s="31">
        <f>'mnt Data'!A103</f>
        <v>0</v>
      </c>
      <c r="P100" s="31">
        <f>'mnt Data'!B103</f>
        <v>0</v>
      </c>
      <c r="Q100" s="31">
        <f>'mnt Data'!C103</f>
        <v>0</v>
      </c>
      <c r="R100" s="31">
        <f>'mnt Data'!D103</f>
        <v>0</v>
      </c>
      <c r="S100" s="31">
        <f>'mnt Data'!E103</f>
        <v>0</v>
      </c>
      <c r="T100" s="31">
        <f>'mnt Data'!F103</f>
        <v>0</v>
      </c>
      <c r="U100" s="31">
        <f>'mnt Data'!G103</f>
        <v>0</v>
      </c>
      <c r="V100" s="31">
        <f>'mnt Data'!H103</f>
        <v>0</v>
      </c>
      <c r="W100" s="31">
        <f>'mnt Data'!I103</f>
        <v>0</v>
      </c>
      <c r="X100" s="31">
        <f>'mnt Data'!J103</f>
        <v>0</v>
      </c>
      <c r="Y100" s="31">
        <f>'mnt Data'!K103</f>
        <v>0</v>
      </c>
      <c r="Z100" s="31">
        <f>'mnt Data'!L103</f>
        <v>0</v>
      </c>
      <c r="AA100" s="31">
        <f>'mnt Data'!M103</f>
        <v>0</v>
      </c>
      <c r="AB100" s="31">
        <f>'mnt Data'!N103</f>
        <v>0</v>
      </c>
      <c r="AC100" s="31">
        <f>'mnt Data'!O103</f>
        <v>0</v>
      </c>
      <c r="AD100" s="31">
        <f>'mnt Data'!P103</f>
        <v>0</v>
      </c>
      <c r="AE100" s="31">
        <f>'mnt Data'!Q103</f>
        <v>0</v>
      </c>
      <c r="AF100" s="31">
        <f>'mnt Data'!R103</f>
        <v>0</v>
      </c>
      <c r="AG100" s="31">
        <f>'mnt Data'!S103</f>
        <v>0</v>
      </c>
      <c r="AH100" s="31">
        <f>'mnt Data'!T103</f>
        <v>0</v>
      </c>
      <c r="AI100" s="31">
        <f>'mnt Data'!U103</f>
        <v>0</v>
      </c>
      <c r="AJ100" s="31">
        <f>'mnt Data'!V103</f>
        <v>0</v>
      </c>
      <c r="AK100" s="31">
        <f>'mnt Data'!W103</f>
        <v>0</v>
      </c>
      <c r="AL100" s="31">
        <f>'mnt Data'!X103</f>
        <v>0</v>
      </c>
      <c r="AM100" s="31">
        <f>'mnt Data'!Y103</f>
        <v>0</v>
      </c>
      <c r="AN100" s="31">
        <f>'mnt Data'!Z103</f>
        <v>0</v>
      </c>
      <c r="AO100" s="31">
        <f>'mnt Data'!AA103</f>
        <v>0</v>
      </c>
      <c r="AP100" s="31">
        <f>'mnt Data'!AB103</f>
        <v>0</v>
      </c>
      <c r="AQ100" s="31">
        <f>'mnt Data'!AC103</f>
        <v>0</v>
      </c>
      <c r="AR100" s="31">
        <f>'mnt Data'!AD103</f>
        <v>0</v>
      </c>
      <c r="AS100" s="31">
        <f>'mnt Data'!AE103</f>
        <v>0</v>
      </c>
      <c r="AT100" s="31">
        <f>'mnt Data'!AF103</f>
        <v>0</v>
      </c>
      <c r="AU100" s="31">
        <f>'mnt Data'!AG103</f>
        <v>0</v>
      </c>
      <c r="AV100" s="31">
        <f>'mnt Data'!AH103</f>
        <v>0</v>
      </c>
      <c r="AW100" s="31">
        <f>'mnt Data'!AI103</f>
        <v>0</v>
      </c>
      <c r="AX100" s="31">
        <f>'mnt Data'!AJ103</f>
        <v>0</v>
      </c>
      <c r="AY100" s="31">
        <f>'mnt Data'!AK103</f>
        <v>0</v>
      </c>
    </row>
    <row r="101" spans="1:51" x14ac:dyDescent="0.25">
      <c r="A101">
        <v>100</v>
      </c>
      <c r="B101" s="32">
        <f t="shared" si="12"/>
        <v>0</v>
      </c>
      <c r="C101" s="32">
        <f t="shared" si="13"/>
        <v>0</v>
      </c>
      <c r="D101" s="32" t="str">
        <f t="shared" si="17"/>
        <v>No Gs</v>
      </c>
      <c r="E101" s="32">
        <f t="shared" si="21"/>
        <v>0</v>
      </c>
      <c r="F101" s="32" t="str">
        <f t="shared" si="22"/>
        <v>No Gs</v>
      </c>
      <c r="G101" s="32" t="str">
        <f t="shared" si="23"/>
        <v>No Gs</v>
      </c>
      <c r="H101" s="32" t="str">
        <f t="shared" si="14"/>
        <v>Gs is needed</v>
      </c>
      <c r="I101" s="32" t="str">
        <f t="shared" si="15"/>
        <v>Gs is needed</v>
      </c>
      <c r="J101" s="32" t="str">
        <f t="shared" si="16"/>
        <v>Gs is needed</v>
      </c>
      <c r="K101" s="32" t="str">
        <f t="shared" si="18"/>
        <v>Need Max and Min</v>
      </c>
      <c r="L101" s="32" t="str">
        <f t="shared" si="19"/>
        <v>Need Max and Min</v>
      </c>
      <c r="M101" s="32" t="str">
        <f t="shared" si="20"/>
        <v>Fail</v>
      </c>
      <c r="N101" s="32"/>
      <c r="O101" s="31">
        <f>'mnt Data'!A104</f>
        <v>0</v>
      </c>
      <c r="P101" s="31">
        <f>'mnt Data'!B104</f>
        <v>0</v>
      </c>
      <c r="Q101" s="31">
        <f>'mnt Data'!C104</f>
        <v>0</v>
      </c>
      <c r="R101" s="31">
        <f>'mnt Data'!D104</f>
        <v>0</v>
      </c>
      <c r="S101" s="31">
        <f>'mnt Data'!E104</f>
        <v>0</v>
      </c>
      <c r="T101" s="31">
        <f>'mnt Data'!F104</f>
        <v>0</v>
      </c>
      <c r="U101" s="31">
        <f>'mnt Data'!G104</f>
        <v>0</v>
      </c>
      <c r="V101" s="31">
        <f>'mnt Data'!H104</f>
        <v>0</v>
      </c>
      <c r="W101" s="31">
        <f>'mnt Data'!I104</f>
        <v>0</v>
      </c>
      <c r="X101" s="31">
        <f>'mnt Data'!J104</f>
        <v>0</v>
      </c>
      <c r="Y101" s="31">
        <f>'mnt Data'!K104</f>
        <v>0</v>
      </c>
      <c r="Z101" s="31">
        <f>'mnt Data'!L104</f>
        <v>0</v>
      </c>
      <c r="AA101" s="31">
        <f>'mnt Data'!M104</f>
        <v>0</v>
      </c>
      <c r="AB101" s="31">
        <f>'mnt Data'!N104</f>
        <v>0</v>
      </c>
      <c r="AC101" s="31">
        <f>'mnt Data'!O104</f>
        <v>0</v>
      </c>
      <c r="AD101" s="31">
        <f>'mnt Data'!P104</f>
        <v>0</v>
      </c>
      <c r="AE101" s="31">
        <f>'mnt Data'!Q104</f>
        <v>0</v>
      </c>
      <c r="AF101" s="31">
        <f>'mnt Data'!R104</f>
        <v>0</v>
      </c>
      <c r="AG101" s="31">
        <f>'mnt Data'!S104</f>
        <v>0</v>
      </c>
      <c r="AH101" s="31">
        <f>'mnt Data'!T104</f>
        <v>0</v>
      </c>
      <c r="AI101" s="31">
        <f>'mnt Data'!U104</f>
        <v>0</v>
      </c>
      <c r="AJ101" s="31">
        <f>'mnt Data'!V104</f>
        <v>0</v>
      </c>
      <c r="AK101" s="31">
        <f>'mnt Data'!W104</f>
        <v>0</v>
      </c>
      <c r="AL101" s="31">
        <f>'mnt Data'!X104</f>
        <v>0</v>
      </c>
      <c r="AM101" s="31">
        <f>'mnt Data'!Y104</f>
        <v>0</v>
      </c>
      <c r="AN101" s="31">
        <f>'mnt Data'!Z104</f>
        <v>0</v>
      </c>
      <c r="AO101" s="31">
        <f>'mnt Data'!AA104</f>
        <v>0</v>
      </c>
      <c r="AP101" s="31">
        <f>'mnt Data'!AB104</f>
        <v>0</v>
      </c>
      <c r="AQ101" s="31">
        <f>'mnt Data'!AC104</f>
        <v>0</v>
      </c>
      <c r="AR101" s="31">
        <f>'mnt Data'!AD104</f>
        <v>0</v>
      </c>
      <c r="AS101" s="31">
        <f>'mnt Data'!AE104</f>
        <v>0</v>
      </c>
      <c r="AT101" s="31">
        <f>'mnt Data'!AF104</f>
        <v>0</v>
      </c>
      <c r="AU101" s="31">
        <f>'mnt Data'!AG104</f>
        <v>0</v>
      </c>
      <c r="AV101" s="31">
        <f>'mnt Data'!AH104</f>
        <v>0</v>
      </c>
      <c r="AW101" s="31">
        <f>'mnt Data'!AI104</f>
        <v>0</v>
      </c>
      <c r="AX101" s="31">
        <f>'mnt Data'!AJ104</f>
        <v>0</v>
      </c>
      <c r="AY101" s="31">
        <f>'mnt Data'!AK104</f>
        <v>0</v>
      </c>
    </row>
    <row r="102" spans="1:51" x14ac:dyDescent="0.25">
      <c r="A102">
        <v>101</v>
      </c>
      <c r="B102" s="32">
        <f t="shared" si="12"/>
        <v>0</v>
      </c>
      <c r="C102" s="32">
        <f t="shared" si="13"/>
        <v>0</v>
      </c>
      <c r="D102" s="32" t="str">
        <f t="shared" si="17"/>
        <v>No Gs</v>
      </c>
      <c r="E102" s="32">
        <f t="shared" si="21"/>
        <v>0</v>
      </c>
      <c r="F102" s="32" t="str">
        <f t="shared" si="22"/>
        <v>No Gs</v>
      </c>
      <c r="G102" s="32" t="str">
        <f t="shared" si="23"/>
        <v>No Gs</v>
      </c>
      <c r="H102" s="32" t="str">
        <f t="shared" si="14"/>
        <v>Gs is needed</v>
      </c>
      <c r="I102" s="32" t="str">
        <f t="shared" si="15"/>
        <v>Gs is needed</v>
      </c>
      <c r="J102" s="32" t="str">
        <f t="shared" si="16"/>
        <v>Gs is needed</v>
      </c>
      <c r="K102" s="32" t="str">
        <f t="shared" si="18"/>
        <v>Need Max and Min</v>
      </c>
      <c r="L102" s="32" t="str">
        <f t="shared" si="19"/>
        <v>Need Max and Min</v>
      </c>
      <c r="M102" s="32" t="str">
        <f t="shared" si="20"/>
        <v>Fail</v>
      </c>
      <c r="N102" s="32"/>
      <c r="O102" s="31">
        <f>'mnt Data'!A105</f>
        <v>0</v>
      </c>
      <c r="P102" s="31">
        <f>'mnt Data'!B105</f>
        <v>0</v>
      </c>
      <c r="Q102" s="31">
        <f>'mnt Data'!C105</f>
        <v>0</v>
      </c>
      <c r="R102" s="31">
        <f>'mnt Data'!D105</f>
        <v>0</v>
      </c>
      <c r="S102" s="31">
        <f>'mnt Data'!E105</f>
        <v>0</v>
      </c>
      <c r="T102" s="31">
        <f>'mnt Data'!F105</f>
        <v>0</v>
      </c>
      <c r="U102" s="31">
        <f>'mnt Data'!G105</f>
        <v>0</v>
      </c>
      <c r="V102" s="31">
        <f>'mnt Data'!H105</f>
        <v>0</v>
      </c>
      <c r="W102" s="31">
        <f>'mnt Data'!I105</f>
        <v>0</v>
      </c>
      <c r="X102" s="31">
        <f>'mnt Data'!J105</f>
        <v>0</v>
      </c>
      <c r="Y102" s="31">
        <f>'mnt Data'!K105</f>
        <v>0</v>
      </c>
      <c r="Z102" s="31">
        <f>'mnt Data'!L105</f>
        <v>0</v>
      </c>
      <c r="AA102" s="31">
        <f>'mnt Data'!M105</f>
        <v>0</v>
      </c>
      <c r="AB102" s="31">
        <f>'mnt Data'!N105</f>
        <v>0</v>
      </c>
      <c r="AC102" s="31">
        <f>'mnt Data'!O105</f>
        <v>0</v>
      </c>
      <c r="AD102" s="31">
        <f>'mnt Data'!P105</f>
        <v>0</v>
      </c>
      <c r="AE102" s="31">
        <f>'mnt Data'!Q105</f>
        <v>0</v>
      </c>
      <c r="AF102" s="31">
        <f>'mnt Data'!R105</f>
        <v>0</v>
      </c>
      <c r="AG102" s="31">
        <f>'mnt Data'!S105</f>
        <v>0</v>
      </c>
      <c r="AH102" s="31">
        <f>'mnt Data'!T105</f>
        <v>0</v>
      </c>
      <c r="AI102" s="31">
        <f>'mnt Data'!U105</f>
        <v>0</v>
      </c>
      <c r="AJ102" s="31">
        <f>'mnt Data'!V105</f>
        <v>0</v>
      </c>
      <c r="AK102" s="31">
        <f>'mnt Data'!W105</f>
        <v>0</v>
      </c>
      <c r="AL102" s="31">
        <f>'mnt Data'!X105</f>
        <v>0</v>
      </c>
      <c r="AM102" s="31">
        <f>'mnt Data'!Y105</f>
        <v>0</v>
      </c>
      <c r="AN102" s="31">
        <f>'mnt Data'!Z105</f>
        <v>0</v>
      </c>
      <c r="AO102" s="31">
        <f>'mnt Data'!AA105</f>
        <v>0</v>
      </c>
      <c r="AP102" s="31">
        <f>'mnt Data'!AB105</f>
        <v>0</v>
      </c>
      <c r="AQ102" s="31">
        <f>'mnt Data'!AC105</f>
        <v>0</v>
      </c>
      <c r="AR102" s="31">
        <f>'mnt Data'!AD105</f>
        <v>0</v>
      </c>
      <c r="AS102" s="31">
        <f>'mnt Data'!AE105</f>
        <v>0</v>
      </c>
      <c r="AT102" s="31">
        <f>'mnt Data'!AF105</f>
        <v>0</v>
      </c>
      <c r="AU102" s="31">
        <f>'mnt Data'!AG105</f>
        <v>0</v>
      </c>
      <c r="AV102" s="31">
        <f>'mnt Data'!AH105</f>
        <v>0</v>
      </c>
      <c r="AW102" s="31">
        <f>'mnt Data'!AI105</f>
        <v>0</v>
      </c>
      <c r="AX102" s="31">
        <f>'mnt Data'!AJ105</f>
        <v>0</v>
      </c>
      <c r="AY102" s="31">
        <f>'mnt Data'!AK105</f>
        <v>0</v>
      </c>
    </row>
    <row r="103" spans="1:51" x14ac:dyDescent="0.25">
      <c r="A103">
        <v>102</v>
      </c>
      <c r="B103" s="32">
        <f t="shared" si="12"/>
        <v>0</v>
      </c>
      <c r="C103" s="32">
        <f t="shared" si="13"/>
        <v>0</v>
      </c>
      <c r="D103" s="32" t="str">
        <f t="shared" si="17"/>
        <v>No Gs</v>
      </c>
      <c r="E103" s="32">
        <f t="shared" si="21"/>
        <v>0</v>
      </c>
      <c r="F103" s="32" t="str">
        <f t="shared" si="22"/>
        <v>No Gs</v>
      </c>
      <c r="G103" s="32" t="str">
        <f t="shared" si="23"/>
        <v>No Gs</v>
      </c>
      <c r="H103" s="32" t="str">
        <f t="shared" si="14"/>
        <v>Gs is needed</v>
      </c>
      <c r="I103" s="32" t="str">
        <f t="shared" si="15"/>
        <v>Gs is needed</v>
      </c>
      <c r="J103" s="32" t="str">
        <f t="shared" si="16"/>
        <v>Gs is needed</v>
      </c>
      <c r="K103" s="32" t="str">
        <f t="shared" si="18"/>
        <v>Need Max and Min</v>
      </c>
      <c r="L103" s="32" t="str">
        <f t="shared" si="19"/>
        <v>Need Max and Min</v>
      </c>
      <c r="M103" s="32" t="str">
        <f t="shared" si="20"/>
        <v>Fail</v>
      </c>
      <c r="N103" s="32"/>
      <c r="O103" s="31">
        <f>'mnt Data'!A106</f>
        <v>0</v>
      </c>
      <c r="P103" s="31">
        <f>'mnt Data'!B106</f>
        <v>0</v>
      </c>
      <c r="Q103" s="31">
        <f>'mnt Data'!C106</f>
        <v>0</v>
      </c>
      <c r="R103" s="31">
        <f>'mnt Data'!D106</f>
        <v>0</v>
      </c>
      <c r="S103" s="31">
        <f>'mnt Data'!E106</f>
        <v>0</v>
      </c>
      <c r="T103" s="31">
        <f>'mnt Data'!F106</f>
        <v>0</v>
      </c>
      <c r="U103" s="31">
        <f>'mnt Data'!G106</f>
        <v>0</v>
      </c>
      <c r="V103" s="31">
        <f>'mnt Data'!H106</f>
        <v>0</v>
      </c>
      <c r="W103" s="31">
        <f>'mnt Data'!I106</f>
        <v>0</v>
      </c>
      <c r="X103" s="31">
        <f>'mnt Data'!J106</f>
        <v>0</v>
      </c>
      <c r="Y103" s="31">
        <f>'mnt Data'!K106</f>
        <v>0</v>
      </c>
      <c r="Z103" s="31">
        <f>'mnt Data'!L106</f>
        <v>0</v>
      </c>
      <c r="AA103" s="31">
        <f>'mnt Data'!M106</f>
        <v>0</v>
      </c>
      <c r="AB103" s="31">
        <f>'mnt Data'!N106</f>
        <v>0</v>
      </c>
      <c r="AC103" s="31">
        <f>'mnt Data'!O106</f>
        <v>0</v>
      </c>
      <c r="AD103" s="31">
        <f>'mnt Data'!P106</f>
        <v>0</v>
      </c>
      <c r="AE103" s="31">
        <f>'mnt Data'!Q106</f>
        <v>0</v>
      </c>
      <c r="AF103" s="31">
        <f>'mnt Data'!R106</f>
        <v>0</v>
      </c>
      <c r="AG103" s="31">
        <f>'mnt Data'!S106</f>
        <v>0</v>
      </c>
      <c r="AH103" s="31">
        <f>'mnt Data'!T106</f>
        <v>0</v>
      </c>
      <c r="AI103" s="31">
        <f>'mnt Data'!U106</f>
        <v>0</v>
      </c>
      <c r="AJ103" s="31">
        <f>'mnt Data'!V106</f>
        <v>0</v>
      </c>
      <c r="AK103" s="31">
        <f>'mnt Data'!W106</f>
        <v>0</v>
      </c>
      <c r="AL103" s="31">
        <f>'mnt Data'!X106</f>
        <v>0</v>
      </c>
      <c r="AM103" s="31">
        <f>'mnt Data'!Y106</f>
        <v>0</v>
      </c>
      <c r="AN103" s="31">
        <f>'mnt Data'!Z106</f>
        <v>0</v>
      </c>
      <c r="AO103" s="31">
        <f>'mnt Data'!AA106</f>
        <v>0</v>
      </c>
      <c r="AP103" s="31">
        <f>'mnt Data'!AB106</f>
        <v>0</v>
      </c>
      <c r="AQ103" s="31">
        <f>'mnt Data'!AC106</f>
        <v>0</v>
      </c>
      <c r="AR103" s="31">
        <f>'mnt Data'!AD106</f>
        <v>0</v>
      </c>
      <c r="AS103" s="31">
        <f>'mnt Data'!AE106</f>
        <v>0</v>
      </c>
      <c r="AT103" s="31">
        <f>'mnt Data'!AF106</f>
        <v>0</v>
      </c>
      <c r="AU103" s="31">
        <f>'mnt Data'!AG106</f>
        <v>0</v>
      </c>
      <c r="AV103" s="31">
        <f>'mnt Data'!AH106</f>
        <v>0</v>
      </c>
      <c r="AW103" s="31">
        <f>'mnt Data'!AI106</f>
        <v>0</v>
      </c>
      <c r="AX103" s="31">
        <f>'mnt Data'!AJ106</f>
        <v>0</v>
      </c>
      <c r="AY103" s="31">
        <f>'mnt Data'!AK106</f>
        <v>0</v>
      </c>
    </row>
    <row r="104" spans="1:51" x14ac:dyDescent="0.25">
      <c r="A104">
        <v>103</v>
      </c>
      <c r="B104" s="32">
        <f t="shared" si="12"/>
        <v>0</v>
      </c>
      <c r="C104" s="32">
        <f t="shared" si="13"/>
        <v>0</v>
      </c>
      <c r="D104" s="32" t="str">
        <f t="shared" si="17"/>
        <v>No Gs</v>
      </c>
      <c r="E104" s="32">
        <f t="shared" si="21"/>
        <v>0</v>
      </c>
      <c r="F104" s="32" t="str">
        <f t="shared" si="22"/>
        <v>No Gs</v>
      </c>
      <c r="G104" s="32" t="str">
        <f t="shared" si="23"/>
        <v>No Gs</v>
      </c>
      <c r="H104" s="32" t="str">
        <f t="shared" si="14"/>
        <v>Gs is needed</v>
      </c>
      <c r="I104" s="32" t="str">
        <f t="shared" si="15"/>
        <v>Gs is needed</v>
      </c>
      <c r="J104" s="32" t="str">
        <f t="shared" si="16"/>
        <v>Gs is needed</v>
      </c>
      <c r="K104" s="32" t="str">
        <f t="shared" si="18"/>
        <v>Need Max and Min</v>
      </c>
      <c r="L104" s="32" t="str">
        <f t="shared" si="19"/>
        <v>Need Max and Min</v>
      </c>
      <c r="M104" s="32" t="str">
        <f t="shared" si="20"/>
        <v>Fail</v>
      </c>
      <c r="N104" s="32"/>
      <c r="O104" s="31">
        <f>'mnt Data'!A107</f>
        <v>0</v>
      </c>
      <c r="P104" s="31">
        <f>'mnt Data'!B107</f>
        <v>0</v>
      </c>
      <c r="Q104" s="31">
        <f>'mnt Data'!C107</f>
        <v>0</v>
      </c>
      <c r="R104" s="31">
        <f>'mnt Data'!D107</f>
        <v>0</v>
      </c>
      <c r="S104" s="31">
        <f>'mnt Data'!E107</f>
        <v>0</v>
      </c>
      <c r="T104" s="31">
        <f>'mnt Data'!F107</f>
        <v>0</v>
      </c>
      <c r="U104" s="31">
        <f>'mnt Data'!G107</f>
        <v>0</v>
      </c>
      <c r="V104" s="31">
        <f>'mnt Data'!H107</f>
        <v>0</v>
      </c>
      <c r="W104" s="31">
        <f>'mnt Data'!I107</f>
        <v>0</v>
      </c>
      <c r="X104" s="31">
        <f>'mnt Data'!J107</f>
        <v>0</v>
      </c>
      <c r="Y104" s="31">
        <f>'mnt Data'!K107</f>
        <v>0</v>
      </c>
      <c r="Z104" s="31">
        <f>'mnt Data'!L107</f>
        <v>0</v>
      </c>
      <c r="AA104" s="31">
        <f>'mnt Data'!M107</f>
        <v>0</v>
      </c>
      <c r="AB104" s="31">
        <f>'mnt Data'!N107</f>
        <v>0</v>
      </c>
      <c r="AC104" s="31">
        <f>'mnt Data'!O107</f>
        <v>0</v>
      </c>
      <c r="AD104" s="31">
        <f>'mnt Data'!P107</f>
        <v>0</v>
      </c>
      <c r="AE104" s="31">
        <f>'mnt Data'!Q107</f>
        <v>0</v>
      </c>
      <c r="AF104" s="31">
        <f>'mnt Data'!R107</f>
        <v>0</v>
      </c>
      <c r="AG104" s="31">
        <f>'mnt Data'!S107</f>
        <v>0</v>
      </c>
      <c r="AH104" s="31">
        <f>'mnt Data'!T107</f>
        <v>0</v>
      </c>
      <c r="AI104" s="31">
        <f>'mnt Data'!U107</f>
        <v>0</v>
      </c>
      <c r="AJ104" s="31">
        <f>'mnt Data'!V107</f>
        <v>0</v>
      </c>
      <c r="AK104" s="31">
        <f>'mnt Data'!W107</f>
        <v>0</v>
      </c>
      <c r="AL104" s="31">
        <f>'mnt Data'!X107</f>
        <v>0</v>
      </c>
      <c r="AM104" s="31">
        <f>'mnt Data'!Y107</f>
        <v>0</v>
      </c>
      <c r="AN104" s="31">
        <f>'mnt Data'!Z107</f>
        <v>0</v>
      </c>
      <c r="AO104" s="31">
        <f>'mnt Data'!AA107</f>
        <v>0</v>
      </c>
      <c r="AP104" s="31">
        <f>'mnt Data'!AB107</f>
        <v>0</v>
      </c>
      <c r="AQ104" s="31">
        <f>'mnt Data'!AC107</f>
        <v>0</v>
      </c>
      <c r="AR104" s="31">
        <f>'mnt Data'!AD107</f>
        <v>0</v>
      </c>
      <c r="AS104" s="31">
        <f>'mnt Data'!AE107</f>
        <v>0</v>
      </c>
      <c r="AT104" s="31">
        <f>'mnt Data'!AF107</f>
        <v>0</v>
      </c>
      <c r="AU104" s="31">
        <f>'mnt Data'!AG107</f>
        <v>0</v>
      </c>
      <c r="AV104" s="31">
        <f>'mnt Data'!AH107</f>
        <v>0</v>
      </c>
      <c r="AW104" s="31">
        <f>'mnt Data'!AI107</f>
        <v>0</v>
      </c>
      <c r="AX104" s="31">
        <f>'mnt Data'!AJ107</f>
        <v>0</v>
      </c>
      <c r="AY104" s="31">
        <f>'mnt Data'!AK107</f>
        <v>0</v>
      </c>
    </row>
    <row r="105" spans="1:51" x14ac:dyDescent="0.25">
      <c r="A105">
        <v>104</v>
      </c>
      <c r="B105" s="32">
        <f t="shared" ref="B105:B168" si="24">O105</f>
        <v>0</v>
      </c>
      <c r="C105" s="32">
        <f t="shared" ref="C105:C168" si="25">O105*(Q105/100)</f>
        <v>0</v>
      </c>
      <c r="D105" s="32" t="str">
        <f t="shared" si="17"/>
        <v>No Gs</v>
      </c>
      <c r="E105" s="32">
        <f t="shared" si="21"/>
        <v>0</v>
      </c>
      <c r="F105" s="32" t="str">
        <f t="shared" si="22"/>
        <v>No Gs</v>
      </c>
      <c r="G105" s="32" t="str">
        <f t="shared" si="23"/>
        <v>No Gs</v>
      </c>
      <c r="H105" s="32" t="str">
        <f t="shared" ref="H105:H168" si="26">IFERROR(E105/G105,"Gs is needed")</f>
        <v>Gs is needed</v>
      </c>
      <c r="I105" s="32" t="str">
        <f t="shared" ref="I105:I168" si="27">IFERROR(G105/1,"Gs is needed")</f>
        <v>Gs is needed</v>
      </c>
      <c r="J105" s="32" t="str">
        <f t="shared" ref="J105:J168" si="28">IFERROR(G105/D105,"Gs is needed")</f>
        <v>Gs is needed</v>
      </c>
      <c r="K105" s="32" t="str">
        <f t="shared" si="18"/>
        <v>Need Max and Min</v>
      </c>
      <c r="L105" s="32" t="str">
        <f t="shared" si="19"/>
        <v>Need Max and Min</v>
      </c>
      <c r="M105" s="32" t="str">
        <f t="shared" si="20"/>
        <v>Fail</v>
      </c>
      <c r="N105" s="32"/>
      <c r="O105" s="31">
        <f>'mnt Data'!A108</f>
        <v>0</v>
      </c>
      <c r="P105" s="31">
        <f>'mnt Data'!B108</f>
        <v>0</v>
      </c>
      <c r="Q105" s="31">
        <f>'mnt Data'!C108</f>
        <v>0</v>
      </c>
      <c r="R105" s="31">
        <f>'mnt Data'!D108</f>
        <v>0</v>
      </c>
      <c r="S105" s="31">
        <f>'mnt Data'!E108</f>
        <v>0</v>
      </c>
      <c r="T105" s="31">
        <f>'mnt Data'!F108</f>
        <v>0</v>
      </c>
      <c r="U105" s="31">
        <f>'mnt Data'!G108</f>
        <v>0</v>
      </c>
      <c r="V105" s="31">
        <f>'mnt Data'!H108</f>
        <v>0</v>
      </c>
      <c r="W105" s="31">
        <f>'mnt Data'!I108</f>
        <v>0</v>
      </c>
      <c r="X105" s="31">
        <f>'mnt Data'!J108</f>
        <v>0</v>
      </c>
      <c r="Y105" s="31">
        <f>'mnt Data'!K108</f>
        <v>0</v>
      </c>
      <c r="Z105" s="31">
        <f>'mnt Data'!L108</f>
        <v>0</v>
      </c>
      <c r="AA105" s="31">
        <f>'mnt Data'!M108</f>
        <v>0</v>
      </c>
      <c r="AB105" s="31">
        <f>'mnt Data'!N108</f>
        <v>0</v>
      </c>
      <c r="AC105" s="31">
        <f>'mnt Data'!O108</f>
        <v>0</v>
      </c>
      <c r="AD105" s="31">
        <f>'mnt Data'!P108</f>
        <v>0</v>
      </c>
      <c r="AE105" s="31">
        <f>'mnt Data'!Q108</f>
        <v>0</v>
      </c>
      <c r="AF105" s="31">
        <f>'mnt Data'!R108</f>
        <v>0</v>
      </c>
      <c r="AG105" s="31">
        <f>'mnt Data'!S108</f>
        <v>0</v>
      </c>
      <c r="AH105" s="31">
        <f>'mnt Data'!T108</f>
        <v>0</v>
      </c>
      <c r="AI105" s="31">
        <f>'mnt Data'!U108</f>
        <v>0</v>
      </c>
      <c r="AJ105" s="31">
        <f>'mnt Data'!V108</f>
        <v>0</v>
      </c>
      <c r="AK105" s="31">
        <f>'mnt Data'!W108</f>
        <v>0</v>
      </c>
      <c r="AL105" s="31">
        <f>'mnt Data'!X108</f>
        <v>0</v>
      </c>
      <c r="AM105" s="31">
        <f>'mnt Data'!Y108</f>
        <v>0</v>
      </c>
      <c r="AN105" s="31">
        <f>'mnt Data'!Z108</f>
        <v>0</v>
      </c>
      <c r="AO105" s="31">
        <f>'mnt Data'!AA108</f>
        <v>0</v>
      </c>
      <c r="AP105" s="31">
        <f>'mnt Data'!AB108</f>
        <v>0</v>
      </c>
      <c r="AQ105" s="31">
        <f>'mnt Data'!AC108</f>
        <v>0</v>
      </c>
      <c r="AR105" s="31">
        <f>'mnt Data'!AD108</f>
        <v>0</v>
      </c>
      <c r="AS105" s="31">
        <f>'mnt Data'!AE108</f>
        <v>0</v>
      </c>
      <c r="AT105" s="31">
        <f>'mnt Data'!AF108</f>
        <v>0</v>
      </c>
      <c r="AU105" s="31">
        <f>'mnt Data'!AG108</f>
        <v>0</v>
      </c>
      <c r="AV105" s="31">
        <f>'mnt Data'!AH108</f>
        <v>0</v>
      </c>
      <c r="AW105" s="31">
        <f>'mnt Data'!AI108</f>
        <v>0</v>
      </c>
      <c r="AX105" s="31">
        <f>'mnt Data'!AJ108</f>
        <v>0</v>
      </c>
      <c r="AY105" s="31">
        <f>'mnt Data'!AK108</f>
        <v>0</v>
      </c>
    </row>
    <row r="106" spans="1:51" x14ac:dyDescent="0.25">
      <c r="A106">
        <v>105</v>
      </c>
      <c r="B106" s="32">
        <f t="shared" si="24"/>
        <v>0</v>
      </c>
      <c r="C106" s="32">
        <f t="shared" si="25"/>
        <v>0</v>
      </c>
      <c r="D106" s="32" t="str">
        <f t="shared" si="17"/>
        <v>No Gs</v>
      </c>
      <c r="E106" s="32">
        <f t="shared" si="21"/>
        <v>0</v>
      </c>
      <c r="F106" s="32" t="str">
        <f t="shared" si="22"/>
        <v>No Gs</v>
      </c>
      <c r="G106" s="32" t="str">
        <f t="shared" si="23"/>
        <v>No Gs</v>
      </c>
      <c r="H106" s="32" t="str">
        <f t="shared" si="26"/>
        <v>Gs is needed</v>
      </c>
      <c r="I106" s="32" t="str">
        <f t="shared" si="27"/>
        <v>Gs is needed</v>
      </c>
      <c r="J106" s="32" t="str">
        <f t="shared" si="28"/>
        <v>Gs is needed</v>
      </c>
      <c r="K106" s="32" t="str">
        <f t="shared" si="18"/>
        <v>Need Max and Min</v>
      </c>
      <c r="L106" s="32" t="str">
        <f t="shared" si="19"/>
        <v>Need Max and Min</v>
      </c>
      <c r="M106" s="32" t="str">
        <f t="shared" si="20"/>
        <v>Fail</v>
      </c>
      <c r="N106" s="32"/>
      <c r="O106" s="31">
        <f>'mnt Data'!A109</f>
        <v>0</v>
      </c>
      <c r="P106" s="31">
        <f>'mnt Data'!B109</f>
        <v>0</v>
      </c>
      <c r="Q106" s="31">
        <f>'mnt Data'!C109</f>
        <v>0</v>
      </c>
      <c r="R106" s="31">
        <f>'mnt Data'!D109</f>
        <v>0</v>
      </c>
      <c r="S106" s="31">
        <f>'mnt Data'!E109</f>
        <v>0</v>
      </c>
      <c r="T106" s="31">
        <f>'mnt Data'!F109</f>
        <v>0</v>
      </c>
      <c r="U106" s="31">
        <f>'mnt Data'!G109</f>
        <v>0</v>
      </c>
      <c r="V106" s="31">
        <f>'mnt Data'!H109</f>
        <v>0</v>
      </c>
      <c r="W106" s="31">
        <f>'mnt Data'!I109</f>
        <v>0</v>
      </c>
      <c r="X106" s="31">
        <f>'mnt Data'!J109</f>
        <v>0</v>
      </c>
      <c r="Y106" s="31">
        <f>'mnt Data'!K109</f>
        <v>0</v>
      </c>
      <c r="Z106" s="31">
        <f>'mnt Data'!L109</f>
        <v>0</v>
      </c>
      <c r="AA106" s="31">
        <f>'mnt Data'!M109</f>
        <v>0</v>
      </c>
      <c r="AB106" s="31">
        <f>'mnt Data'!N109</f>
        <v>0</v>
      </c>
      <c r="AC106" s="31">
        <f>'mnt Data'!O109</f>
        <v>0</v>
      </c>
      <c r="AD106" s="31">
        <f>'mnt Data'!P109</f>
        <v>0</v>
      </c>
      <c r="AE106" s="31">
        <f>'mnt Data'!Q109</f>
        <v>0</v>
      </c>
      <c r="AF106" s="31">
        <f>'mnt Data'!R109</f>
        <v>0</v>
      </c>
      <c r="AG106" s="31">
        <f>'mnt Data'!S109</f>
        <v>0</v>
      </c>
      <c r="AH106" s="31">
        <f>'mnt Data'!T109</f>
        <v>0</v>
      </c>
      <c r="AI106" s="31">
        <f>'mnt Data'!U109</f>
        <v>0</v>
      </c>
      <c r="AJ106" s="31">
        <f>'mnt Data'!V109</f>
        <v>0</v>
      </c>
      <c r="AK106" s="31">
        <f>'mnt Data'!W109</f>
        <v>0</v>
      </c>
      <c r="AL106" s="31">
        <f>'mnt Data'!X109</f>
        <v>0</v>
      </c>
      <c r="AM106" s="31">
        <f>'mnt Data'!Y109</f>
        <v>0</v>
      </c>
      <c r="AN106" s="31">
        <f>'mnt Data'!Z109</f>
        <v>0</v>
      </c>
      <c r="AO106" s="31">
        <f>'mnt Data'!AA109</f>
        <v>0</v>
      </c>
      <c r="AP106" s="31">
        <f>'mnt Data'!AB109</f>
        <v>0</v>
      </c>
      <c r="AQ106" s="31">
        <f>'mnt Data'!AC109</f>
        <v>0</v>
      </c>
      <c r="AR106" s="31">
        <f>'mnt Data'!AD109</f>
        <v>0</v>
      </c>
      <c r="AS106" s="31">
        <f>'mnt Data'!AE109</f>
        <v>0</v>
      </c>
      <c r="AT106" s="31">
        <f>'mnt Data'!AF109</f>
        <v>0</v>
      </c>
      <c r="AU106" s="31">
        <f>'mnt Data'!AG109</f>
        <v>0</v>
      </c>
      <c r="AV106" s="31">
        <f>'mnt Data'!AH109</f>
        <v>0</v>
      </c>
      <c r="AW106" s="31">
        <f>'mnt Data'!AI109</f>
        <v>0</v>
      </c>
      <c r="AX106" s="31">
        <f>'mnt Data'!AJ109</f>
        <v>0</v>
      </c>
      <c r="AY106" s="31">
        <f>'mnt Data'!AK109</f>
        <v>0</v>
      </c>
    </row>
    <row r="107" spans="1:51" x14ac:dyDescent="0.25">
      <c r="A107">
        <v>106</v>
      </c>
      <c r="B107" s="32">
        <f t="shared" si="24"/>
        <v>0</v>
      </c>
      <c r="C107" s="32">
        <f t="shared" si="25"/>
        <v>0</v>
      </c>
      <c r="D107" s="32" t="str">
        <f t="shared" si="17"/>
        <v>No Gs</v>
      </c>
      <c r="E107" s="32">
        <f t="shared" si="21"/>
        <v>0</v>
      </c>
      <c r="F107" s="32" t="str">
        <f t="shared" si="22"/>
        <v>No Gs</v>
      </c>
      <c r="G107" s="32" t="str">
        <f t="shared" si="23"/>
        <v>No Gs</v>
      </c>
      <c r="H107" s="32" t="str">
        <f t="shared" si="26"/>
        <v>Gs is needed</v>
      </c>
      <c r="I107" s="32" t="str">
        <f t="shared" si="27"/>
        <v>Gs is needed</v>
      </c>
      <c r="J107" s="32" t="str">
        <f t="shared" si="28"/>
        <v>Gs is needed</v>
      </c>
      <c r="K107" s="32" t="str">
        <f t="shared" si="18"/>
        <v>Need Max and Min</v>
      </c>
      <c r="L107" s="32" t="str">
        <f t="shared" si="19"/>
        <v>Need Max and Min</v>
      </c>
      <c r="M107" s="32" t="str">
        <f t="shared" si="20"/>
        <v>Fail</v>
      </c>
      <c r="N107" s="32"/>
      <c r="O107" s="31">
        <f>'mnt Data'!A110</f>
        <v>0</v>
      </c>
      <c r="P107" s="31">
        <f>'mnt Data'!B110</f>
        <v>0</v>
      </c>
      <c r="Q107" s="31">
        <f>'mnt Data'!C110</f>
        <v>0</v>
      </c>
      <c r="R107" s="31">
        <f>'mnt Data'!D110</f>
        <v>0</v>
      </c>
      <c r="S107" s="31">
        <f>'mnt Data'!E110</f>
        <v>0</v>
      </c>
      <c r="T107" s="31">
        <f>'mnt Data'!F110</f>
        <v>0</v>
      </c>
      <c r="U107" s="31">
        <f>'mnt Data'!G110</f>
        <v>0</v>
      </c>
      <c r="V107" s="31">
        <f>'mnt Data'!H110</f>
        <v>0</v>
      </c>
      <c r="W107" s="31">
        <f>'mnt Data'!I110</f>
        <v>0</v>
      </c>
      <c r="X107" s="31">
        <f>'mnt Data'!J110</f>
        <v>0</v>
      </c>
      <c r="Y107" s="31">
        <f>'mnt Data'!K110</f>
        <v>0</v>
      </c>
      <c r="Z107" s="31">
        <f>'mnt Data'!L110</f>
        <v>0</v>
      </c>
      <c r="AA107" s="31">
        <f>'mnt Data'!M110</f>
        <v>0</v>
      </c>
      <c r="AB107" s="31">
        <f>'mnt Data'!N110</f>
        <v>0</v>
      </c>
      <c r="AC107" s="31">
        <f>'mnt Data'!O110</f>
        <v>0</v>
      </c>
      <c r="AD107" s="31">
        <f>'mnt Data'!P110</f>
        <v>0</v>
      </c>
      <c r="AE107" s="31">
        <f>'mnt Data'!Q110</f>
        <v>0</v>
      </c>
      <c r="AF107" s="31">
        <f>'mnt Data'!R110</f>
        <v>0</v>
      </c>
      <c r="AG107" s="31">
        <f>'mnt Data'!S110</f>
        <v>0</v>
      </c>
      <c r="AH107" s="31">
        <f>'mnt Data'!T110</f>
        <v>0</v>
      </c>
      <c r="AI107" s="31">
        <f>'mnt Data'!U110</f>
        <v>0</v>
      </c>
      <c r="AJ107" s="31">
        <f>'mnt Data'!V110</f>
        <v>0</v>
      </c>
      <c r="AK107" s="31">
        <f>'mnt Data'!W110</f>
        <v>0</v>
      </c>
      <c r="AL107" s="31">
        <f>'mnt Data'!X110</f>
        <v>0</v>
      </c>
      <c r="AM107" s="31">
        <f>'mnt Data'!Y110</f>
        <v>0</v>
      </c>
      <c r="AN107" s="31">
        <f>'mnt Data'!Z110</f>
        <v>0</v>
      </c>
      <c r="AO107" s="31">
        <f>'mnt Data'!AA110</f>
        <v>0</v>
      </c>
      <c r="AP107" s="31">
        <f>'mnt Data'!AB110</f>
        <v>0</v>
      </c>
      <c r="AQ107" s="31">
        <f>'mnt Data'!AC110</f>
        <v>0</v>
      </c>
      <c r="AR107" s="31">
        <f>'mnt Data'!AD110</f>
        <v>0</v>
      </c>
      <c r="AS107" s="31">
        <f>'mnt Data'!AE110</f>
        <v>0</v>
      </c>
      <c r="AT107" s="31">
        <f>'mnt Data'!AF110</f>
        <v>0</v>
      </c>
      <c r="AU107" s="31">
        <f>'mnt Data'!AG110</f>
        <v>0</v>
      </c>
      <c r="AV107" s="31">
        <f>'mnt Data'!AH110</f>
        <v>0</v>
      </c>
      <c r="AW107" s="31">
        <f>'mnt Data'!AI110</f>
        <v>0</v>
      </c>
      <c r="AX107" s="31">
        <f>'mnt Data'!AJ110</f>
        <v>0</v>
      </c>
      <c r="AY107" s="31">
        <f>'mnt Data'!AK110</f>
        <v>0</v>
      </c>
    </row>
    <row r="108" spans="1:51" x14ac:dyDescent="0.25">
      <c r="A108">
        <v>107</v>
      </c>
      <c r="B108" s="32">
        <f t="shared" si="24"/>
        <v>0</v>
      </c>
      <c r="C108" s="32">
        <f t="shared" si="25"/>
        <v>0</v>
      </c>
      <c r="D108" s="32" t="str">
        <f t="shared" si="17"/>
        <v>No Gs</v>
      </c>
      <c r="E108" s="32">
        <f t="shared" si="21"/>
        <v>0</v>
      </c>
      <c r="F108" s="32" t="str">
        <f t="shared" si="22"/>
        <v>No Gs</v>
      </c>
      <c r="G108" s="32" t="str">
        <f t="shared" si="23"/>
        <v>No Gs</v>
      </c>
      <c r="H108" s="32" t="str">
        <f t="shared" si="26"/>
        <v>Gs is needed</v>
      </c>
      <c r="I108" s="32" t="str">
        <f t="shared" si="27"/>
        <v>Gs is needed</v>
      </c>
      <c r="J108" s="32" t="str">
        <f t="shared" si="28"/>
        <v>Gs is needed</v>
      </c>
      <c r="K108" s="32" t="str">
        <f t="shared" si="18"/>
        <v>Need Max and Min</v>
      </c>
      <c r="L108" s="32" t="str">
        <f t="shared" si="19"/>
        <v>Need Max and Min</v>
      </c>
      <c r="M108" s="32" t="str">
        <f t="shared" si="20"/>
        <v>Fail</v>
      </c>
      <c r="N108" s="32"/>
      <c r="O108" s="31">
        <f>'mnt Data'!A111</f>
        <v>0</v>
      </c>
      <c r="P108" s="31">
        <f>'mnt Data'!B111</f>
        <v>0</v>
      </c>
      <c r="Q108" s="31">
        <f>'mnt Data'!C111</f>
        <v>0</v>
      </c>
      <c r="R108" s="31">
        <f>'mnt Data'!D111</f>
        <v>0</v>
      </c>
      <c r="S108" s="31">
        <f>'mnt Data'!E111</f>
        <v>0</v>
      </c>
      <c r="T108" s="31">
        <f>'mnt Data'!F111</f>
        <v>0</v>
      </c>
      <c r="U108" s="31">
        <f>'mnt Data'!G111</f>
        <v>0</v>
      </c>
      <c r="V108" s="31">
        <f>'mnt Data'!H111</f>
        <v>0</v>
      </c>
      <c r="W108" s="31">
        <f>'mnt Data'!I111</f>
        <v>0</v>
      </c>
      <c r="X108" s="31">
        <f>'mnt Data'!J111</f>
        <v>0</v>
      </c>
      <c r="Y108" s="31">
        <f>'mnt Data'!K111</f>
        <v>0</v>
      </c>
      <c r="Z108" s="31">
        <f>'mnt Data'!L111</f>
        <v>0</v>
      </c>
      <c r="AA108" s="31">
        <f>'mnt Data'!M111</f>
        <v>0</v>
      </c>
      <c r="AB108" s="31">
        <f>'mnt Data'!N111</f>
        <v>0</v>
      </c>
      <c r="AC108" s="31">
        <f>'mnt Data'!O111</f>
        <v>0</v>
      </c>
      <c r="AD108" s="31">
        <f>'mnt Data'!P111</f>
        <v>0</v>
      </c>
      <c r="AE108" s="31">
        <f>'mnt Data'!Q111</f>
        <v>0</v>
      </c>
      <c r="AF108" s="31">
        <f>'mnt Data'!R111</f>
        <v>0</v>
      </c>
      <c r="AG108" s="31">
        <f>'mnt Data'!S111</f>
        <v>0</v>
      </c>
      <c r="AH108" s="31">
        <f>'mnt Data'!T111</f>
        <v>0</v>
      </c>
      <c r="AI108" s="31">
        <f>'mnt Data'!U111</f>
        <v>0</v>
      </c>
      <c r="AJ108" s="31">
        <f>'mnt Data'!V111</f>
        <v>0</v>
      </c>
      <c r="AK108" s="31">
        <f>'mnt Data'!W111</f>
        <v>0</v>
      </c>
      <c r="AL108" s="31">
        <f>'mnt Data'!X111</f>
        <v>0</v>
      </c>
      <c r="AM108" s="31">
        <f>'mnt Data'!Y111</f>
        <v>0</v>
      </c>
      <c r="AN108" s="31">
        <f>'mnt Data'!Z111</f>
        <v>0</v>
      </c>
      <c r="AO108" s="31">
        <f>'mnt Data'!AA111</f>
        <v>0</v>
      </c>
      <c r="AP108" s="31">
        <f>'mnt Data'!AB111</f>
        <v>0</v>
      </c>
      <c r="AQ108" s="31">
        <f>'mnt Data'!AC111</f>
        <v>0</v>
      </c>
      <c r="AR108" s="31">
        <f>'mnt Data'!AD111</f>
        <v>0</v>
      </c>
      <c r="AS108" s="31">
        <f>'mnt Data'!AE111</f>
        <v>0</v>
      </c>
      <c r="AT108" s="31">
        <f>'mnt Data'!AF111</f>
        <v>0</v>
      </c>
      <c r="AU108" s="31">
        <f>'mnt Data'!AG111</f>
        <v>0</v>
      </c>
      <c r="AV108" s="31">
        <f>'mnt Data'!AH111</f>
        <v>0</v>
      </c>
      <c r="AW108" s="31">
        <f>'mnt Data'!AI111</f>
        <v>0</v>
      </c>
      <c r="AX108" s="31">
        <f>'mnt Data'!AJ111</f>
        <v>0</v>
      </c>
      <c r="AY108" s="31">
        <f>'mnt Data'!AK111</f>
        <v>0</v>
      </c>
    </row>
    <row r="109" spans="1:51" x14ac:dyDescent="0.25">
      <c r="A109">
        <v>108</v>
      </c>
      <c r="B109" s="32">
        <f t="shared" si="24"/>
        <v>0</v>
      </c>
      <c r="C109" s="32">
        <f t="shared" si="25"/>
        <v>0</v>
      </c>
      <c r="D109" s="32" t="str">
        <f t="shared" si="17"/>
        <v>No Gs</v>
      </c>
      <c r="E109" s="32">
        <f t="shared" si="21"/>
        <v>0</v>
      </c>
      <c r="F109" s="32" t="str">
        <f t="shared" si="22"/>
        <v>No Gs</v>
      </c>
      <c r="G109" s="32" t="str">
        <f t="shared" si="23"/>
        <v>No Gs</v>
      </c>
      <c r="H109" s="32" t="str">
        <f t="shared" si="26"/>
        <v>Gs is needed</v>
      </c>
      <c r="I109" s="32" t="str">
        <f t="shared" si="27"/>
        <v>Gs is needed</v>
      </c>
      <c r="J109" s="32" t="str">
        <f t="shared" si="28"/>
        <v>Gs is needed</v>
      </c>
      <c r="K109" s="32" t="str">
        <f t="shared" si="18"/>
        <v>Need Max and Min</v>
      </c>
      <c r="L109" s="32" t="str">
        <f t="shared" si="19"/>
        <v>Need Max and Min</v>
      </c>
      <c r="M109" s="32" t="str">
        <f t="shared" si="20"/>
        <v>Fail</v>
      </c>
      <c r="N109" s="32"/>
      <c r="O109" s="31">
        <f>'mnt Data'!A112</f>
        <v>0</v>
      </c>
      <c r="P109" s="31">
        <f>'mnt Data'!B112</f>
        <v>0</v>
      </c>
      <c r="Q109" s="31">
        <f>'mnt Data'!C112</f>
        <v>0</v>
      </c>
      <c r="R109" s="31">
        <f>'mnt Data'!D112</f>
        <v>0</v>
      </c>
      <c r="S109" s="31">
        <f>'mnt Data'!E112</f>
        <v>0</v>
      </c>
      <c r="T109" s="31">
        <f>'mnt Data'!F112</f>
        <v>0</v>
      </c>
      <c r="U109" s="31">
        <f>'mnt Data'!G112</f>
        <v>0</v>
      </c>
      <c r="V109" s="31">
        <f>'mnt Data'!H112</f>
        <v>0</v>
      </c>
      <c r="W109" s="31">
        <f>'mnt Data'!I112</f>
        <v>0</v>
      </c>
      <c r="X109" s="31">
        <f>'mnt Data'!J112</f>
        <v>0</v>
      </c>
      <c r="Y109" s="31">
        <f>'mnt Data'!K112</f>
        <v>0</v>
      </c>
      <c r="Z109" s="31">
        <f>'mnt Data'!L112</f>
        <v>0</v>
      </c>
      <c r="AA109" s="31">
        <f>'mnt Data'!M112</f>
        <v>0</v>
      </c>
      <c r="AB109" s="31">
        <f>'mnt Data'!N112</f>
        <v>0</v>
      </c>
      <c r="AC109" s="31">
        <f>'mnt Data'!O112</f>
        <v>0</v>
      </c>
      <c r="AD109" s="31">
        <f>'mnt Data'!P112</f>
        <v>0</v>
      </c>
      <c r="AE109" s="31">
        <f>'mnt Data'!Q112</f>
        <v>0</v>
      </c>
      <c r="AF109" s="31">
        <f>'mnt Data'!R112</f>
        <v>0</v>
      </c>
      <c r="AG109" s="31">
        <f>'mnt Data'!S112</f>
        <v>0</v>
      </c>
      <c r="AH109" s="31">
        <f>'mnt Data'!T112</f>
        <v>0</v>
      </c>
      <c r="AI109" s="31">
        <f>'mnt Data'!U112</f>
        <v>0</v>
      </c>
      <c r="AJ109" s="31">
        <f>'mnt Data'!V112</f>
        <v>0</v>
      </c>
      <c r="AK109" s="31">
        <f>'mnt Data'!W112</f>
        <v>0</v>
      </c>
      <c r="AL109" s="31">
        <f>'mnt Data'!X112</f>
        <v>0</v>
      </c>
      <c r="AM109" s="31">
        <f>'mnt Data'!Y112</f>
        <v>0</v>
      </c>
      <c r="AN109" s="31">
        <f>'mnt Data'!Z112</f>
        <v>0</v>
      </c>
      <c r="AO109" s="31">
        <f>'mnt Data'!AA112</f>
        <v>0</v>
      </c>
      <c r="AP109" s="31">
        <f>'mnt Data'!AB112</f>
        <v>0</v>
      </c>
      <c r="AQ109" s="31">
        <f>'mnt Data'!AC112</f>
        <v>0</v>
      </c>
      <c r="AR109" s="31">
        <f>'mnt Data'!AD112</f>
        <v>0</v>
      </c>
      <c r="AS109" s="31">
        <f>'mnt Data'!AE112</f>
        <v>0</v>
      </c>
      <c r="AT109" s="31">
        <f>'mnt Data'!AF112</f>
        <v>0</v>
      </c>
      <c r="AU109" s="31">
        <f>'mnt Data'!AG112</f>
        <v>0</v>
      </c>
      <c r="AV109" s="31">
        <f>'mnt Data'!AH112</f>
        <v>0</v>
      </c>
      <c r="AW109" s="31">
        <f>'mnt Data'!AI112</f>
        <v>0</v>
      </c>
      <c r="AX109" s="31">
        <f>'mnt Data'!AJ112</f>
        <v>0</v>
      </c>
      <c r="AY109" s="31">
        <f>'mnt Data'!AK112</f>
        <v>0</v>
      </c>
    </row>
    <row r="110" spans="1:51" x14ac:dyDescent="0.25">
      <c r="A110">
        <v>109</v>
      </c>
      <c r="B110" s="32">
        <f t="shared" si="24"/>
        <v>0</v>
      </c>
      <c r="C110" s="32">
        <f t="shared" si="25"/>
        <v>0</v>
      </c>
      <c r="D110" s="32" t="str">
        <f t="shared" si="17"/>
        <v>No Gs</v>
      </c>
      <c r="E110" s="32">
        <f t="shared" si="21"/>
        <v>0</v>
      </c>
      <c r="F110" s="32" t="str">
        <f t="shared" si="22"/>
        <v>No Gs</v>
      </c>
      <c r="G110" s="32" t="str">
        <f t="shared" si="23"/>
        <v>No Gs</v>
      </c>
      <c r="H110" s="32" t="str">
        <f t="shared" si="26"/>
        <v>Gs is needed</v>
      </c>
      <c r="I110" s="32" t="str">
        <f t="shared" si="27"/>
        <v>Gs is needed</v>
      </c>
      <c r="J110" s="32" t="str">
        <f t="shared" si="28"/>
        <v>Gs is needed</v>
      </c>
      <c r="K110" s="32" t="str">
        <f t="shared" si="18"/>
        <v>Need Max and Min</v>
      </c>
      <c r="L110" s="32" t="str">
        <f t="shared" si="19"/>
        <v>Need Max and Min</v>
      </c>
      <c r="M110" s="32" t="str">
        <f t="shared" si="20"/>
        <v>Fail</v>
      </c>
      <c r="N110" s="32"/>
      <c r="O110" s="31">
        <f>'mnt Data'!A113</f>
        <v>0</v>
      </c>
      <c r="P110" s="31">
        <f>'mnt Data'!B113</f>
        <v>0</v>
      </c>
      <c r="Q110" s="31">
        <f>'mnt Data'!C113</f>
        <v>0</v>
      </c>
      <c r="R110" s="31">
        <f>'mnt Data'!D113</f>
        <v>0</v>
      </c>
      <c r="S110" s="31">
        <f>'mnt Data'!E113</f>
        <v>0</v>
      </c>
      <c r="T110" s="31">
        <f>'mnt Data'!F113</f>
        <v>0</v>
      </c>
      <c r="U110" s="31">
        <f>'mnt Data'!G113</f>
        <v>0</v>
      </c>
      <c r="V110" s="31">
        <f>'mnt Data'!H113</f>
        <v>0</v>
      </c>
      <c r="W110" s="31">
        <f>'mnt Data'!I113</f>
        <v>0</v>
      </c>
      <c r="X110" s="31">
        <f>'mnt Data'!J113</f>
        <v>0</v>
      </c>
      <c r="Y110" s="31">
        <f>'mnt Data'!K113</f>
        <v>0</v>
      </c>
      <c r="Z110" s="31">
        <f>'mnt Data'!L113</f>
        <v>0</v>
      </c>
      <c r="AA110" s="31">
        <f>'mnt Data'!M113</f>
        <v>0</v>
      </c>
      <c r="AB110" s="31">
        <f>'mnt Data'!N113</f>
        <v>0</v>
      </c>
      <c r="AC110" s="31">
        <f>'mnt Data'!O113</f>
        <v>0</v>
      </c>
      <c r="AD110" s="31">
        <f>'mnt Data'!P113</f>
        <v>0</v>
      </c>
      <c r="AE110" s="31">
        <f>'mnt Data'!Q113</f>
        <v>0</v>
      </c>
      <c r="AF110" s="31">
        <f>'mnt Data'!R113</f>
        <v>0</v>
      </c>
      <c r="AG110" s="31">
        <f>'mnt Data'!S113</f>
        <v>0</v>
      </c>
      <c r="AH110" s="31">
        <f>'mnt Data'!T113</f>
        <v>0</v>
      </c>
      <c r="AI110" s="31">
        <f>'mnt Data'!U113</f>
        <v>0</v>
      </c>
      <c r="AJ110" s="31">
        <f>'mnt Data'!V113</f>
        <v>0</v>
      </c>
      <c r="AK110" s="31">
        <f>'mnt Data'!W113</f>
        <v>0</v>
      </c>
      <c r="AL110" s="31">
        <f>'mnt Data'!X113</f>
        <v>0</v>
      </c>
      <c r="AM110" s="31">
        <f>'mnt Data'!Y113</f>
        <v>0</v>
      </c>
      <c r="AN110" s="31">
        <f>'mnt Data'!Z113</f>
        <v>0</v>
      </c>
      <c r="AO110" s="31">
        <f>'mnt Data'!AA113</f>
        <v>0</v>
      </c>
      <c r="AP110" s="31">
        <f>'mnt Data'!AB113</f>
        <v>0</v>
      </c>
      <c r="AQ110" s="31">
        <f>'mnt Data'!AC113</f>
        <v>0</v>
      </c>
      <c r="AR110" s="31">
        <f>'mnt Data'!AD113</f>
        <v>0</v>
      </c>
      <c r="AS110" s="31">
        <f>'mnt Data'!AE113</f>
        <v>0</v>
      </c>
      <c r="AT110" s="31">
        <f>'mnt Data'!AF113</f>
        <v>0</v>
      </c>
      <c r="AU110" s="31">
        <f>'mnt Data'!AG113</f>
        <v>0</v>
      </c>
      <c r="AV110" s="31">
        <f>'mnt Data'!AH113</f>
        <v>0</v>
      </c>
      <c r="AW110" s="31">
        <f>'mnt Data'!AI113</f>
        <v>0</v>
      </c>
      <c r="AX110" s="31">
        <f>'mnt Data'!AJ113</f>
        <v>0</v>
      </c>
      <c r="AY110" s="31">
        <f>'mnt Data'!AK113</f>
        <v>0</v>
      </c>
    </row>
    <row r="111" spans="1:51" x14ac:dyDescent="0.25">
      <c r="A111">
        <v>110</v>
      </c>
      <c r="B111" s="32">
        <f t="shared" si="24"/>
        <v>0</v>
      </c>
      <c r="C111" s="32">
        <f t="shared" si="25"/>
        <v>0</v>
      </c>
      <c r="D111" s="32" t="str">
        <f t="shared" si="17"/>
        <v>No Gs</v>
      </c>
      <c r="E111" s="32">
        <f t="shared" si="21"/>
        <v>0</v>
      </c>
      <c r="F111" s="32" t="str">
        <f t="shared" si="22"/>
        <v>No Gs</v>
      </c>
      <c r="G111" s="32" t="str">
        <f t="shared" si="23"/>
        <v>No Gs</v>
      </c>
      <c r="H111" s="32" t="str">
        <f t="shared" si="26"/>
        <v>Gs is needed</v>
      </c>
      <c r="I111" s="32" t="str">
        <f t="shared" si="27"/>
        <v>Gs is needed</v>
      </c>
      <c r="J111" s="32" t="str">
        <f t="shared" si="28"/>
        <v>Gs is needed</v>
      </c>
      <c r="K111" s="32" t="str">
        <f t="shared" si="18"/>
        <v>Need Max and Min</v>
      </c>
      <c r="L111" s="32" t="str">
        <f t="shared" si="19"/>
        <v>Need Max and Min</v>
      </c>
      <c r="M111" s="32" t="str">
        <f t="shared" si="20"/>
        <v>Fail</v>
      </c>
      <c r="N111" s="32"/>
      <c r="O111" s="31">
        <f>'mnt Data'!A114</f>
        <v>0</v>
      </c>
      <c r="P111" s="31">
        <f>'mnt Data'!B114</f>
        <v>0</v>
      </c>
      <c r="Q111" s="31">
        <f>'mnt Data'!C114</f>
        <v>0</v>
      </c>
      <c r="R111" s="31">
        <f>'mnt Data'!D114</f>
        <v>0</v>
      </c>
      <c r="S111" s="31">
        <f>'mnt Data'!E114</f>
        <v>0</v>
      </c>
      <c r="T111" s="31">
        <f>'mnt Data'!F114</f>
        <v>0</v>
      </c>
      <c r="U111" s="31">
        <f>'mnt Data'!G114</f>
        <v>0</v>
      </c>
      <c r="V111" s="31">
        <f>'mnt Data'!H114</f>
        <v>0</v>
      </c>
      <c r="W111" s="31">
        <f>'mnt Data'!I114</f>
        <v>0</v>
      </c>
      <c r="X111" s="31">
        <f>'mnt Data'!J114</f>
        <v>0</v>
      </c>
      <c r="Y111" s="31">
        <f>'mnt Data'!K114</f>
        <v>0</v>
      </c>
      <c r="Z111" s="31">
        <f>'mnt Data'!L114</f>
        <v>0</v>
      </c>
      <c r="AA111" s="31">
        <f>'mnt Data'!M114</f>
        <v>0</v>
      </c>
      <c r="AB111" s="31">
        <f>'mnt Data'!N114</f>
        <v>0</v>
      </c>
      <c r="AC111" s="31">
        <f>'mnt Data'!O114</f>
        <v>0</v>
      </c>
      <c r="AD111" s="31">
        <f>'mnt Data'!P114</f>
        <v>0</v>
      </c>
      <c r="AE111" s="31">
        <f>'mnt Data'!Q114</f>
        <v>0</v>
      </c>
      <c r="AF111" s="31">
        <f>'mnt Data'!R114</f>
        <v>0</v>
      </c>
      <c r="AG111" s="31">
        <f>'mnt Data'!S114</f>
        <v>0</v>
      </c>
      <c r="AH111" s="31">
        <f>'mnt Data'!T114</f>
        <v>0</v>
      </c>
      <c r="AI111" s="31">
        <f>'mnt Data'!U114</f>
        <v>0</v>
      </c>
      <c r="AJ111" s="31">
        <f>'mnt Data'!V114</f>
        <v>0</v>
      </c>
      <c r="AK111" s="31">
        <f>'mnt Data'!W114</f>
        <v>0</v>
      </c>
      <c r="AL111" s="31">
        <f>'mnt Data'!X114</f>
        <v>0</v>
      </c>
      <c r="AM111" s="31">
        <f>'mnt Data'!Y114</f>
        <v>0</v>
      </c>
      <c r="AN111" s="31">
        <f>'mnt Data'!Z114</f>
        <v>0</v>
      </c>
      <c r="AO111" s="31">
        <f>'mnt Data'!AA114</f>
        <v>0</v>
      </c>
      <c r="AP111" s="31">
        <f>'mnt Data'!AB114</f>
        <v>0</v>
      </c>
      <c r="AQ111" s="31">
        <f>'mnt Data'!AC114</f>
        <v>0</v>
      </c>
      <c r="AR111" s="31">
        <f>'mnt Data'!AD114</f>
        <v>0</v>
      </c>
      <c r="AS111" s="31">
        <f>'mnt Data'!AE114</f>
        <v>0</v>
      </c>
      <c r="AT111" s="31">
        <f>'mnt Data'!AF114</f>
        <v>0</v>
      </c>
      <c r="AU111" s="31">
        <f>'mnt Data'!AG114</f>
        <v>0</v>
      </c>
      <c r="AV111" s="31">
        <f>'mnt Data'!AH114</f>
        <v>0</v>
      </c>
      <c r="AW111" s="31">
        <f>'mnt Data'!AI114</f>
        <v>0</v>
      </c>
      <c r="AX111" s="31">
        <f>'mnt Data'!AJ114</f>
        <v>0</v>
      </c>
      <c r="AY111" s="31">
        <f>'mnt Data'!AK114</f>
        <v>0</v>
      </c>
    </row>
    <row r="112" spans="1:51" x14ac:dyDescent="0.25">
      <c r="A112">
        <v>111</v>
      </c>
      <c r="B112" s="32">
        <f t="shared" si="24"/>
        <v>0</v>
      </c>
      <c r="C112" s="32">
        <f t="shared" si="25"/>
        <v>0</v>
      </c>
      <c r="D112" s="32" t="str">
        <f t="shared" si="17"/>
        <v>No Gs</v>
      </c>
      <c r="E112" s="32">
        <f t="shared" si="21"/>
        <v>0</v>
      </c>
      <c r="F112" s="32" t="str">
        <f t="shared" si="22"/>
        <v>No Gs</v>
      </c>
      <c r="G112" s="32" t="str">
        <f t="shared" si="23"/>
        <v>No Gs</v>
      </c>
      <c r="H112" s="32" t="str">
        <f t="shared" si="26"/>
        <v>Gs is needed</v>
      </c>
      <c r="I112" s="32" t="str">
        <f t="shared" si="27"/>
        <v>Gs is needed</v>
      </c>
      <c r="J112" s="32" t="str">
        <f t="shared" si="28"/>
        <v>Gs is needed</v>
      </c>
      <c r="K112" s="32" t="str">
        <f t="shared" si="18"/>
        <v>Need Max and Min</v>
      </c>
      <c r="L112" s="32" t="str">
        <f t="shared" si="19"/>
        <v>Need Max and Min</v>
      </c>
      <c r="M112" s="32" t="str">
        <f t="shared" si="20"/>
        <v>Fail</v>
      </c>
      <c r="N112" s="32"/>
      <c r="O112" s="31">
        <f>'mnt Data'!A115</f>
        <v>0</v>
      </c>
      <c r="P112" s="31">
        <f>'mnt Data'!B115</f>
        <v>0</v>
      </c>
      <c r="Q112" s="31">
        <f>'mnt Data'!C115</f>
        <v>0</v>
      </c>
      <c r="R112" s="31">
        <f>'mnt Data'!D115</f>
        <v>0</v>
      </c>
      <c r="S112" s="31">
        <f>'mnt Data'!E115</f>
        <v>0</v>
      </c>
      <c r="T112" s="31">
        <f>'mnt Data'!F115</f>
        <v>0</v>
      </c>
      <c r="U112" s="31">
        <f>'mnt Data'!G115</f>
        <v>0</v>
      </c>
      <c r="V112" s="31">
        <f>'mnt Data'!H115</f>
        <v>0</v>
      </c>
      <c r="W112" s="31">
        <f>'mnt Data'!I115</f>
        <v>0</v>
      </c>
      <c r="X112" s="31">
        <f>'mnt Data'!J115</f>
        <v>0</v>
      </c>
      <c r="Y112" s="31">
        <f>'mnt Data'!K115</f>
        <v>0</v>
      </c>
      <c r="Z112" s="31">
        <f>'mnt Data'!L115</f>
        <v>0</v>
      </c>
      <c r="AA112" s="31">
        <f>'mnt Data'!M115</f>
        <v>0</v>
      </c>
      <c r="AB112" s="31">
        <f>'mnt Data'!N115</f>
        <v>0</v>
      </c>
      <c r="AC112" s="31">
        <f>'mnt Data'!O115</f>
        <v>0</v>
      </c>
      <c r="AD112" s="31">
        <f>'mnt Data'!P115</f>
        <v>0</v>
      </c>
      <c r="AE112" s="31">
        <f>'mnt Data'!Q115</f>
        <v>0</v>
      </c>
      <c r="AF112" s="31">
        <f>'mnt Data'!R115</f>
        <v>0</v>
      </c>
      <c r="AG112" s="31">
        <f>'mnt Data'!S115</f>
        <v>0</v>
      </c>
      <c r="AH112" s="31">
        <f>'mnt Data'!T115</f>
        <v>0</v>
      </c>
      <c r="AI112" s="31">
        <f>'mnt Data'!U115</f>
        <v>0</v>
      </c>
      <c r="AJ112" s="31">
        <f>'mnt Data'!V115</f>
        <v>0</v>
      </c>
      <c r="AK112" s="31">
        <f>'mnt Data'!W115</f>
        <v>0</v>
      </c>
      <c r="AL112" s="31">
        <f>'mnt Data'!X115</f>
        <v>0</v>
      </c>
      <c r="AM112" s="31">
        <f>'mnt Data'!Y115</f>
        <v>0</v>
      </c>
      <c r="AN112" s="31">
        <f>'mnt Data'!Z115</f>
        <v>0</v>
      </c>
      <c r="AO112" s="31">
        <f>'mnt Data'!AA115</f>
        <v>0</v>
      </c>
      <c r="AP112" s="31">
        <f>'mnt Data'!AB115</f>
        <v>0</v>
      </c>
      <c r="AQ112" s="31">
        <f>'mnt Data'!AC115</f>
        <v>0</v>
      </c>
      <c r="AR112" s="31">
        <f>'mnt Data'!AD115</f>
        <v>0</v>
      </c>
      <c r="AS112" s="31">
        <f>'mnt Data'!AE115</f>
        <v>0</v>
      </c>
      <c r="AT112" s="31">
        <f>'mnt Data'!AF115</f>
        <v>0</v>
      </c>
      <c r="AU112" s="31">
        <f>'mnt Data'!AG115</f>
        <v>0</v>
      </c>
      <c r="AV112" s="31">
        <f>'mnt Data'!AH115</f>
        <v>0</v>
      </c>
      <c r="AW112" s="31">
        <f>'mnt Data'!AI115</f>
        <v>0</v>
      </c>
      <c r="AX112" s="31">
        <f>'mnt Data'!AJ115</f>
        <v>0</v>
      </c>
      <c r="AY112" s="31">
        <f>'mnt Data'!AK115</f>
        <v>0</v>
      </c>
    </row>
    <row r="113" spans="1:51" x14ac:dyDescent="0.25">
      <c r="A113">
        <v>112</v>
      </c>
      <c r="B113" s="32">
        <f t="shared" si="24"/>
        <v>0</v>
      </c>
      <c r="C113" s="32">
        <f t="shared" si="25"/>
        <v>0</v>
      </c>
      <c r="D113" s="32" t="str">
        <f t="shared" si="17"/>
        <v>No Gs</v>
      </c>
      <c r="E113" s="32">
        <f t="shared" si="21"/>
        <v>0</v>
      </c>
      <c r="F113" s="32" t="str">
        <f t="shared" si="22"/>
        <v>No Gs</v>
      </c>
      <c r="G113" s="32" t="str">
        <f t="shared" si="23"/>
        <v>No Gs</v>
      </c>
      <c r="H113" s="32" t="str">
        <f t="shared" si="26"/>
        <v>Gs is needed</v>
      </c>
      <c r="I113" s="32" t="str">
        <f t="shared" si="27"/>
        <v>Gs is needed</v>
      </c>
      <c r="J113" s="32" t="str">
        <f t="shared" si="28"/>
        <v>Gs is needed</v>
      </c>
      <c r="K113" s="32" t="str">
        <f t="shared" si="18"/>
        <v>Need Max and Min</v>
      </c>
      <c r="L113" s="32" t="str">
        <f t="shared" si="19"/>
        <v>Need Max and Min</v>
      </c>
      <c r="M113" s="32" t="str">
        <f t="shared" si="20"/>
        <v>Fail</v>
      </c>
      <c r="N113" s="32"/>
      <c r="O113" s="31">
        <f>'mnt Data'!A116</f>
        <v>0</v>
      </c>
      <c r="P113" s="31">
        <f>'mnt Data'!B116</f>
        <v>0</v>
      </c>
      <c r="Q113" s="31">
        <f>'mnt Data'!C116</f>
        <v>0</v>
      </c>
      <c r="R113" s="31">
        <f>'mnt Data'!D116</f>
        <v>0</v>
      </c>
      <c r="S113" s="31">
        <f>'mnt Data'!E116</f>
        <v>0</v>
      </c>
      <c r="T113" s="31">
        <f>'mnt Data'!F116</f>
        <v>0</v>
      </c>
      <c r="U113" s="31">
        <f>'mnt Data'!G116</f>
        <v>0</v>
      </c>
      <c r="V113" s="31">
        <f>'mnt Data'!H116</f>
        <v>0</v>
      </c>
      <c r="W113" s="31">
        <f>'mnt Data'!I116</f>
        <v>0</v>
      </c>
      <c r="X113" s="31">
        <f>'mnt Data'!J116</f>
        <v>0</v>
      </c>
      <c r="Y113" s="31">
        <f>'mnt Data'!K116</f>
        <v>0</v>
      </c>
      <c r="Z113" s="31">
        <f>'mnt Data'!L116</f>
        <v>0</v>
      </c>
      <c r="AA113" s="31">
        <f>'mnt Data'!M116</f>
        <v>0</v>
      </c>
      <c r="AB113" s="31">
        <f>'mnt Data'!N116</f>
        <v>0</v>
      </c>
      <c r="AC113" s="31">
        <f>'mnt Data'!O116</f>
        <v>0</v>
      </c>
      <c r="AD113" s="31">
        <f>'mnt Data'!P116</f>
        <v>0</v>
      </c>
      <c r="AE113" s="31">
        <f>'mnt Data'!Q116</f>
        <v>0</v>
      </c>
      <c r="AF113" s="31">
        <f>'mnt Data'!R116</f>
        <v>0</v>
      </c>
      <c r="AG113" s="31">
        <f>'mnt Data'!S116</f>
        <v>0</v>
      </c>
      <c r="AH113" s="31">
        <f>'mnt Data'!T116</f>
        <v>0</v>
      </c>
      <c r="AI113" s="31">
        <f>'mnt Data'!U116</f>
        <v>0</v>
      </c>
      <c r="AJ113" s="31">
        <f>'mnt Data'!V116</f>
        <v>0</v>
      </c>
      <c r="AK113" s="31">
        <f>'mnt Data'!W116</f>
        <v>0</v>
      </c>
      <c r="AL113" s="31">
        <f>'mnt Data'!X116</f>
        <v>0</v>
      </c>
      <c r="AM113" s="31">
        <f>'mnt Data'!Y116</f>
        <v>0</v>
      </c>
      <c r="AN113" s="31">
        <f>'mnt Data'!Z116</f>
        <v>0</v>
      </c>
      <c r="AO113" s="31">
        <f>'mnt Data'!AA116</f>
        <v>0</v>
      </c>
      <c r="AP113" s="31">
        <f>'mnt Data'!AB116</f>
        <v>0</v>
      </c>
      <c r="AQ113" s="31">
        <f>'mnt Data'!AC116</f>
        <v>0</v>
      </c>
      <c r="AR113" s="31">
        <f>'mnt Data'!AD116</f>
        <v>0</v>
      </c>
      <c r="AS113" s="31">
        <f>'mnt Data'!AE116</f>
        <v>0</v>
      </c>
      <c r="AT113" s="31">
        <f>'mnt Data'!AF116</f>
        <v>0</v>
      </c>
      <c r="AU113" s="31">
        <f>'mnt Data'!AG116</f>
        <v>0</v>
      </c>
      <c r="AV113" s="31">
        <f>'mnt Data'!AH116</f>
        <v>0</v>
      </c>
      <c r="AW113" s="31">
        <f>'mnt Data'!AI116</f>
        <v>0</v>
      </c>
      <c r="AX113" s="31">
        <f>'mnt Data'!AJ116</f>
        <v>0</v>
      </c>
      <c r="AY113" s="31">
        <f>'mnt Data'!AK116</f>
        <v>0</v>
      </c>
    </row>
    <row r="114" spans="1:51" x14ac:dyDescent="0.25">
      <c r="A114">
        <v>113</v>
      </c>
      <c r="B114" s="32">
        <f t="shared" si="24"/>
        <v>0</v>
      </c>
      <c r="C114" s="32">
        <f t="shared" si="25"/>
        <v>0</v>
      </c>
      <c r="D114" s="32" t="str">
        <f t="shared" si="17"/>
        <v>No Gs</v>
      </c>
      <c r="E114" s="32">
        <f t="shared" si="21"/>
        <v>0</v>
      </c>
      <c r="F114" s="32" t="str">
        <f t="shared" si="22"/>
        <v>No Gs</v>
      </c>
      <c r="G114" s="32" t="str">
        <f t="shared" si="23"/>
        <v>No Gs</v>
      </c>
      <c r="H114" s="32" t="str">
        <f t="shared" si="26"/>
        <v>Gs is needed</v>
      </c>
      <c r="I114" s="32" t="str">
        <f t="shared" si="27"/>
        <v>Gs is needed</v>
      </c>
      <c r="J114" s="32" t="str">
        <f t="shared" si="28"/>
        <v>Gs is needed</v>
      </c>
      <c r="K114" s="32" t="str">
        <f t="shared" si="18"/>
        <v>Need Max and Min</v>
      </c>
      <c r="L114" s="32" t="str">
        <f t="shared" si="19"/>
        <v>Need Max and Min</v>
      </c>
      <c r="M114" s="32" t="str">
        <f t="shared" si="20"/>
        <v>Fail</v>
      </c>
      <c r="N114" s="32"/>
      <c r="O114" s="31">
        <f>'mnt Data'!A117</f>
        <v>0</v>
      </c>
      <c r="P114" s="31">
        <f>'mnt Data'!B117</f>
        <v>0</v>
      </c>
      <c r="Q114" s="31">
        <f>'mnt Data'!C117</f>
        <v>0</v>
      </c>
      <c r="R114" s="31">
        <f>'mnt Data'!D117</f>
        <v>0</v>
      </c>
      <c r="S114" s="31">
        <f>'mnt Data'!E117</f>
        <v>0</v>
      </c>
      <c r="T114" s="31">
        <f>'mnt Data'!F117</f>
        <v>0</v>
      </c>
      <c r="U114" s="31">
        <f>'mnt Data'!G117</f>
        <v>0</v>
      </c>
      <c r="V114" s="31">
        <f>'mnt Data'!H117</f>
        <v>0</v>
      </c>
      <c r="W114" s="31">
        <f>'mnt Data'!I117</f>
        <v>0</v>
      </c>
      <c r="X114" s="31">
        <f>'mnt Data'!J117</f>
        <v>0</v>
      </c>
      <c r="Y114" s="31">
        <f>'mnt Data'!K117</f>
        <v>0</v>
      </c>
      <c r="Z114" s="31">
        <f>'mnt Data'!L117</f>
        <v>0</v>
      </c>
      <c r="AA114" s="31">
        <f>'mnt Data'!M117</f>
        <v>0</v>
      </c>
      <c r="AB114" s="31">
        <f>'mnt Data'!N117</f>
        <v>0</v>
      </c>
      <c r="AC114" s="31">
        <f>'mnt Data'!O117</f>
        <v>0</v>
      </c>
      <c r="AD114" s="31">
        <f>'mnt Data'!P117</f>
        <v>0</v>
      </c>
      <c r="AE114" s="31">
        <f>'mnt Data'!Q117</f>
        <v>0</v>
      </c>
      <c r="AF114" s="31">
        <f>'mnt Data'!R117</f>
        <v>0</v>
      </c>
      <c r="AG114" s="31">
        <f>'mnt Data'!S117</f>
        <v>0</v>
      </c>
      <c r="AH114" s="31">
        <f>'mnt Data'!T117</f>
        <v>0</v>
      </c>
      <c r="AI114" s="31">
        <f>'mnt Data'!U117</f>
        <v>0</v>
      </c>
      <c r="AJ114" s="31">
        <f>'mnt Data'!V117</f>
        <v>0</v>
      </c>
      <c r="AK114" s="31">
        <f>'mnt Data'!W117</f>
        <v>0</v>
      </c>
      <c r="AL114" s="31">
        <f>'mnt Data'!X117</f>
        <v>0</v>
      </c>
      <c r="AM114" s="31">
        <f>'mnt Data'!Y117</f>
        <v>0</v>
      </c>
      <c r="AN114" s="31">
        <f>'mnt Data'!Z117</f>
        <v>0</v>
      </c>
      <c r="AO114" s="31">
        <f>'mnt Data'!AA117</f>
        <v>0</v>
      </c>
      <c r="AP114" s="31">
        <f>'mnt Data'!AB117</f>
        <v>0</v>
      </c>
      <c r="AQ114" s="31">
        <f>'mnt Data'!AC117</f>
        <v>0</v>
      </c>
      <c r="AR114" s="31">
        <f>'mnt Data'!AD117</f>
        <v>0</v>
      </c>
      <c r="AS114" s="31">
        <f>'mnt Data'!AE117</f>
        <v>0</v>
      </c>
      <c r="AT114" s="31">
        <f>'mnt Data'!AF117</f>
        <v>0</v>
      </c>
      <c r="AU114" s="31">
        <f>'mnt Data'!AG117</f>
        <v>0</v>
      </c>
      <c r="AV114" s="31">
        <f>'mnt Data'!AH117</f>
        <v>0</v>
      </c>
      <c r="AW114" s="31">
        <f>'mnt Data'!AI117</f>
        <v>0</v>
      </c>
      <c r="AX114" s="31">
        <f>'mnt Data'!AJ117</f>
        <v>0</v>
      </c>
      <c r="AY114" s="31">
        <f>'mnt Data'!AK117</f>
        <v>0</v>
      </c>
    </row>
    <row r="115" spans="1:51" x14ac:dyDescent="0.25">
      <c r="A115">
        <v>114</v>
      </c>
      <c r="B115" s="32">
        <f t="shared" si="24"/>
        <v>0</v>
      </c>
      <c r="C115" s="32">
        <f t="shared" si="25"/>
        <v>0</v>
      </c>
      <c r="D115" s="32" t="str">
        <f t="shared" si="17"/>
        <v>No Gs</v>
      </c>
      <c r="E115" s="32">
        <f t="shared" si="21"/>
        <v>0</v>
      </c>
      <c r="F115" s="32" t="str">
        <f t="shared" si="22"/>
        <v>No Gs</v>
      </c>
      <c r="G115" s="32" t="str">
        <f t="shared" si="23"/>
        <v>No Gs</v>
      </c>
      <c r="H115" s="32" t="str">
        <f t="shared" si="26"/>
        <v>Gs is needed</v>
      </c>
      <c r="I115" s="32" t="str">
        <f t="shared" si="27"/>
        <v>Gs is needed</v>
      </c>
      <c r="J115" s="32" t="str">
        <f t="shared" si="28"/>
        <v>Gs is needed</v>
      </c>
      <c r="K115" s="32" t="str">
        <f t="shared" si="18"/>
        <v>Need Max and Min</v>
      </c>
      <c r="L115" s="32" t="str">
        <f t="shared" si="19"/>
        <v>Need Max and Min</v>
      </c>
      <c r="M115" s="32" t="str">
        <f t="shared" si="20"/>
        <v>Fail</v>
      </c>
      <c r="N115" s="32"/>
      <c r="O115" s="31">
        <f>'mnt Data'!A118</f>
        <v>0</v>
      </c>
      <c r="P115" s="31">
        <f>'mnt Data'!B118</f>
        <v>0</v>
      </c>
      <c r="Q115" s="31">
        <f>'mnt Data'!C118</f>
        <v>0</v>
      </c>
      <c r="R115" s="31">
        <f>'mnt Data'!D118</f>
        <v>0</v>
      </c>
      <c r="S115" s="31">
        <f>'mnt Data'!E118</f>
        <v>0</v>
      </c>
      <c r="T115" s="31">
        <f>'mnt Data'!F118</f>
        <v>0</v>
      </c>
      <c r="U115" s="31">
        <f>'mnt Data'!G118</f>
        <v>0</v>
      </c>
      <c r="V115" s="31">
        <f>'mnt Data'!H118</f>
        <v>0</v>
      </c>
      <c r="W115" s="31">
        <f>'mnt Data'!I118</f>
        <v>0</v>
      </c>
      <c r="X115" s="31">
        <f>'mnt Data'!J118</f>
        <v>0</v>
      </c>
      <c r="Y115" s="31">
        <f>'mnt Data'!K118</f>
        <v>0</v>
      </c>
      <c r="Z115" s="31">
        <f>'mnt Data'!L118</f>
        <v>0</v>
      </c>
      <c r="AA115" s="31">
        <f>'mnt Data'!M118</f>
        <v>0</v>
      </c>
      <c r="AB115" s="31">
        <f>'mnt Data'!N118</f>
        <v>0</v>
      </c>
      <c r="AC115" s="31">
        <f>'mnt Data'!O118</f>
        <v>0</v>
      </c>
      <c r="AD115" s="31">
        <f>'mnt Data'!P118</f>
        <v>0</v>
      </c>
      <c r="AE115" s="31">
        <f>'mnt Data'!Q118</f>
        <v>0</v>
      </c>
      <c r="AF115" s="31">
        <f>'mnt Data'!R118</f>
        <v>0</v>
      </c>
      <c r="AG115" s="31">
        <f>'mnt Data'!S118</f>
        <v>0</v>
      </c>
      <c r="AH115" s="31">
        <f>'mnt Data'!T118</f>
        <v>0</v>
      </c>
      <c r="AI115" s="31">
        <f>'mnt Data'!U118</f>
        <v>0</v>
      </c>
      <c r="AJ115" s="31">
        <f>'mnt Data'!V118</f>
        <v>0</v>
      </c>
      <c r="AK115" s="31">
        <f>'mnt Data'!W118</f>
        <v>0</v>
      </c>
      <c r="AL115" s="31">
        <f>'mnt Data'!X118</f>
        <v>0</v>
      </c>
      <c r="AM115" s="31">
        <f>'mnt Data'!Y118</f>
        <v>0</v>
      </c>
      <c r="AN115" s="31">
        <f>'mnt Data'!Z118</f>
        <v>0</v>
      </c>
      <c r="AO115" s="31">
        <f>'mnt Data'!AA118</f>
        <v>0</v>
      </c>
      <c r="AP115" s="31">
        <f>'mnt Data'!AB118</f>
        <v>0</v>
      </c>
      <c r="AQ115" s="31">
        <f>'mnt Data'!AC118</f>
        <v>0</v>
      </c>
      <c r="AR115" s="31">
        <f>'mnt Data'!AD118</f>
        <v>0</v>
      </c>
      <c r="AS115" s="31">
        <f>'mnt Data'!AE118</f>
        <v>0</v>
      </c>
      <c r="AT115" s="31">
        <f>'mnt Data'!AF118</f>
        <v>0</v>
      </c>
      <c r="AU115" s="31">
        <f>'mnt Data'!AG118</f>
        <v>0</v>
      </c>
      <c r="AV115" s="31">
        <f>'mnt Data'!AH118</f>
        <v>0</v>
      </c>
      <c r="AW115" s="31">
        <f>'mnt Data'!AI118</f>
        <v>0</v>
      </c>
      <c r="AX115" s="31">
        <f>'mnt Data'!AJ118</f>
        <v>0</v>
      </c>
      <c r="AY115" s="31">
        <f>'mnt Data'!AK118</f>
        <v>0</v>
      </c>
    </row>
    <row r="116" spans="1:51" x14ac:dyDescent="0.25">
      <c r="A116">
        <v>115</v>
      </c>
      <c r="B116" s="32">
        <f t="shared" si="24"/>
        <v>0</v>
      </c>
      <c r="C116" s="32">
        <f t="shared" si="25"/>
        <v>0</v>
      </c>
      <c r="D116" s="32" t="str">
        <f t="shared" si="17"/>
        <v>No Gs</v>
      </c>
      <c r="E116" s="32">
        <f t="shared" si="21"/>
        <v>0</v>
      </c>
      <c r="F116" s="32" t="str">
        <f t="shared" si="22"/>
        <v>No Gs</v>
      </c>
      <c r="G116" s="32" t="str">
        <f t="shared" si="23"/>
        <v>No Gs</v>
      </c>
      <c r="H116" s="32" t="str">
        <f t="shared" si="26"/>
        <v>Gs is needed</v>
      </c>
      <c r="I116" s="32" t="str">
        <f t="shared" si="27"/>
        <v>Gs is needed</v>
      </c>
      <c r="J116" s="32" t="str">
        <f t="shared" si="28"/>
        <v>Gs is needed</v>
      </c>
      <c r="K116" s="32" t="str">
        <f t="shared" si="18"/>
        <v>Need Max and Min</v>
      </c>
      <c r="L116" s="32" t="str">
        <f t="shared" si="19"/>
        <v>Need Max and Min</v>
      </c>
      <c r="M116" s="32" t="str">
        <f t="shared" si="20"/>
        <v>Fail</v>
      </c>
      <c r="N116" s="32"/>
      <c r="O116" s="31">
        <f>'mnt Data'!A119</f>
        <v>0</v>
      </c>
      <c r="P116" s="31">
        <f>'mnt Data'!B119</f>
        <v>0</v>
      </c>
      <c r="Q116" s="31">
        <f>'mnt Data'!C119</f>
        <v>0</v>
      </c>
      <c r="R116" s="31">
        <f>'mnt Data'!D119</f>
        <v>0</v>
      </c>
      <c r="S116" s="31">
        <f>'mnt Data'!E119</f>
        <v>0</v>
      </c>
      <c r="T116" s="31">
        <f>'mnt Data'!F119</f>
        <v>0</v>
      </c>
      <c r="U116" s="31">
        <f>'mnt Data'!G119</f>
        <v>0</v>
      </c>
      <c r="V116" s="31">
        <f>'mnt Data'!H119</f>
        <v>0</v>
      </c>
      <c r="W116" s="31">
        <f>'mnt Data'!I119</f>
        <v>0</v>
      </c>
      <c r="X116" s="31">
        <f>'mnt Data'!J119</f>
        <v>0</v>
      </c>
      <c r="Y116" s="31">
        <f>'mnt Data'!K119</f>
        <v>0</v>
      </c>
      <c r="Z116" s="31">
        <f>'mnt Data'!L119</f>
        <v>0</v>
      </c>
      <c r="AA116" s="31">
        <f>'mnt Data'!M119</f>
        <v>0</v>
      </c>
      <c r="AB116" s="31">
        <f>'mnt Data'!N119</f>
        <v>0</v>
      </c>
      <c r="AC116" s="31">
        <f>'mnt Data'!O119</f>
        <v>0</v>
      </c>
      <c r="AD116" s="31">
        <f>'mnt Data'!P119</f>
        <v>0</v>
      </c>
      <c r="AE116" s="31">
        <f>'mnt Data'!Q119</f>
        <v>0</v>
      </c>
      <c r="AF116" s="31">
        <f>'mnt Data'!R119</f>
        <v>0</v>
      </c>
      <c r="AG116" s="31">
        <f>'mnt Data'!S119</f>
        <v>0</v>
      </c>
      <c r="AH116" s="31">
        <f>'mnt Data'!T119</f>
        <v>0</v>
      </c>
      <c r="AI116" s="31">
        <f>'mnt Data'!U119</f>
        <v>0</v>
      </c>
      <c r="AJ116" s="31">
        <f>'mnt Data'!V119</f>
        <v>0</v>
      </c>
      <c r="AK116" s="31">
        <f>'mnt Data'!W119</f>
        <v>0</v>
      </c>
      <c r="AL116" s="31">
        <f>'mnt Data'!X119</f>
        <v>0</v>
      </c>
      <c r="AM116" s="31">
        <f>'mnt Data'!Y119</f>
        <v>0</v>
      </c>
      <c r="AN116" s="31">
        <f>'mnt Data'!Z119</f>
        <v>0</v>
      </c>
      <c r="AO116" s="31">
        <f>'mnt Data'!AA119</f>
        <v>0</v>
      </c>
      <c r="AP116" s="31">
        <f>'mnt Data'!AB119</f>
        <v>0</v>
      </c>
      <c r="AQ116" s="31">
        <f>'mnt Data'!AC119</f>
        <v>0</v>
      </c>
      <c r="AR116" s="31">
        <f>'mnt Data'!AD119</f>
        <v>0</v>
      </c>
      <c r="AS116" s="31">
        <f>'mnt Data'!AE119</f>
        <v>0</v>
      </c>
      <c r="AT116" s="31">
        <f>'mnt Data'!AF119</f>
        <v>0</v>
      </c>
      <c r="AU116" s="31">
        <f>'mnt Data'!AG119</f>
        <v>0</v>
      </c>
      <c r="AV116" s="31">
        <f>'mnt Data'!AH119</f>
        <v>0</v>
      </c>
      <c r="AW116" s="31">
        <f>'mnt Data'!AI119</f>
        <v>0</v>
      </c>
      <c r="AX116" s="31">
        <f>'mnt Data'!AJ119</f>
        <v>0</v>
      </c>
      <c r="AY116" s="31">
        <f>'mnt Data'!AK119</f>
        <v>0</v>
      </c>
    </row>
    <row r="117" spans="1:51" x14ac:dyDescent="0.25">
      <c r="A117">
        <v>116</v>
      </c>
      <c r="B117" s="32">
        <f t="shared" si="24"/>
        <v>0</v>
      </c>
      <c r="C117" s="32">
        <f t="shared" si="25"/>
        <v>0</v>
      </c>
      <c r="D117" s="32" t="str">
        <f t="shared" si="17"/>
        <v>No Gs</v>
      </c>
      <c r="E117" s="32">
        <f t="shared" si="21"/>
        <v>0</v>
      </c>
      <c r="F117" s="32" t="str">
        <f t="shared" si="22"/>
        <v>No Gs</v>
      </c>
      <c r="G117" s="32" t="str">
        <f t="shared" si="23"/>
        <v>No Gs</v>
      </c>
      <c r="H117" s="32" t="str">
        <f t="shared" si="26"/>
        <v>Gs is needed</v>
      </c>
      <c r="I117" s="32" t="str">
        <f t="shared" si="27"/>
        <v>Gs is needed</v>
      </c>
      <c r="J117" s="32" t="str">
        <f t="shared" si="28"/>
        <v>Gs is needed</v>
      </c>
      <c r="K117" s="32" t="str">
        <f t="shared" si="18"/>
        <v>Need Max and Min</v>
      </c>
      <c r="L117" s="32" t="str">
        <f t="shared" si="19"/>
        <v>Need Max and Min</v>
      </c>
      <c r="M117" s="32" t="str">
        <f t="shared" si="20"/>
        <v>Fail</v>
      </c>
      <c r="N117" s="32"/>
      <c r="O117" s="31">
        <f>'mnt Data'!A120</f>
        <v>0</v>
      </c>
      <c r="P117" s="31">
        <f>'mnt Data'!B120</f>
        <v>0</v>
      </c>
      <c r="Q117" s="31">
        <f>'mnt Data'!C120</f>
        <v>0</v>
      </c>
      <c r="R117" s="31">
        <f>'mnt Data'!D120</f>
        <v>0</v>
      </c>
      <c r="S117" s="31">
        <f>'mnt Data'!E120</f>
        <v>0</v>
      </c>
      <c r="T117" s="31">
        <f>'mnt Data'!F120</f>
        <v>0</v>
      </c>
      <c r="U117" s="31">
        <f>'mnt Data'!G120</f>
        <v>0</v>
      </c>
      <c r="V117" s="31">
        <f>'mnt Data'!H120</f>
        <v>0</v>
      </c>
      <c r="W117" s="31">
        <f>'mnt Data'!I120</f>
        <v>0</v>
      </c>
      <c r="X117" s="31">
        <f>'mnt Data'!J120</f>
        <v>0</v>
      </c>
      <c r="Y117" s="31">
        <f>'mnt Data'!K120</f>
        <v>0</v>
      </c>
      <c r="Z117" s="31">
        <f>'mnt Data'!L120</f>
        <v>0</v>
      </c>
      <c r="AA117" s="31">
        <f>'mnt Data'!M120</f>
        <v>0</v>
      </c>
      <c r="AB117" s="31">
        <f>'mnt Data'!N120</f>
        <v>0</v>
      </c>
      <c r="AC117" s="31">
        <f>'mnt Data'!O120</f>
        <v>0</v>
      </c>
      <c r="AD117" s="31">
        <f>'mnt Data'!P120</f>
        <v>0</v>
      </c>
      <c r="AE117" s="31">
        <f>'mnt Data'!Q120</f>
        <v>0</v>
      </c>
      <c r="AF117" s="31">
        <f>'mnt Data'!R120</f>
        <v>0</v>
      </c>
      <c r="AG117" s="31">
        <f>'mnt Data'!S120</f>
        <v>0</v>
      </c>
      <c r="AH117" s="31">
        <f>'mnt Data'!T120</f>
        <v>0</v>
      </c>
      <c r="AI117" s="31">
        <f>'mnt Data'!U120</f>
        <v>0</v>
      </c>
      <c r="AJ117" s="31">
        <f>'mnt Data'!V120</f>
        <v>0</v>
      </c>
      <c r="AK117" s="31">
        <f>'mnt Data'!W120</f>
        <v>0</v>
      </c>
      <c r="AL117" s="31">
        <f>'mnt Data'!X120</f>
        <v>0</v>
      </c>
      <c r="AM117" s="31">
        <f>'mnt Data'!Y120</f>
        <v>0</v>
      </c>
      <c r="AN117" s="31">
        <f>'mnt Data'!Z120</f>
        <v>0</v>
      </c>
      <c r="AO117" s="31">
        <f>'mnt Data'!AA120</f>
        <v>0</v>
      </c>
      <c r="AP117" s="31">
        <f>'mnt Data'!AB120</f>
        <v>0</v>
      </c>
      <c r="AQ117" s="31">
        <f>'mnt Data'!AC120</f>
        <v>0</v>
      </c>
      <c r="AR117" s="31">
        <f>'mnt Data'!AD120</f>
        <v>0</v>
      </c>
      <c r="AS117" s="31">
        <f>'mnt Data'!AE120</f>
        <v>0</v>
      </c>
      <c r="AT117" s="31">
        <f>'mnt Data'!AF120</f>
        <v>0</v>
      </c>
      <c r="AU117" s="31">
        <f>'mnt Data'!AG120</f>
        <v>0</v>
      </c>
      <c r="AV117" s="31">
        <f>'mnt Data'!AH120</f>
        <v>0</v>
      </c>
      <c r="AW117" s="31">
        <f>'mnt Data'!AI120</f>
        <v>0</v>
      </c>
      <c r="AX117" s="31">
        <f>'mnt Data'!AJ120</f>
        <v>0</v>
      </c>
      <c r="AY117" s="31">
        <f>'mnt Data'!AK120</f>
        <v>0</v>
      </c>
    </row>
    <row r="118" spans="1:51" x14ac:dyDescent="0.25">
      <c r="A118">
        <v>117</v>
      </c>
      <c r="B118" s="32">
        <f t="shared" si="24"/>
        <v>0</v>
      </c>
      <c r="C118" s="32">
        <f t="shared" si="25"/>
        <v>0</v>
      </c>
      <c r="D118" s="32" t="str">
        <f t="shared" si="17"/>
        <v>No Gs</v>
      </c>
      <c r="E118" s="32">
        <f t="shared" si="21"/>
        <v>0</v>
      </c>
      <c r="F118" s="32" t="str">
        <f t="shared" si="22"/>
        <v>No Gs</v>
      </c>
      <c r="G118" s="32" t="str">
        <f t="shared" si="23"/>
        <v>No Gs</v>
      </c>
      <c r="H118" s="32" t="str">
        <f t="shared" si="26"/>
        <v>Gs is needed</v>
      </c>
      <c r="I118" s="32" t="str">
        <f t="shared" si="27"/>
        <v>Gs is needed</v>
      </c>
      <c r="J118" s="32" t="str">
        <f t="shared" si="28"/>
        <v>Gs is needed</v>
      </c>
      <c r="K118" s="32" t="str">
        <f t="shared" si="18"/>
        <v>Need Max and Min</v>
      </c>
      <c r="L118" s="32" t="str">
        <f t="shared" si="19"/>
        <v>Need Max and Min</v>
      </c>
      <c r="M118" s="32" t="str">
        <f t="shared" si="20"/>
        <v>Fail</v>
      </c>
      <c r="N118" s="32"/>
      <c r="O118" s="31">
        <f>'mnt Data'!A121</f>
        <v>0</v>
      </c>
      <c r="P118" s="31">
        <f>'mnt Data'!B121</f>
        <v>0</v>
      </c>
      <c r="Q118" s="31">
        <f>'mnt Data'!C121</f>
        <v>0</v>
      </c>
      <c r="R118" s="31">
        <f>'mnt Data'!D121</f>
        <v>0</v>
      </c>
      <c r="S118" s="31">
        <f>'mnt Data'!E121</f>
        <v>0</v>
      </c>
      <c r="T118" s="31">
        <f>'mnt Data'!F121</f>
        <v>0</v>
      </c>
      <c r="U118" s="31">
        <f>'mnt Data'!G121</f>
        <v>0</v>
      </c>
      <c r="V118" s="31">
        <f>'mnt Data'!H121</f>
        <v>0</v>
      </c>
      <c r="W118" s="31">
        <f>'mnt Data'!I121</f>
        <v>0</v>
      </c>
      <c r="X118" s="31">
        <f>'mnt Data'!J121</f>
        <v>0</v>
      </c>
      <c r="Y118" s="31">
        <f>'mnt Data'!K121</f>
        <v>0</v>
      </c>
      <c r="Z118" s="31">
        <f>'mnt Data'!L121</f>
        <v>0</v>
      </c>
      <c r="AA118" s="31">
        <f>'mnt Data'!M121</f>
        <v>0</v>
      </c>
      <c r="AB118" s="31">
        <f>'mnt Data'!N121</f>
        <v>0</v>
      </c>
      <c r="AC118" s="31">
        <f>'mnt Data'!O121</f>
        <v>0</v>
      </c>
      <c r="AD118" s="31">
        <f>'mnt Data'!P121</f>
        <v>0</v>
      </c>
      <c r="AE118" s="31">
        <f>'mnt Data'!Q121</f>
        <v>0</v>
      </c>
      <c r="AF118" s="31">
        <f>'mnt Data'!R121</f>
        <v>0</v>
      </c>
      <c r="AG118" s="31">
        <f>'mnt Data'!S121</f>
        <v>0</v>
      </c>
      <c r="AH118" s="31">
        <f>'mnt Data'!T121</f>
        <v>0</v>
      </c>
      <c r="AI118" s="31">
        <f>'mnt Data'!U121</f>
        <v>0</v>
      </c>
      <c r="AJ118" s="31">
        <f>'mnt Data'!V121</f>
        <v>0</v>
      </c>
      <c r="AK118" s="31">
        <f>'mnt Data'!W121</f>
        <v>0</v>
      </c>
      <c r="AL118" s="31">
        <f>'mnt Data'!X121</f>
        <v>0</v>
      </c>
      <c r="AM118" s="31">
        <f>'mnt Data'!Y121</f>
        <v>0</v>
      </c>
      <c r="AN118" s="31">
        <f>'mnt Data'!Z121</f>
        <v>0</v>
      </c>
      <c r="AO118" s="31">
        <f>'mnt Data'!AA121</f>
        <v>0</v>
      </c>
      <c r="AP118" s="31">
        <f>'mnt Data'!AB121</f>
        <v>0</v>
      </c>
      <c r="AQ118" s="31">
        <f>'mnt Data'!AC121</f>
        <v>0</v>
      </c>
      <c r="AR118" s="31">
        <f>'mnt Data'!AD121</f>
        <v>0</v>
      </c>
      <c r="AS118" s="31">
        <f>'mnt Data'!AE121</f>
        <v>0</v>
      </c>
      <c r="AT118" s="31">
        <f>'mnt Data'!AF121</f>
        <v>0</v>
      </c>
      <c r="AU118" s="31">
        <f>'mnt Data'!AG121</f>
        <v>0</v>
      </c>
      <c r="AV118" s="31">
        <f>'mnt Data'!AH121</f>
        <v>0</v>
      </c>
      <c r="AW118" s="31">
        <f>'mnt Data'!AI121</f>
        <v>0</v>
      </c>
      <c r="AX118" s="31">
        <f>'mnt Data'!AJ121</f>
        <v>0</v>
      </c>
      <c r="AY118" s="31">
        <f>'mnt Data'!AK121</f>
        <v>0</v>
      </c>
    </row>
    <row r="119" spans="1:51" x14ac:dyDescent="0.25">
      <c r="A119">
        <v>118</v>
      </c>
      <c r="B119" s="32">
        <f t="shared" si="24"/>
        <v>0</v>
      </c>
      <c r="C119" s="32">
        <f t="shared" si="25"/>
        <v>0</v>
      </c>
      <c r="D119" s="32" t="str">
        <f t="shared" si="17"/>
        <v>No Gs</v>
      </c>
      <c r="E119" s="32">
        <f t="shared" si="21"/>
        <v>0</v>
      </c>
      <c r="F119" s="32" t="str">
        <f t="shared" si="22"/>
        <v>No Gs</v>
      </c>
      <c r="G119" s="32" t="str">
        <f t="shared" si="23"/>
        <v>No Gs</v>
      </c>
      <c r="H119" s="32" t="str">
        <f t="shared" si="26"/>
        <v>Gs is needed</v>
      </c>
      <c r="I119" s="32" t="str">
        <f t="shared" si="27"/>
        <v>Gs is needed</v>
      </c>
      <c r="J119" s="32" t="str">
        <f t="shared" si="28"/>
        <v>Gs is needed</v>
      </c>
      <c r="K119" s="32" t="str">
        <f t="shared" si="18"/>
        <v>Need Max and Min</v>
      </c>
      <c r="L119" s="32" t="str">
        <f t="shared" si="19"/>
        <v>Need Max and Min</v>
      </c>
      <c r="M119" s="32" t="str">
        <f t="shared" si="20"/>
        <v>Fail</v>
      </c>
      <c r="N119" s="32"/>
      <c r="O119" s="31">
        <f>'mnt Data'!A122</f>
        <v>0</v>
      </c>
      <c r="P119" s="31">
        <f>'mnt Data'!B122</f>
        <v>0</v>
      </c>
      <c r="Q119" s="31">
        <f>'mnt Data'!C122</f>
        <v>0</v>
      </c>
      <c r="R119" s="31">
        <f>'mnt Data'!D122</f>
        <v>0</v>
      </c>
      <c r="S119" s="31">
        <f>'mnt Data'!E122</f>
        <v>0</v>
      </c>
      <c r="T119" s="31">
        <f>'mnt Data'!F122</f>
        <v>0</v>
      </c>
      <c r="U119" s="31">
        <f>'mnt Data'!G122</f>
        <v>0</v>
      </c>
      <c r="V119" s="31">
        <f>'mnt Data'!H122</f>
        <v>0</v>
      </c>
      <c r="W119" s="31">
        <f>'mnt Data'!I122</f>
        <v>0</v>
      </c>
      <c r="X119" s="31">
        <f>'mnt Data'!J122</f>
        <v>0</v>
      </c>
      <c r="Y119" s="31">
        <f>'mnt Data'!K122</f>
        <v>0</v>
      </c>
      <c r="Z119" s="31">
        <f>'mnt Data'!L122</f>
        <v>0</v>
      </c>
      <c r="AA119" s="31">
        <f>'mnt Data'!M122</f>
        <v>0</v>
      </c>
      <c r="AB119" s="31">
        <f>'mnt Data'!N122</f>
        <v>0</v>
      </c>
      <c r="AC119" s="31">
        <f>'mnt Data'!O122</f>
        <v>0</v>
      </c>
      <c r="AD119" s="31">
        <f>'mnt Data'!P122</f>
        <v>0</v>
      </c>
      <c r="AE119" s="31">
        <f>'mnt Data'!Q122</f>
        <v>0</v>
      </c>
      <c r="AF119" s="31">
        <f>'mnt Data'!R122</f>
        <v>0</v>
      </c>
      <c r="AG119" s="31">
        <f>'mnt Data'!S122</f>
        <v>0</v>
      </c>
      <c r="AH119" s="31">
        <f>'mnt Data'!T122</f>
        <v>0</v>
      </c>
      <c r="AI119" s="31">
        <f>'mnt Data'!U122</f>
        <v>0</v>
      </c>
      <c r="AJ119" s="31">
        <f>'mnt Data'!V122</f>
        <v>0</v>
      </c>
      <c r="AK119" s="31">
        <f>'mnt Data'!W122</f>
        <v>0</v>
      </c>
      <c r="AL119" s="31">
        <f>'mnt Data'!X122</f>
        <v>0</v>
      </c>
      <c r="AM119" s="31">
        <f>'mnt Data'!Y122</f>
        <v>0</v>
      </c>
      <c r="AN119" s="31">
        <f>'mnt Data'!Z122</f>
        <v>0</v>
      </c>
      <c r="AO119" s="31">
        <f>'mnt Data'!AA122</f>
        <v>0</v>
      </c>
      <c r="AP119" s="31">
        <f>'mnt Data'!AB122</f>
        <v>0</v>
      </c>
      <c r="AQ119" s="31">
        <f>'mnt Data'!AC122</f>
        <v>0</v>
      </c>
      <c r="AR119" s="31">
        <f>'mnt Data'!AD122</f>
        <v>0</v>
      </c>
      <c r="AS119" s="31">
        <f>'mnt Data'!AE122</f>
        <v>0</v>
      </c>
      <c r="AT119" s="31">
        <f>'mnt Data'!AF122</f>
        <v>0</v>
      </c>
      <c r="AU119" s="31">
        <f>'mnt Data'!AG122</f>
        <v>0</v>
      </c>
      <c r="AV119" s="31">
        <f>'mnt Data'!AH122</f>
        <v>0</v>
      </c>
      <c r="AW119" s="31">
        <f>'mnt Data'!AI122</f>
        <v>0</v>
      </c>
      <c r="AX119" s="31">
        <f>'mnt Data'!AJ122</f>
        <v>0</v>
      </c>
      <c r="AY119" s="31">
        <f>'mnt Data'!AK122</f>
        <v>0</v>
      </c>
    </row>
    <row r="120" spans="1:51" x14ac:dyDescent="0.25">
      <c r="A120">
        <v>119</v>
      </c>
      <c r="B120" s="32">
        <f t="shared" si="24"/>
        <v>0</v>
      </c>
      <c r="C120" s="32">
        <f t="shared" si="25"/>
        <v>0</v>
      </c>
      <c r="D120" s="32" t="str">
        <f t="shared" si="17"/>
        <v>No Gs</v>
      </c>
      <c r="E120" s="32">
        <f t="shared" si="21"/>
        <v>0</v>
      </c>
      <c r="F120" s="32" t="str">
        <f t="shared" si="22"/>
        <v>No Gs</v>
      </c>
      <c r="G120" s="32" t="str">
        <f t="shared" si="23"/>
        <v>No Gs</v>
      </c>
      <c r="H120" s="32" t="str">
        <f t="shared" si="26"/>
        <v>Gs is needed</v>
      </c>
      <c r="I120" s="32" t="str">
        <f t="shared" si="27"/>
        <v>Gs is needed</v>
      </c>
      <c r="J120" s="32" t="str">
        <f t="shared" si="28"/>
        <v>Gs is needed</v>
      </c>
      <c r="K120" s="32" t="str">
        <f t="shared" si="18"/>
        <v>Need Max and Min</v>
      </c>
      <c r="L120" s="32" t="str">
        <f t="shared" si="19"/>
        <v>Need Max and Min</v>
      </c>
      <c r="M120" s="32" t="str">
        <f t="shared" si="20"/>
        <v>Fail</v>
      </c>
      <c r="N120" s="32"/>
      <c r="O120" s="31">
        <f>'mnt Data'!A123</f>
        <v>0</v>
      </c>
      <c r="P120" s="31">
        <f>'mnt Data'!B123</f>
        <v>0</v>
      </c>
      <c r="Q120" s="31">
        <f>'mnt Data'!C123</f>
        <v>0</v>
      </c>
      <c r="R120" s="31">
        <f>'mnt Data'!D123</f>
        <v>0</v>
      </c>
      <c r="S120" s="31">
        <f>'mnt Data'!E123</f>
        <v>0</v>
      </c>
      <c r="T120" s="31">
        <f>'mnt Data'!F123</f>
        <v>0</v>
      </c>
      <c r="U120" s="31">
        <f>'mnt Data'!G123</f>
        <v>0</v>
      </c>
      <c r="V120" s="31">
        <f>'mnt Data'!H123</f>
        <v>0</v>
      </c>
      <c r="W120" s="31">
        <f>'mnt Data'!I123</f>
        <v>0</v>
      </c>
      <c r="X120" s="31">
        <f>'mnt Data'!J123</f>
        <v>0</v>
      </c>
      <c r="Y120" s="31">
        <f>'mnt Data'!K123</f>
        <v>0</v>
      </c>
      <c r="Z120" s="31">
        <f>'mnt Data'!L123</f>
        <v>0</v>
      </c>
      <c r="AA120" s="31">
        <f>'mnt Data'!M123</f>
        <v>0</v>
      </c>
      <c r="AB120" s="31">
        <f>'mnt Data'!N123</f>
        <v>0</v>
      </c>
      <c r="AC120" s="31">
        <f>'mnt Data'!O123</f>
        <v>0</v>
      </c>
      <c r="AD120" s="31">
        <f>'mnt Data'!P123</f>
        <v>0</v>
      </c>
      <c r="AE120" s="31">
        <f>'mnt Data'!Q123</f>
        <v>0</v>
      </c>
      <c r="AF120" s="31">
        <f>'mnt Data'!R123</f>
        <v>0</v>
      </c>
      <c r="AG120" s="31">
        <f>'mnt Data'!S123</f>
        <v>0</v>
      </c>
      <c r="AH120" s="31">
        <f>'mnt Data'!T123</f>
        <v>0</v>
      </c>
      <c r="AI120" s="31">
        <f>'mnt Data'!U123</f>
        <v>0</v>
      </c>
      <c r="AJ120" s="31">
        <f>'mnt Data'!V123</f>
        <v>0</v>
      </c>
      <c r="AK120" s="31">
        <f>'mnt Data'!W123</f>
        <v>0</v>
      </c>
      <c r="AL120" s="31">
        <f>'mnt Data'!X123</f>
        <v>0</v>
      </c>
      <c r="AM120" s="31">
        <f>'mnt Data'!Y123</f>
        <v>0</v>
      </c>
      <c r="AN120" s="31">
        <f>'mnt Data'!Z123</f>
        <v>0</v>
      </c>
      <c r="AO120" s="31">
        <f>'mnt Data'!AA123</f>
        <v>0</v>
      </c>
      <c r="AP120" s="31">
        <f>'mnt Data'!AB123</f>
        <v>0</v>
      </c>
      <c r="AQ120" s="31">
        <f>'mnt Data'!AC123</f>
        <v>0</v>
      </c>
      <c r="AR120" s="31">
        <f>'mnt Data'!AD123</f>
        <v>0</v>
      </c>
      <c r="AS120" s="31">
        <f>'mnt Data'!AE123</f>
        <v>0</v>
      </c>
      <c r="AT120" s="31">
        <f>'mnt Data'!AF123</f>
        <v>0</v>
      </c>
      <c r="AU120" s="31">
        <f>'mnt Data'!AG123</f>
        <v>0</v>
      </c>
      <c r="AV120" s="31">
        <f>'mnt Data'!AH123</f>
        <v>0</v>
      </c>
      <c r="AW120" s="31">
        <f>'mnt Data'!AI123</f>
        <v>0</v>
      </c>
      <c r="AX120" s="31">
        <f>'mnt Data'!AJ123</f>
        <v>0</v>
      </c>
      <c r="AY120" s="31">
        <f>'mnt Data'!AK123</f>
        <v>0</v>
      </c>
    </row>
    <row r="121" spans="1:51" x14ac:dyDescent="0.25">
      <c r="A121">
        <v>120</v>
      </c>
      <c r="B121" s="32">
        <f t="shared" si="24"/>
        <v>0</v>
      </c>
      <c r="C121" s="32">
        <f t="shared" si="25"/>
        <v>0</v>
      </c>
      <c r="D121" s="32" t="str">
        <f t="shared" si="17"/>
        <v>No Gs</v>
      </c>
      <c r="E121" s="32">
        <f t="shared" si="21"/>
        <v>0</v>
      </c>
      <c r="F121" s="32" t="str">
        <f t="shared" si="22"/>
        <v>No Gs</v>
      </c>
      <c r="G121" s="32" t="str">
        <f t="shared" si="23"/>
        <v>No Gs</v>
      </c>
      <c r="H121" s="32" t="str">
        <f t="shared" si="26"/>
        <v>Gs is needed</v>
      </c>
      <c r="I121" s="32" t="str">
        <f t="shared" si="27"/>
        <v>Gs is needed</v>
      </c>
      <c r="J121" s="32" t="str">
        <f t="shared" si="28"/>
        <v>Gs is needed</v>
      </c>
      <c r="K121" s="32" t="str">
        <f t="shared" si="18"/>
        <v>Need Max and Min</v>
      </c>
      <c r="L121" s="32" t="str">
        <f t="shared" si="19"/>
        <v>Need Max and Min</v>
      </c>
      <c r="M121" s="32" t="str">
        <f t="shared" si="20"/>
        <v>Fail</v>
      </c>
      <c r="N121" s="32"/>
      <c r="O121" s="31">
        <f>'mnt Data'!A124</f>
        <v>0</v>
      </c>
      <c r="P121" s="31">
        <f>'mnt Data'!B124</f>
        <v>0</v>
      </c>
      <c r="Q121" s="31">
        <f>'mnt Data'!C124</f>
        <v>0</v>
      </c>
      <c r="R121" s="31">
        <f>'mnt Data'!D124</f>
        <v>0</v>
      </c>
      <c r="S121" s="31">
        <f>'mnt Data'!E124</f>
        <v>0</v>
      </c>
      <c r="T121" s="31">
        <f>'mnt Data'!F124</f>
        <v>0</v>
      </c>
      <c r="U121" s="31">
        <f>'mnt Data'!G124</f>
        <v>0</v>
      </c>
      <c r="V121" s="31">
        <f>'mnt Data'!H124</f>
        <v>0</v>
      </c>
      <c r="W121" s="31">
        <f>'mnt Data'!I124</f>
        <v>0</v>
      </c>
      <c r="X121" s="31">
        <f>'mnt Data'!J124</f>
        <v>0</v>
      </c>
      <c r="Y121" s="31">
        <f>'mnt Data'!K124</f>
        <v>0</v>
      </c>
      <c r="Z121" s="31">
        <f>'mnt Data'!L124</f>
        <v>0</v>
      </c>
      <c r="AA121" s="31">
        <f>'mnt Data'!M124</f>
        <v>0</v>
      </c>
      <c r="AB121" s="31">
        <f>'mnt Data'!N124</f>
        <v>0</v>
      </c>
      <c r="AC121" s="31">
        <f>'mnt Data'!O124</f>
        <v>0</v>
      </c>
      <c r="AD121" s="31">
        <f>'mnt Data'!P124</f>
        <v>0</v>
      </c>
      <c r="AE121" s="31">
        <f>'mnt Data'!Q124</f>
        <v>0</v>
      </c>
      <c r="AF121" s="31">
        <f>'mnt Data'!R124</f>
        <v>0</v>
      </c>
      <c r="AG121" s="31">
        <f>'mnt Data'!S124</f>
        <v>0</v>
      </c>
      <c r="AH121" s="31">
        <f>'mnt Data'!T124</f>
        <v>0</v>
      </c>
      <c r="AI121" s="31">
        <f>'mnt Data'!U124</f>
        <v>0</v>
      </c>
      <c r="AJ121" s="31">
        <f>'mnt Data'!V124</f>
        <v>0</v>
      </c>
      <c r="AK121" s="31">
        <f>'mnt Data'!W124</f>
        <v>0</v>
      </c>
      <c r="AL121" s="31">
        <f>'mnt Data'!X124</f>
        <v>0</v>
      </c>
      <c r="AM121" s="31">
        <f>'mnt Data'!Y124</f>
        <v>0</v>
      </c>
      <c r="AN121" s="31">
        <f>'mnt Data'!Z124</f>
        <v>0</v>
      </c>
      <c r="AO121" s="31">
        <f>'mnt Data'!AA124</f>
        <v>0</v>
      </c>
      <c r="AP121" s="31">
        <f>'mnt Data'!AB124</f>
        <v>0</v>
      </c>
      <c r="AQ121" s="31">
        <f>'mnt Data'!AC124</f>
        <v>0</v>
      </c>
      <c r="AR121" s="31">
        <f>'mnt Data'!AD124</f>
        <v>0</v>
      </c>
      <c r="AS121" s="31">
        <f>'mnt Data'!AE124</f>
        <v>0</v>
      </c>
      <c r="AT121" s="31">
        <f>'mnt Data'!AF124</f>
        <v>0</v>
      </c>
      <c r="AU121" s="31">
        <f>'mnt Data'!AG124</f>
        <v>0</v>
      </c>
      <c r="AV121" s="31">
        <f>'mnt Data'!AH124</f>
        <v>0</v>
      </c>
      <c r="AW121" s="31">
        <f>'mnt Data'!AI124</f>
        <v>0</v>
      </c>
      <c r="AX121" s="31">
        <f>'mnt Data'!AJ124</f>
        <v>0</v>
      </c>
      <c r="AY121" s="31">
        <f>'mnt Data'!AK124</f>
        <v>0</v>
      </c>
    </row>
    <row r="122" spans="1:51" x14ac:dyDescent="0.25">
      <c r="A122">
        <v>121</v>
      </c>
      <c r="B122" s="32">
        <f t="shared" si="24"/>
        <v>0</v>
      </c>
      <c r="C122" s="32">
        <f t="shared" si="25"/>
        <v>0</v>
      </c>
      <c r="D122" s="32" t="str">
        <f t="shared" si="17"/>
        <v>No Gs</v>
      </c>
      <c r="E122" s="32">
        <f t="shared" si="21"/>
        <v>0</v>
      </c>
      <c r="F122" s="32" t="str">
        <f t="shared" si="22"/>
        <v>No Gs</v>
      </c>
      <c r="G122" s="32" t="str">
        <f t="shared" si="23"/>
        <v>No Gs</v>
      </c>
      <c r="H122" s="32" t="str">
        <f t="shared" si="26"/>
        <v>Gs is needed</v>
      </c>
      <c r="I122" s="32" t="str">
        <f t="shared" si="27"/>
        <v>Gs is needed</v>
      </c>
      <c r="J122" s="32" t="str">
        <f t="shared" si="28"/>
        <v>Gs is needed</v>
      </c>
      <c r="K122" s="32" t="str">
        <f t="shared" si="18"/>
        <v>Need Max and Min</v>
      </c>
      <c r="L122" s="32" t="str">
        <f t="shared" si="19"/>
        <v>Need Max and Min</v>
      </c>
      <c r="M122" s="32" t="str">
        <f t="shared" si="20"/>
        <v>Fail</v>
      </c>
      <c r="N122" s="32"/>
      <c r="O122" s="31">
        <f>'mnt Data'!A125</f>
        <v>0</v>
      </c>
      <c r="P122" s="31">
        <f>'mnt Data'!B125</f>
        <v>0</v>
      </c>
      <c r="Q122" s="31">
        <f>'mnt Data'!C125</f>
        <v>0</v>
      </c>
      <c r="R122" s="31">
        <f>'mnt Data'!D125</f>
        <v>0</v>
      </c>
      <c r="S122" s="31">
        <f>'mnt Data'!E125</f>
        <v>0</v>
      </c>
      <c r="T122" s="31">
        <f>'mnt Data'!F125</f>
        <v>0</v>
      </c>
      <c r="U122" s="31">
        <f>'mnt Data'!G125</f>
        <v>0</v>
      </c>
      <c r="V122" s="31">
        <f>'mnt Data'!H125</f>
        <v>0</v>
      </c>
      <c r="W122" s="31">
        <f>'mnt Data'!I125</f>
        <v>0</v>
      </c>
      <c r="X122" s="31">
        <f>'mnt Data'!J125</f>
        <v>0</v>
      </c>
      <c r="Y122" s="31">
        <f>'mnt Data'!K125</f>
        <v>0</v>
      </c>
      <c r="Z122" s="31">
        <f>'mnt Data'!L125</f>
        <v>0</v>
      </c>
      <c r="AA122" s="31">
        <f>'mnt Data'!M125</f>
        <v>0</v>
      </c>
      <c r="AB122" s="31">
        <f>'mnt Data'!N125</f>
        <v>0</v>
      </c>
      <c r="AC122" s="31">
        <f>'mnt Data'!O125</f>
        <v>0</v>
      </c>
      <c r="AD122" s="31">
        <f>'mnt Data'!P125</f>
        <v>0</v>
      </c>
      <c r="AE122" s="31">
        <f>'mnt Data'!Q125</f>
        <v>0</v>
      </c>
      <c r="AF122" s="31">
        <f>'mnt Data'!R125</f>
        <v>0</v>
      </c>
      <c r="AG122" s="31">
        <f>'mnt Data'!S125</f>
        <v>0</v>
      </c>
      <c r="AH122" s="31">
        <f>'mnt Data'!T125</f>
        <v>0</v>
      </c>
      <c r="AI122" s="31">
        <f>'mnt Data'!U125</f>
        <v>0</v>
      </c>
      <c r="AJ122" s="31">
        <f>'mnt Data'!V125</f>
        <v>0</v>
      </c>
      <c r="AK122" s="31">
        <f>'mnt Data'!W125</f>
        <v>0</v>
      </c>
      <c r="AL122" s="31">
        <f>'mnt Data'!X125</f>
        <v>0</v>
      </c>
      <c r="AM122" s="31">
        <f>'mnt Data'!Y125</f>
        <v>0</v>
      </c>
      <c r="AN122" s="31">
        <f>'mnt Data'!Z125</f>
        <v>0</v>
      </c>
      <c r="AO122" s="31">
        <f>'mnt Data'!AA125</f>
        <v>0</v>
      </c>
      <c r="AP122" s="31">
        <f>'mnt Data'!AB125</f>
        <v>0</v>
      </c>
      <c r="AQ122" s="31">
        <f>'mnt Data'!AC125</f>
        <v>0</v>
      </c>
      <c r="AR122" s="31">
        <f>'mnt Data'!AD125</f>
        <v>0</v>
      </c>
      <c r="AS122" s="31">
        <f>'mnt Data'!AE125</f>
        <v>0</v>
      </c>
      <c r="AT122" s="31">
        <f>'mnt Data'!AF125</f>
        <v>0</v>
      </c>
      <c r="AU122" s="31">
        <f>'mnt Data'!AG125</f>
        <v>0</v>
      </c>
      <c r="AV122" s="31">
        <f>'mnt Data'!AH125</f>
        <v>0</v>
      </c>
      <c r="AW122" s="31">
        <f>'mnt Data'!AI125</f>
        <v>0</v>
      </c>
      <c r="AX122" s="31">
        <f>'mnt Data'!AJ125</f>
        <v>0</v>
      </c>
      <c r="AY122" s="31">
        <f>'mnt Data'!AK125</f>
        <v>0</v>
      </c>
    </row>
    <row r="123" spans="1:51" x14ac:dyDescent="0.25">
      <c r="A123">
        <v>122</v>
      </c>
      <c r="B123" s="32">
        <f t="shared" si="24"/>
        <v>0</v>
      </c>
      <c r="C123" s="32">
        <f t="shared" si="25"/>
        <v>0</v>
      </c>
      <c r="D123" s="32" t="str">
        <f t="shared" si="17"/>
        <v>No Gs</v>
      </c>
      <c r="E123" s="32">
        <f t="shared" si="21"/>
        <v>0</v>
      </c>
      <c r="F123" s="32" t="str">
        <f t="shared" si="22"/>
        <v>No Gs</v>
      </c>
      <c r="G123" s="32" t="str">
        <f t="shared" si="23"/>
        <v>No Gs</v>
      </c>
      <c r="H123" s="32" t="str">
        <f t="shared" si="26"/>
        <v>Gs is needed</v>
      </c>
      <c r="I123" s="32" t="str">
        <f t="shared" si="27"/>
        <v>Gs is needed</v>
      </c>
      <c r="J123" s="32" t="str">
        <f t="shared" si="28"/>
        <v>Gs is needed</v>
      </c>
      <c r="K123" s="32" t="str">
        <f t="shared" si="18"/>
        <v>Need Max and Min</v>
      </c>
      <c r="L123" s="32" t="str">
        <f t="shared" si="19"/>
        <v>Need Max and Min</v>
      </c>
      <c r="M123" s="32" t="str">
        <f t="shared" si="20"/>
        <v>Fail</v>
      </c>
      <c r="N123" s="32"/>
      <c r="O123" s="31">
        <f>'mnt Data'!A126</f>
        <v>0</v>
      </c>
      <c r="P123" s="31">
        <f>'mnt Data'!B126</f>
        <v>0</v>
      </c>
      <c r="Q123" s="31">
        <f>'mnt Data'!C126</f>
        <v>0</v>
      </c>
      <c r="R123" s="31">
        <f>'mnt Data'!D126</f>
        <v>0</v>
      </c>
      <c r="S123" s="31">
        <f>'mnt Data'!E126</f>
        <v>0</v>
      </c>
      <c r="T123" s="31">
        <f>'mnt Data'!F126</f>
        <v>0</v>
      </c>
      <c r="U123" s="31">
        <f>'mnt Data'!G126</f>
        <v>0</v>
      </c>
      <c r="V123" s="31">
        <f>'mnt Data'!H126</f>
        <v>0</v>
      </c>
      <c r="W123" s="31">
        <f>'mnt Data'!I126</f>
        <v>0</v>
      </c>
      <c r="X123" s="31">
        <f>'mnt Data'!J126</f>
        <v>0</v>
      </c>
      <c r="Y123" s="31">
        <f>'mnt Data'!K126</f>
        <v>0</v>
      </c>
      <c r="Z123" s="31">
        <f>'mnt Data'!L126</f>
        <v>0</v>
      </c>
      <c r="AA123" s="31">
        <f>'mnt Data'!M126</f>
        <v>0</v>
      </c>
      <c r="AB123" s="31">
        <f>'mnt Data'!N126</f>
        <v>0</v>
      </c>
      <c r="AC123" s="31">
        <f>'mnt Data'!O126</f>
        <v>0</v>
      </c>
      <c r="AD123" s="31">
        <f>'mnt Data'!P126</f>
        <v>0</v>
      </c>
      <c r="AE123" s="31">
        <f>'mnt Data'!Q126</f>
        <v>0</v>
      </c>
      <c r="AF123" s="31">
        <f>'mnt Data'!R126</f>
        <v>0</v>
      </c>
      <c r="AG123" s="31">
        <f>'mnt Data'!S126</f>
        <v>0</v>
      </c>
      <c r="AH123" s="31">
        <f>'mnt Data'!T126</f>
        <v>0</v>
      </c>
      <c r="AI123" s="31">
        <f>'mnt Data'!U126</f>
        <v>0</v>
      </c>
      <c r="AJ123" s="31">
        <f>'mnt Data'!V126</f>
        <v>0</v>
      </c>
      <c r="AK123" s="31">
        <f>'mnt Data'!W126</f>
        <v>0</v>
      </c>
      <c r="AL123" s="31">
        <f>'mnt Data'!X126</f>
        <v>0</v>
      </c>
      <c r="AM123" s="31">
        <f>'mnt Data'!Y126</f>
        <v>0</v>
      </c>
      <c r="AN123" s="31">
        <f>'mnt Data'!Z126</f>
        <v>0</v>
      </c>
      <c r="AO123" s="31">
        <f>'mnt Data'!AA126</f>
        <v>0</v>
      </c>
      <c r="AP123" s="31">
        <f>'mnt Data'!AB126</f>
        <v>0</v>
      </c>
      <c r="AQ123" s="31">
        <f>'mnt Data'!AC126</f>
        <v>0</v>
      </c>
      <c r="AR123" s="31">
        <f>'mnt Data'!AD126</f>
        <v>0</v>
      </c>
      <c r="AS123" s="31">
        <f>'mnt Data'!AE126</f>
        <v>0</v>
      </c>
      <c r="AT123" s="31">
        <f>'mnt Data'!AF126</f>
        <v>0</v>
      </c>
      <c r="AU123" s="31">
        <f>'mnt Data'!AG126</f>
        <v>0</v>
      </c>
      <c r="AV123" s="31">
        <f>'mnt Data'!AH126</f>
        <v>0</v>
      </c>
      <c r="AW123" s="31">
        <f>'mnt Data'!AI126</f>
        <v>0</v>
      </c>
      <c r="AX123" s="31">
        <f>'mnt Data'!AJ126</f>
        <v>0</v>
      </c>
      <c r="AY123" s="31">
        <f>'mnt Data'!AK126</f>
        <v>0</v>
      </c>
    </row>
    <row r="124" spans="1:51" x14ac:dyDescent="0.25">
      <c r="A124">
        <v>123</v>
      </c>
      <c r="B124" s="32">
        <f t="shared" si="24"/>
        <v>0</v>
      </c>
      <c r="C124" s="32">
        <f t="shared" si="25"/>
        <v>0</v>
      </c>
      <c r="D124" s="32" t="str">
        <f t="shared" si="17"/>
        <v>No Gs</v>
      </c>
      <c r="E124" s="32">
        <f t="shared" si="21"/>
        <v>0</v>
      </c>
      <c r="F124" s="32" t="str">
        <f t="shared" si="22"/>
        <v>No Gs</v>
      </c>
      <c r="G124" s="32" t="str">
        <f t="shared" si="23"/>
        <v>No Gs</v>
      </c>
      <c r="H124" s="32" t="str">
        <f t="shared" si="26"/>
        <v>Gs is needed</v>
      </c>
      <c r="I124" s="32" t="str">
        <f t="shared" si="27"/>
        <v>Gs is needed</v>
      </c>
      <c r="J124" s="32" t="str">
        <f t="shared" si="28"/>
        <v>Gs is needed</v>
      </c>
      <c r="K124" s="32" t="str">
        <f t="shared" si="18"/>
        <v>Need Max and Min</v>
      </c>
      <c r="L124" s="32" t="str">
        <f t="shared" si="19"/>
        <v>Need Max and Min</v>
      </c>
      <c r="M124" s="32" t="str">
        <f t="shared" si="20"/>
        <v>Fail</v>
      </c>
      <c r="N124" s="32"/>
      <c r="O124" s="31">
        <f>'mnt Data'!A127</f>
        <v>0</v>
      </c>
      <c r="P124" s="31">
        <f>'mnt Data'!B127</f>
        <v>0</v>
      </c>
      <c r="Q124" s="31">
        <f>'mnt Data'!C127</f>
        <v>0</v>
      </c>
      <c r="R124" s="31">
        <f>'mnt Data'!D127</f>
        <v>0</v>
      </c>
      <c r="S124" s="31">
        <f>'mnt Data'!E127</f>
        <v>0</v>
      </c>
      <c r="T124" s="31">
        <f>'mnt Data'!F127</f>
        <v>0</v>
      </c>
      <c r="U124" s="31">
        <f>'mnt Data'!G127</f>
        <v>0</v>
      </c>
      <c r="V124" s="31">
        <f>'mnt Data'!H127</f>
        <v>0</v>
      </c>
      <c r="W124" s="31">
        <f>'mnt Data'!I127</f>
        <v>0</v>
      </c>
      <c r="X124" s="31">
        <f>'mnt Data'!J127</f>
        <v>0</v>
      </c>
      <c r="Y124" s="31">
        <f>'mnt Data'!K127</f>
        <v>0</v>
      </c>
      <c r="Z124" s="31">
        <f>'mnt Data'!L127</f>
        <v>0</v>
      </c>
      <c r="AA124" s="31">
        <f>'mnt Data'!M127</f>
        <v>0</v>
      </c>
      <c r="AB124" s="31">
        <f>'mnt Data'!N127</f>
        <v>0</v>
      </c>
      <c r="AC124" s="31">
        <f>'mnt Data'!O127</f>
        <v>0</v>
      </c>
      <c r="AD124" s="31">
        <f>'mnt Data'!P127</f>
        <v>0</v>
      </c>
      <c r="AE124" s="31">
        <f>'mnt Data'!Q127</f>
        <v>0</v>
      </c>
      <c r="AF124" s="31">
        <f>'mnt Data'!R127</f>
        <v>0</v>
      </c>
      <c r="AG124" s="31">
        <f>'mnt Data'!S127</f>
        <v>0</v>
      </c>
      <c r="AH124" s="31">
        <f>'mnt Data'!T127</f>
        <v>0</v>
      </c>
      <c r="AI124" s="31">
        <f>'mnt Data'!U127</f>
        <v>0</v>
      </c>
      <c r="AJ124" s="31">
        <f>'mnt Data'!V127</f>
        <v>0</v>
      </c>
      <c r="AK124" s="31">
        <f>'mnt Data'!W127</f>
        <v>0</v>
      </c>
      <c r="AL124" s="31">
        <f>'mnt Data'!X127</f>
        <v>0</v>
      </c>
      <c r="AM124" s="31">
        <f>'mnt Data'!Y127</f>
        <v>0</v>
      </c>
      <c r="AN124" s="31">
        <f>'mnt Data'!Z127</f>
        <v>0</v>
      </c>
      <c r="AO124" s="31">
        <f>'mnt Data'!AA127</f>
        <v>0</v>
      </c>
      <c r="AP124" s="31">
        <f>'mnt Data'!AB127</f>
        <v>0</v>
      </c>
      <c r="AQ124" s="31">
        <f>'mnt Data'!AC127</f>
        <v>0</v>
      </c>
      <c r="AR124" s="31">
        <f>'mnt Data'!AD127</f>
        <v>0</v>
      </c>
      <c r="AS124" s="31">
        <f>'mnt Data'!AE127</f>
        <v>0</v>
      </c>
      <c r="AT124" s="31">
        <f>'mnt Data'!AF127</f>
        <v>0</v>
      </c>
      <c r="AU124" s="31">
        <f>'mnt Data'!AG127</f>
        <v>0</v>
      </c>
      <c r="AV124" s="31">
        <f>'mnt Data'!AH127</f>
        <v>0</v>
      </c>
      <c r="AW124" s="31">
        <f>'mnt Data'!AI127</f>
        <v>0</v>
      </c>
      <c r="AX124" s="31">
        <f>'mnt Data'!AJ127</f>
        <v>0</v>
      </c>
      <c r="AY124" s="31">
        <f>'mnt Data'!AK127</f>
        <v>0</v>
      </c>
    </row>
    <row r="125" spans="1:51" x14ac:dyDescent="0.25">
      <c r="A125">
        <v>124</v>
      </c>
      <c r="B125" s="32">
        <f t="shared" si="24"/>
        <v>0</v>
      </c>
      <c r="C125" s="32">
        <f t="shared" si="25"/>
        <v>0</v>
      </c>
      <c r="D125" s="32" t="str">
        <f t="shared" si="17"/>
        <v>No Gs</v>
      </c>
      <c r="E125" s="32">
        <f t="shared" si="21"/>
        <v>0</v>
      </c>
      <c r="F125" s="32" t="str">
        <f t="shared" si="22"/>
        <v>No Gs</v>
      </c>
      <c r="G125" s="32" t="str">
        <f t="shared" si="23"/>
        <v>No Gs</v>
      </c>
      <c r="H125" s="32" t="str">
        <f t="shared" si="26"/>
        <v>Gs is needed</v>
      </c>
      <c r="I125" s="32" t="str">
        <f t="shared" si="27"/>
        <v>Gs is needed</v>
      </c>
      <c r="J125" s="32" t="str">
        <f t="shared" si="28"/>
        <v>Gs is needed</v>
      </c>
      <c r="K125" s="32" t="str">
        <f t="shared" si="18"/>
        <v>Need Max and Min</v>
      </c>
      <c r="L125" s="32" t="str">
        <f t="shared" si="19"/>
        <v>Need Max and Min</v>
      </c>
      <c r="M125" s="32" t="str">
        <f t="shared" si="20"/>
        <v>Fail</v>
      </c>
      <c r="N125" s="32"/>
      <c r="O125" s="31">
        <f>'mnt Data'!A128</f>
        <v>0</v>
      </c>
      <c r="P125" s="31">
        <f>'mnt Data'!B128</f>
        <v>0</v>
      </c>
      <c r="Q125" s="31">
        <f>'mnt Data'!C128</f>
        <v>0</v>
      </c>
      <c r="R125" s="31">
        <f>'mnt Data'!D128</f>
        <v>0</v>
      </c>
      <c r="S125" s="31">
        <f>'mnt Data'!E128</f>
        <v>0</v>
      </c>
      <c r="T125" s="31">
        <f>'mnt Data'!F128</f>
        <v>0</v>
      </c>
      <c r="U125" s="31">
        <f>'mnt Data'!G128</f>
        <v>0</v>
      </c>
      <c r="V125" s="31">
        <f>'mnt Data'!H128</f>
        <v>0</v>
      </c>
      <c r="W125" s="31">
        <f>'mnt Data'!I128</f>
        <v>0</v>
      </c>
      <c r="X125" s="31">
        <f>'mnt Data'!J128</f>
        <v>0</v>
      </c>
      <c r="Y125" s="31">
        <f>'mnt Data'!K128</f>
        <v>0</v>
      </c>
      <c r="Z125" s="31">
        <f>'mnt Data'!L128</f>
        <v>0</v>
      </c>
      <c r="AA125" s="31">
        <f>'mnt Data'!M128</f>
        <v>0</v>
      </c>
      <c r="AB125" s="31">
        <f>'mnt Data'!N128</f>
        <v>0</v>
      </c>
      <c r="AC125" s="31">
        <f>'mnt Data'!O128</f>
        <v>0</v>
      </c>
      <c r="AD125" s="31">
        <f>'mnt Data'!P128</f>
        <v>0</v>
      </c>
      <c r="AE125" s="31">
        <f>'mnt Data'!Q128</f>
        <v>0</v>
      </c>
      <c r="AF125" s="31">
        <f>'mnt Data'!R128</f>
        <v>0</v>
      </c>
      <c r="AG125" s="31">
        <f>'mnt Data'!S128</f>
        <v>0</v>
      </c>
      <c r="AH125" s="31">
        <f>'mnt Data'!T128</f>
        <v>0</v>
      </c>
      <c r="AI125" s="31">
        <f>'mnt Data'!U128</f>
        <v>0</v>
      </c>
      <c r="AJ125" s="31">
        <f>'mnt Data'!V128</f>
        <v>0</v>
      </c>
      <c r="AK125" s="31">
        <f>'mnt Data'!W128</f>
        <v>0</v>
      </c>
      <c r="AL125" s="31">
        <f>'mnt Data'!X128</f>
        <v>0</v>
      </c>
      <c r="AM125" s="31">
        <f>'mnt Data'!Y128</f>
        <v>0</v>
      </c>
      <c r="AN125" s="31">
        <f>'mnt Data'!Z128</f>
        <v>0</v>
      </c>
      <c r="AO125" s="31">
        <f>'mnt Data'!AA128</f>
        <v>0</v>
      </c>
      <c r="AP125" s="31">
        <f>'mnt Data'!AB128</f>
        <v>0</v>
      </c>
      <c r="AQ125" s="31">
        <f>'mnt Data'!AC128</f>
        <v>0</v>
      </c>
      <c r="AR125" s="31">
        <f>'mnt Data'!AD128</f>
        <v>0</v>
      </c>
      <c r="AS125" s="31">
        <f>'mnt Data'!AE128</f>
        <v>0</v>
      </c>
      <c r="AT125" s="31">
        <f>'mnt Data'!AF128</f>
        <v>0</v>
      </c>
      <c r="AU125" s="31">
        <f>'mnt Data'!AG128</f>
        <v>0</v>
      </c>
      <c r="AV125" s="31">
        <f>'mnt Data'!AH128</f>
        <v>0</v>
      </c>
      <c r="AW125" s="31">
        <f>'mnt Data'!AI128</f>
        <v>0</v>
      </c>
      <c r="AX125" s="31">
        <f>'mnt Data'!AJ128</f>
        <v>0</v>
      </c>
      <c r="AY125" s="31">
        <f>'mnt Data'!AK128</f>
        <v>0</v>
      </c>
    </row>
    <row r="126" spans="1:51" x14ac:dyDescent="0.25">
      <c r="A126">
        <v>125</v>
      </c>
      <c r="B126" s="32">
        <f t="shared" si="24"/>
        <v>0</v>
      </c>
      <c r="C126" s="32">
        <f t="shared" si="25"/>
        <v>0</v>
      </c>
      <c r="D126" s="32" t="str">
        <f t="shared" si="17"/>
        <v>No Gs</v>
      </c>
      <c r="E126" s="32">
        <f t="shared" si="21"/>
        <v>0</v>
      </c>
      <c r="F126" s="32" t="str">
        <f t="shared" si="22"/>
        <v>No Gs</v>
      </c>
      <c r="G126" s="32" t="str">
        <f t="shared" si="23"/>
        <v>No Gs</v>
      </c>
      <c r="H126" s="32" t="str">
        <f t="shared" si="26"/>
        <v>Gs is needed</v>
      </c>
      <c r="I126" s="32" t="str">
        <f t="shared" si="27"/>
        <v>Gs is needed</v>
      </c>
      <c r="J126" s="32" t="str">
        <f t="shared" si="28"/>
        <v>Gs is needed</v>
      </c>
      <c r="K126" s="32" t="str">
        <f t="shared" si="18"/>
        <v>Need Max and Min</v>
      </c>
      <c r="L126" s="32" t="str">
        <f t="shared" si="19"/>
        <v>Need Max and Min</v>
      </c>
      <c r="M126" s="32" t="str">
        <f t="shared" si="20"/>
        <v>Fail</v>
      </c>
      <c r="N126" s="32"/>
      <c r="O126" s="31">
        <f>'mnt Data'!A129</f>
        <v>0</v>
      </c>
      <c r="P126" s="31">
        <f>'mnt Data'!B129</f>
        <v>0</v>
      </c>
      <c r="Q126" s="31">
        <f>'mnt Data'!C129</f>
        <v>0</v>
      </c>
      <c r="R126" s="31">
        <f>'mnt Data'!D129</f>
        <v>0</v>
      </c>
      <c r="S126" s="31">
        <f>'mnt Data'!E129</f>
        <v>0</v>
      </c>
      <c r="T126" s="31">
        <f>'mnt Data'!F129</f>
        <v>0</v>
      </c>
      <c r="U126" s="31">
        <f>'mnt Data'!G129</f>
        <v>0</v>
      </c>
      <c r="V126" s="31">
        <f>'mnt Data'!H129</f>
        <v>0</v>
      </c>
      <c r="W126" s="31">
        <f>'mnt Data'!I129</f>
        <v>0</v>
      </c>
      <c r="X126" s="31">
        <f>'mnt Data'!J129</f>
        <v>0</v>
      </c>
      <c r="Y126" s="31">
        <f>'mnt Data'!K129</f>
        <v>0</v>
      </c>
      <c r="Z126" s="31">
        <f>'mnt Data'!L129</f>
        <v>0</v>
      </c>
      <c r="AA126" s="31">
        <f>'mnt Data'!M129</f>
        <v>0</v>
      </c>
      <c r="AB126" s="31">
        <f>'mnt Data'!N129</f>
        <v>0</v>
      </c>
      <c r="AC126" s="31">
        <f>'mnt Data'!O129</f>
        <v>0</v>
      </c>
      <c r="AD126" s="31">
        <f>'mnt Data'!P129</f>
        <v>0</v>
      </c>
      <c r="AE126" s="31">
        <f>'mnt Data'!Q129</f>
        <v>0</v>
      </c>
      <c r="AF126" s="31">
        <f>'mnt Data'!R129</f>
        <v>0</v>
      </c>
      <c r="AG126" s="31">
        <f>'mnt Data'!S129</f>
        <v>0</v>
      </c>
      <c r="AH126" s="31">
        <f>'mnt Data'!T129</f>
        <v>0</v>
      </c>
      <c r="AI126" s="31">
        <f>'mnt Data'!U129</f>
        <v>0</v>
      </c>
      <c r="AJ126" s="31">
        <f>'mnt Data'!V129</f>
        <v>0</v>
      </c>
      <c r="AK126" s="31">
        <f>'mnt Data'!W129</f>
        <v>0</v>
      </c>
      <c r="AL126" s="31">
        <f>'mnt Data'!X129</f>
        <v>0</v>
      </c>
      <c r="AM126" s="31">
        <f>'mnt Data'!Y129</f>
        <v>0</v>
      </c>
      <c r="AN126" s="31">
        <f>'mnt Data'!Z129</f>
        <v>0</v>
      </c>
      <c r="AO126" s="31">
        <f>'mnt Data'!AA129</f>
        <v>0</v>
      </c>
      <c r="AP126" s="31">
        <f>'mnt Data'!AB129</f>
        <v>0</v>
      </c>
      <c r="AQ126" s="31">
        <f>'mnt Data'!AC129</f>
        <v>0</v>
      </c>
      <c r="AR126" s="31">
        <f>'mnt Data'!AD129</f>
        <v>0</v>
      </c>
      <c r="AS126" s="31">
        <f>'mnt Data'!AE129</f>
        <v>0</v>
      </c>
      <c r="AT126" s="31">
        <f>'mnt Data'!AF129</f>
        <v>0</v>
      </c>
      <c r="AU126" s="31">
        <f>'mnt Data'!AG129</f>
        <v>0</v>
      </c>
      <c r="AV126" s="31">
        <f>'mnt Data'!AH129</f>
        <v>0</v>
      </c>
      <c r="AW126" s="31">
        <f>'mnt Data'!AI129</f>
        <v>0</v>
      </c>
      <c r="AX126" s="31">
        <f>'mnt Data'!AJ129</f>
        <v>0</v>
      </c>
      <c r="AY126" s="31">
        <f>'mnt Data'!AK129</f>
        <v>0</v>
      </c>
    </row>
    <row r="127" spans="1:51" x14ac:dyDescent="0.25">
      <c r="A127">
        <v>126</v>
      </c>
      <c r="B127" s="32">
        <f t="shared" si="24"/>
        <v>0</v>
      </c>
      <c r="C127" s="32">
        <f t="shared" si="25"/>
        <v>0</v>
      </c>
      <c r="D127" s="32" t="str">
        <f t="shared" si="17"/>
        <v>No Gs</v>
      </c>
      <c r="E127" s="32">
        <f t="shared" si="21"/>
        <v>0</v>
      </c>
      <c r="F127" s="32" t="str">
        <f t="shared" si="22"/>
        <v>No Gs</v>
      </c>
      <c r="G127" s="32" t="str">
        <f t="shared" si="23"/>
        <v>No Gs</v>
      </c>
      <c r="H127" s="32" t="str">
        <f t="shared" si="26"/>
        <v>Gs is needed</v>
      </c>
      <c r="I127" s="32" t="str">
        <f t="shared" si="27"/>
        <v>Gs is needed</v>
      </c>
      <c r="J127" s="32" t="str">
        <f t="shared" si="28"/>
        <v>Gs is needed</v>
      </c>
      <c r="K127" s="32" t="str">
        <f t="shared" si="18"/>
        <v>Need Max and Min</v>
      </c>
      <c r="L127" s="32" t="str">
        <f t="shared" si="19"/>
        <v>Need Max and Min</v>
      </c>
      <c r="M127" s="32" t="str">
        <f t="shared" si="20"/>
        <v>Fail</v>
      </c>
      <c r="N127" s="32"/>
      <c r="O127" s="31">
        <f>'mnt Data'!A130</f>
        <v>0</v>
      </c>
      <c r="P127" s="31">
        <f>'mnt Data'!B130</f>
        <v>0</v>
      </c>
      <c r="Q127" s="31">
        <f>'mnt Data'!C130</f>
        <v>0</v>
      </c>
      <c r="R127" s="31">
        <f>'mnt Data'!D130</f>
        <v>0</v>
      </c>
      <c r="S127" s="31">
        <f>'mnt Data'!E130</f>
        <v>0</v>
      </c>
      <c r="T127" s="31">
        <f>'mnt Data'!F130</f>
        <v>0</v>
      </c>
      <c r="U127" s="31">
        <f>'mnt Data'!G130</f>
        <v>0</v>
      </c>
      <c r="V127" s="31">
        <f>'mnt Data'!H130</f>
        <v>0</v>
      </c>
      <c r="W127" s="31">
        <f>'mnt Data'!I130</f>
        <v>0</v>
      </c>
      <c r="X127" s="31">
        <f>'mnt Data'!J130</f>
        <v>0</v>
      </c>
      <c r="Y127" s="31">
        <f>'mnt Data'!K130</f>
        <v>0</v>
      </c>
      <c r="Z127" s="31">
        <f>'mnt Data'!L130</f>
        <v>0</v>
      </c>
      <c r="AA127" s="31">
        <f>'mnt Data'!M130</f>
        <v>0</v>
      </c>
      <c r="AB127" s="31">
        <f>'mnt Data'!N130</f>
        <v>0</v>
      </c>
      <c r="AC127" s="31">
        <f>'mnt Data'!O130</f>
        <v>0</v>
      </c>
      <c r="AD127" s="31">
        <f>'mnt Data'!P130</f>
        <v>0</v>
      </c>
      <c r="AE127" s="31">
        <f>'mnt Data'!Q130</f>
        <v>0</v>
      </c>
      <c r="AF127" s="31">
        <f>'mnt Data'!R130</f>
        <v>0</v>
      </c>
      <c r="AG127" s="31">
        <f>'mnt Data'!S130</f>
        <v>0</v>
      </c>
      <c r="AH127" s="31">
        <f>'mnt Data'!T130</f>
        <v>0</v>
      </c>
      <c r="AI127" s="31">
        <f>'mnt Data'!U130</f>
        <v>0</v>
      </c>
      <c r="AJ127" s="31">
        <f>'mnt Data'!V130</f>
        <v>0</v>
      </c>
      <c r="AK127" s="31">
        <f>'mnt Data'!W130</f>
        <v>0</v>
      </c>
      <c r="AL127" s="31">
        <f>'mnt Data'!X130</f>
        <v>0</v>
      </c>
      <c r="AM127" s="31">
        <f>'mnt Data'!Y130</f>
        <v>0</v>
      </c>
      <c r="AN127" s="31">
        <f>'mnt Data'!Z130</f>
        <v>0</v>
      </c>
      <c r="AO127" s="31">
        <f>'mnt Data'!AA130</f>
        <v>0</v>
      </c>
      <c r="AP127" s="31">
        <f>'mnt Data'!AB130</f>
        <v>0</v>
      </c>
      <c r="AQ127" s="31">
        <f>'mnt Data'!AC130</f>
        <v>0</v>
      </c>
      <c r="AR127" s="31">
        <f>'mnt Data'!AD130</f>
        <v>0</v>
      </c>
      <c r="AS127" s="31">
        <f>'mnt Data'!AE130</f>
        <v>0</v>
      </c>
      <c r="AT127" s="31">
        <f>'mnt Data'!AF130</f>
        <v>0</v>
      </c>
      <c r="AU127" s="31">
        <f>'mnt Data'!AG130</f>
        <v>0</v>
      </c>
      <c r="AV127" s="31">
        <f>'mnt Data'!AH130</f>
        <v>0</v>
      </c>
      <c r="AW127" s="31">
        <f>'mnt Data'!AI130</f>
        <v>0</v>
      </c>
      <c r="AX127" s="31">
        <f>'mnt Data'!AJ130</f>
        <v>0</v>
      </c>
      <c r="AY127" s="31">
        <f>'mnt Data'!AK130</f>
        <v>0</v>
      </c>
    </row>
    <row r="128" spans="1:51" x14ac:dyDescent="0.25">
      <c r="A128">
        <v>127</v>
      </c>
      <c r="B128" s="32">
        <f t="shared" si="24"/>
        <v>0</v>
      </c>
      <c r="C128" s="32">
        <f t="shared" si="25"/>
        <v>0</v>
      </c>
      <c r="D128" s="32" t="str">
        <f t="shared" si="17"/>
        <v>No Gs</v>
      </c>
      <c r="E128" s="32">
        <f t="shared" si="21"/>
        <v>0</v>
      </c>
      <c r="F128" s="32" t="str">
        <f t="shared" si="22"/>
        <v>No Gs</v>
      </c>
      <c r="G128" s="32" t="str">
        <f t="shared" si="23"/>
        <v>No Gs</v>
      </c>
      <c r="H128" s="32" t="str">
        <f t="shared" si="26"/>
        <v>Gs is needed</v>
      </c>
      <c r="I128" s="32" t="str">
        <f t="shared" si="27"/>
        <v>Gs is needed</v>
      </c>
      <c r="J128" s="32" t="str">
        <f t="shared" si="28"/>
        <v>Gs is needed</v>
      </c>
      <c r="K128" s="32" t="str">
        <f t="shared" si="18"/>
        <v>Need Max and Min</v>
      </c>
      <c r="L128" s="32" t="str">
        <f t="shared" si="19"/>
        <v>Need Max and Min</v>
      </c>
      <c r="M128" s="32" t="str">
        <f t="shared" si="20"/>
        <v>Fail</v>
      </c>
      <c r="N128" s="32"/>
      <c r="O128" s="31">
        <f>'mnt Data'!A131</f>
        <v>0</v>
      </c>
      <c r="P128" s="31">
        <f>'mnt Data'!B131</f>
        <v>0</v>
      </c>
      <c r="Q128" s="31">
        <f>'mnt Data'!C131</f>
        <v>0</v>
      </c>
      <c r="R128" s="31">
        <f>'mnt Data'!D131</f>
        <v>0</v>
      </c>
      <c r="S128" s="31">
        <f>'mnt Data'!E131</f>
        <v>0</v>
      </c>
      <c r="T128" s="31">
        <f>'mnt Data'!F131</f>
        <v>0</v>
      </c>
      <c r="U128" s="31">
        <f>'mnt Data'!G131</f>
        <v>0</v>
      </c>
      <c r="V128" s="31">
        <f>'mnt Data'!H131</f>
        <v>0</v>
      </c>
      <c r="W128" s="31">
        <f>'mnt Data'!I131</f>
        <v>0</v>
      </c>
      <c r="X128" s="31">
        <f>'mnt Data'!J131</f>
        <v>0</v>
      </c>
      <c r="Y128" s="31">
        <f>'mnt Data'!K131</f>
        <v>0</v>
      </c>
      <c r="Z128" s="31">
        <f>'mnt Data'!L131</f>
        <v>0</v>
      </c>
      <c r="AA128" s="31">
        <f>'mnt Data'!M131</f>
        <v>0</v>
      </c>
      <c r="AB128" s="31">
        <f>'mnt Data'!N131</f>
        <v>0</v>
      </c>
      <c r="AC128" s="31">
        <f>'mnt Data'!O131</f>
        <v>0</v>
      </c>
      <c r="AD128" s="31">
        <f>'mnt Data'!P131</f>
        <v>0</v>
      </c>
      <c r="AE128" s="31">
        <f>'mnt Data'!Q131</f>
        <v>0</v>
      </c>
      <c r="AF128" s="31">
        <f>'mnt Data'!R131</f>
        <v>0</v>
      </c>
      <c r="AG128" s="31">
        <f>'mnt Data'!S131</f>
        <v>0</v>
      </c>
      <c r="AH128" s="31">
        <f>'mnt Data'!T131</f>
        <v>0</v>
      </c>
      <c r="AI128" s="31">
        <f>'mnt Data'!U131</f>
        <v>0</v>
      </c>
      <c r="AJ128" s="31">
        <f>'mnt Data'!V131</f>
        <v>0</v>
      </c>
      <c r="AK128" s="31">
        <f>'mnt Data'!W131</f>
        <v>0</v>
      </c>
      <c r="AL128" s="31">
        <f>'mnt Data'!X131</f>
        <v>0</v>
      </c>
      <c r="AM128" s="31">
        <f>'mnt Data'!Y131</f>
        <v>0</v>
      </c>
      <c r="AN128" s="31">
        <f>'mnt Data'!Z131</f>
        <v>0</v>
      </c>
      <c r="AO128" s="31">
        <f>'mnt Data'!AA131</f>
        <v>0</v>
      </c>
      <c r="AP128" s="31">
        <f>'mnt Data'!AB131</f>
        <v>0</v>
      </c>
      <c r="AQ128" s="31">
        <f>'mnt Data'!AC131</f>
        <v>0</v>
      </c>
      <c r="AR128" s="31">
        <f>'mnt Data'!AD131</f>
        <v>0</v>
      </c>
      <c r="AS128" s="31">
        <f>'mnt Data'!AE131</f>
        <v>0</v>
      </c>
      <c r="AT128" s="31">
        <f>'mnt Data'!AF131</f>
        <v>0</v>
      </c>
      <c r="AU128" s="31">
        <f>'mnt Data'!AG131</f>
        <v>0</v>
      </c>
      <c r="AV128" s="31">
        <f>'mnt Data'!AH131</f>
        <v>0</v>
      </c>
      <c r="AW128" s="31">
        <f>'mnt Data'!AI131</f>
        <v>0</v>
      </c>
      <c r="AX128" s="31">
        <f>'mnt Data'!AJ131</f>
        <v>0</v>
      </c>
      <c r="AY128" s="31">
        <f>'mnt Data'!AK131</f>
        <v>0</v>
      </c>
    </row>
    <row r="129" spans="1:51" x14ac:dyDescent="0.25">
      <c r="A129">
        <v>128</v>
      </c>
      <c r="B129" s="32">
        <f t="shared" si="24"/>
        <v>0</v>
      </c>
      <c r="C129" s="32">
        <f t="shared" si="25"/>
        <v>0</v>
      </c>
      <c r="D129" s="32" t="str">
        <f t="shared" si="17"/>
        <v>No Gs</v>
      </c>
      <c r="E129" s="32">
        <f t="shared" si="21"/>
        <v>0</v>
      </c>
      <c r="F129" s="32" t="str">
        <f t="shared" si="22"/>
        <v>No Gs</v>
      </c>
      <c r="G129" s="32" t="str">
        <f t="shared" si="23"/>
        <v>No Gs</v>
      </c>
      <c r="H129" s="32" t="str">
        <f t="shared" si="26"/>
        <v>Gs is needed</v>
      </c>
      <c r="I129" s="32" t="str">
        <f t="shared" si="27"/>
        <v>Gs is needed</v>
      </c>
      <c r="J129" s="32" t="str">
        <f t="shared" si="28"/>
        <v>Gs is needed</v>
      </c>
      <c r="K129" s="32" t="str">
        <f t="shared" si="18"/>
        <v>Need Max and Min</v>
      </c>
      <c r="L129" s="32" t="str">
        <f t="shared" si="19"/>
        <v>Need Max and Min</v>
      </c>
      <c r="M129" s="32" t="str">
        <f t="shared" si="20"/>
        <v>Fail</v>
      </c>
      <c r="N129" s="32"/>
      <c r="O129" s="31">
        <f>'mnt Data'!A132</f>
        <v>0</v>
      </c>
      <c r="P129" s="31">
        <f>'mnt Data'!B132</f>
        <v>0</v>
      </c>
      <c r="Q129" s="31">
        <f>'mnt Data'!C132</f>
        <v>0</v>
      </c>
      <c r="R129" s="31">
        <f>'mnt Data'!D132</f>
        <v>0</v>
      </c>
      <c r="S129" s="31">
        <f>'mnt Data'!E132</f>
        <v>0</v>
      </c>
      <c r="T129" s="31">
        <f>'mnt Data'!F132</f>
        <v>0</v>
      </c>
      <c r="U129" s="31">
        <f>'mnt Data'!G132</f>
        <v>0</v>
      </c>
      <c r="V129" s="31">
        <f>'mnt Data'!H132</f>
        <v>0</v>
      </c>
      <c r="W129" s="31">
        <f>'mnt Data'!I132</f>
        <v>0</v>
      </c>
      <c r="X129" s="31">
        <f>'mnt Data'!J132</f>
        <v>0</v>
      </c>
      <c r="Y129" s="31">
        <f>'mnt Data'!K132</f>
        <v>0</v>
      </c>
      <c r="Z129" s="31">
        <f>'mnt Data'!L132</f>
        <v>0</v>
      </c>
      <c r="AA129" s="31">
        <f>'mnt Data'!M132</f>
        <v>0</v>
      </c>
      <c r="AB129" s="31">
        <f>'mnt Data'!N132</f>
        <v>0</v>
      </c>
      <c r="AC129" s="31">
        <f>'mnt Data'!O132</f>
        <v>0</v>
      </c>
      <c r="AD129" s="31">
        <f>'mnt Data'!P132</f>
        <v>0</v>
      </c>
      <c r="AE129" s="31">
        <f>'mnt Data'!Q132</f>
        <v>0</v>
      </c>
      <c r="AF129" s="31">
        <f>'mnt Data'!R132</f>
        <v>0</v>
      </c>
      <c r="AG129" s="31">
        <f>'mnt Data'!S132</f>
        <v>0</v>
      </c>
      <c r="AH129" s="31">
        <f>'mnt Data'!T132</f>
        <v>0</v>
      </c>
      <c r="AI129" s="31">
        <f>'mnt Data'!U132</f>
        <v>0</v>
      </c>
      <c r="AJ129" s="31">
        <f>'mnt Data'!V132</f>
        <v>0</v>
      </c>
      <c r="AK129" s="31">
        <f>'mnt Data'!W132</f>
        <v>0</v>
      </c>
      <c r="AL129" s="31">
        <f>'mnt Data'!X132</f>
        <v>0</v>
      </c>
      <c r="AM129" s="31">
        <f>'mnt Data'!Y132</f>
        <v>0</v>
      </c>
      <c r="AN129" s="31">
        <f>'mnt Data'!Z132</f>
        <v>0</v>
      </c>
      <c r="AO129" s="31">
        <f>'mnt Data'!AA132</f>
        <v>0</v>
      </c>
      <c r="AP129" s="31">
        <f>'mnt Data'!AB132</f>
        <v>0</v>
      </c>
      <c r="AQ129" s="31">
        <f>'mnt Data'!AC132</f>
        <v>0</v>
      </c>
      <c r="AR129" s="31">
        <f>'mnt Data'!AD132</f>
        <v>0</v>
      </c>
      <c r="AS129" s="31">
        <f>'mnt Data'!AE132</f>
        <v>0</v>
      </c>
      <c r="AT129" s="31">
        <f>'mnt Data'!AF132</f>
        <v>0</v>
      </c>
      <c r="AU129" s="31">
        <f>'mnt Data'!AG132</f>
        <v>0</v>
      </c>
      <c r="AV129" s="31">
        <f>'mnt Data'!AH132</f>
        <v>0</v>
      </c>
      <c r="AW129" s="31">
        <f>'mnt Data'!AI132</f>
        <v>0</v>
      </c>
      <c r="AX129" s="31">
        <f>'mnt Data'!AJ132</f>
        <v>0</v>
      </c>
      <c r="AY129" s="31">
        <f>'mnt Data'!AK132</f>
        <v>0</v>
      </c>
    </row>
    <row r="130" spans="1:51" x14ac:dyDescent="0.25">
      <c r="A130">
        <v>129</v>
      </c>
      <c r="B130" s="32">
        <f t="shared" si="24"/>
        <v>0</v>
      </c>
      <c r="C130" s="32">
        <f t="shared" si="25"/>
        <v>0</v>
      </c>
      <c r="D130" s="32" t="str">
        <f t="shared" ref="D130:D193" si="29">IFERROR(B130/(Gs*(IF(O130&gt;1000,998,62.4))),"No Gs")</f>
        <v>No Gs</v>
      </c>
      <c r="E130" s="32">
        <f t="shared" si="21"/>
        <v>0</v>
      </c>
      <c r="F130" s="32" t="str">
        <f t="shared" si="22"/>
        <v>No Gs</v>
      </c>
      <c r="G130" s="32" t="str">
        <f t="shared" si="23"/>
        <v>No Gs</v>
      </c>
      <c r="H130" s="32" t="str">
        <f t="shared" si="26"/>
        <v>Gs is needed</v>
      </c>
      <c r="I130" s="32" t="str">
        <f t="shared" si="27"/>
        <v>Gs is needed</v>
      </c>
      <c r="J130" s="32" t="str">
        <f t="shared" si="28"/>
        <v>Gs is needed</v>
      </c>
      <c r="K130" s="32" t="str">
        <f t="shared" ref="K130:K193" si="30">IFERROR((100*(DMax*(O130-DMin))/(O130*(DMax-DMin))),"Need Max and Min")</f>
        <v>Need Max and Min</v>
      </c>
      <c r="L130" s="32" t="str">
        <f t="shared" ref="L130:L193" si="31">IF(K130="Need Max and Min",K130,(100*((O130-DMin)/(DMax-DMin))))</f>
        <v>Need Max and Min</v>
      </c>
      <c r="M130" s="32" t="str">
        <f t="shared" ref="M130:M193" si="32">IF((Min+Max)=0,"Need Max and Min Density",IF(AND(S130&gt;Min,S130&lt;Max),"Pass","Fail"))</f>
        <v>Fail</v>
      </c>
      <c r="N130" s="32"/>
      <c r="O130" s="31">
        <f>'mnt Data'!A133</f>
        <v>0</v>
      </c>
      <c r="P130" s="31">
        <f>'mnt Data'!B133</f>
        <v>0</v>
      </c>
      <c r="Q130" s="31">
        <f>'mnt Data'!C133</f>
        <v>0</v>
      </c>
      <c r="R130" s="31">
        <f>'mnt Data'!D133</f>
        <v>0</v>
      </c>
      <c r="S130" s="31">
        <f>'mnt Data'!E133</f>
        <v>0</v>
      </c>
      <c r="T130" s="31">
        <f>'mnt Data'!F133</f>
        <v>0</v>
      </c>
      <c r="U130" s="31">
        <f>'mnt Data'!G133</f>
        <v>0</v>
      </c>
      <c r="V130" s="31">
        <f>'mnt Data'!H133</f>
        <v>0</v>
      </c>
      <c r="W130" s="31">
        <f>'mnt Data'!I133</f>
        <v>0</v>
      </c>
      <c r="X130" s="31">
        <f>'mnt Data'!J133</f>
        <v>0</v>
      </c>
      <c r="Y130" s="31">
        <f>'mnt Data'!K133</f>
        <v>0</v>
      </c>
      <c r="Z130" s="31">
        <f>'mnt Data'!L133</f>
        <v>0</v>
      </c>
      <c r="AA130" s="31">
        <f>'mnt Data'!M133</f>
        <v>0</v>
      </c>
      <c r="AB130" s="31">
        <f>'mnt Data'!N133</f>
        <v>0</v>
      </c>
      <c r="AC130" s="31">
        <f>'mnt Data'!O133</f>
        <v>0</v>
      </c>
      <c r="AD130" s="31">
        <f>'mnt Data'!P133</f>
        <v>0</v>
      </c>
      <c r="AE130" s="31">
        <f>'mnt Data'!Q133</f>
        <v>0</v>
      </c>
      <c r="AF130" s="31">
        <f>'mnt Data'!R133</f>
        <v>0</v>
      </c>
      <c r="AG130" s="31">
        <f>'mnt Data'!S133</f>
        <v>0</v>
      </c>
      <c r="AH130" s="31">
        <f>'mnt Data'!T133</f>
        <v>0</v>
      </c>
      <c r="AI130" s="31">
        <f>'mnt Data'!U133</f>
        <v>0</v>
      </c>
      <c r="AJ130" s="31">
        <f>'mnt Data'!V133</f>
        <v>0</v>
      </c>
      <c r="AK130" s="31">
        <f>'mnt Data'!W133</f>
        <v>0</v>
      </c>
      <c r="AL130" s="31">
        <f>'mnt Data'!X133</f>
        <v>0</v>
      </c>
      <c r="AM130" s="31">
        <f>'mnt Data'!Y133</f>
        <v>0</v>
      </c>
      <c r="AN130" s="31">
        <f>'mnt Data'!Z133</f>
        <v>0</v>
      </c>
      <c r="AO130" s="31">
        <f>'mnt Data'!AA133</f>
        <v>0</v>
      </c>
      <c r="AP130" s="31">
        <f>'mnt Data'!AB133</f>
        <v>0</v>
      </c>
      <c r="AQ130" s="31">
        <f>'mnt Data'!AC133</f>
        <v>0</v>
      </c>
      <c r="AR130" s="31">
        <f>'mnt Data'!AD133</f>
        <v>0</v>
      </c>
      <c r="AS130" s="31">
        <f>'mnt Data'!AE133</f>
        <v>0</v>
      </c>
      <c r="AT130" s="31">
        <f>'mnt Data'!AF133</f>
        <v>0</v>
      </c>
      <c r="AU130" s="31">
        <f>'mnt Data'!AG133</f>
        <v>0</v>
      </c>
      <c r="AV130" s="31">
        <f>'mnt Data'!AH133</f>
        <v>0</v>
      </c>
      <c r="AW130" s="31">
        <f>'mnt Data'!AI133</f>
        <v>0</v>
      </c>
      <c r="AX130" s="31">
        <f>'mnt Data'!AJ133</f>
        <v>0</v>
      </c>
      <c r="AY130" s="31">
        <f>'mnt Data'!AK133</f>
        <v>0</v>
      </c>
    </row>
    <row r="131" spans="1:51" x14ac:dyDescent="0.25">
      <c r="A131">
        <v>130</v>
      </c>
      <c r="B131" s="32">
        <f t="shared" si="24"/>
        <v>0</v>
      </c>
      <c r="C131" s="32">
        <f t="shared" si="25"/>
        <v>0</v>
      </c>
      <c r="D131" s="32" t="str">
        <f t="shared" si="29"/>
        <v>No Gs</v>
      </c>
      <c r="E131" s="32">
        <f t="shared" ref="E131:E194" si="33">C131/(IF(O131&gt;1000,998,62.4))</f>
        <v>0</v>
      </c>
      <c r="F131" s="32" t="str">
        <f t="shared" ref="F131:F194" si="34">IFERROR(1-D131-E131,"No Gs")</f>
        <v>No Gs</v>
      </c>
      <c r="G131" s="32" t="str">
        <f t="shared" ref="G131:G194" si="35">IFERROR(E131+F131,"No Gs")</f>
        <v>No Gs</v>
      </c>
      <c r="H131" s="32" t="str">
        <f t="shared" si="26"/>
        <v>Gs is needed</v>
      </c>
      <c r="I131" s="32" t="str">
        <f t="shared" si="27"/>
        <v>Gs is needed</v>
      </c>
      <c r="J131" s="32" t="str">
        <f t="shared" si="28"/>
        <v>Gs is needed</v>
      </c>
      <c r="K131" s="32" t="str">
        <f t="shared" si="30"/>
        <v>Need Max and Min</v>
      </c>
      <c r="L131" s="32" t="str">
        <f t="shared" si="31"/>
        <v>Need Max and Min</v>
      </c>
      <c r="M131" s="32" t="str">
        <f t="shared" si="32"/>
        <v>Fail</v>
      </c>
      <c r="N131" s="32"/>
      <c r="O131" s="31">
        <f>'mnt Data'!A134</f>
        <v>0</v>
      </c>
      <c r="P131" s="31">
        <f>'mnt Data'!B134</f>
        <v>0</v>
      </c>
      <c r="Q131" s="31">
        <f>'mnt Data'!C134</f>
        <v>0</v>
      </c>
      <c r="R131" s="31">
        <f>'mnt Data'!D134</f>
        <v>0</v>
      </c>
      <c r="S131" s="31">
        <f>'mnt Data'!E134</f>
        <v>0</v>
      </c>
      <c r="T131" s="31">
        <f>'mnt Data'!F134</f>
        <v>0</v>
      </c>
      <c r="U131" s="31">
        <f>'mnt Data'!G134</f>
        <v>0</v>
      </c>
      <c r="V131" s="31">
        <f>'mnt Data'!H134</f>
        <v>0</v>
      </c>
      <c r="W131" s="31">
        <f>'mnt Data'!I134</f>
        <v>0</v>
      </c>
      <c r="X131" s="31">
        <f>'mnt Data'!J134</f>
        <v>0</v>
      </c>
      <c r="Y131" s="31">
        <f>'mnt Data'!K134</f>
        <v>0</v>
      </c>
      <c r="Z131" s="31">
        <f>'mnt Data'!L134</f>
        <v>0</v>
      </c>
      <c r="AA131" s="31">
        <f>'mnt Data'!M134</f>
        <v>0</v>
      </c>
      <c r="AB131" s="31">
        <f>'mnt Data'!N134</f>
        <v>0</v>
      </c>
      <c r="AC131" s="31">
        <f>'mnt Data'!O134</f>
        <v>0</v>
      </c>
      <c r="AD131" s="31">
        <f>'mnt Data'!P134</f>
        <v>0</v>
      </c>
      <c r="AE131" s="31">
        <f>'mnt Data'!Q134</f>
        <v>0</v>
      </c>
      <c r="AF131" s="31">
        <f>'mnt Data'!R134</f>
        <v>0</v>
      </c>
      <c r="AG131" s="31">
        <f>'mnt Data'!S134</f>
        <v>0</v>
      </c>
      <c r="AH131" s="31">
        <f>'mnt Data'!T134</f>
        <v>0</v>
      </c>
      <c r="AI131" s="31">
        <f>'mnt Data'!U134</f>
        <v>0</v>
      </c>
      <c r="AJ131" s="31">
        <f>'mnt Data'!V134</f>
        <v>0</v>
      </c>
      <c r="AK131" s="31">
        <f>'mnt Data'!W134</f>
        <v>0</v>
      </c>
      <c r="AL131" s="31">
        <f>'mnt Data'!X134</f>
        <v>0</v>
      </c>
      <c r="AM131" s="31">
        <f>'mnt Data'!Y134</f>
        <v>0</v>
      </c>
      <c r="AN131" s="31">
        <f>'mnt Data'!Z134</f>
        <v>0</v>
      </c>
      <c r="AO131" s="31">
        <f>'mnt Data'!AA134</f>
        <v>0</v>
      </c>
      <c r="AP131" s="31">
        <f>'mnt Data'!AB134</f>
        <v>0</v>
      </c>
      <c r="AQ131" s="31">
        <f>'mnt Data'!AC134</f>
        <v>0</v>
      </c>
      <c r="AR131" s="31">
        <f>'mnt Data'!AD134</f>
        <v>0</v>
      </c>
      <c r="AS131" s="31">
        <f>'mnt Data'!AE134</f>
        <v>0</v>
      </c>
      <c r="AT131" s="31">
        <f>'mnt Data'!AF134</f>
        <v>0</v>
      </c>
      <c r="AU131" s="31">
        <f>'mnt Data'!AG134</f>
        <v>0</v>
      </c>
      <c r="AV131" s="31">
        <f>'mnt Data'!AH134</f>
        <v>0</v>
      </c>
      <c r="AW131" s="31">
        <f>'mnt Data'!AI134</f>
        <v>0</v>
      </c>
      <c r="AX131" s="31">
        <f>'mnt Data'!AJ134</f>
        <v>0</v>
      </c>
      <c r="AY131" s="31">
        <f>'mnt Data'!AK134</f>
        <v>0</v>
      </c>
    </row>
    <row r="132" spans="1:51" x14ac:dyDescent="0.25">
      <c r="A132">
        <v>131</v>
      </c>
      <c r="B132" s="32">
        <f t="shared" si="24"/>
        <v>0</v>
      </c>
      <c r="C132" s="32">
        <f t="shared" si="25"/>
        <v>0</v>
      </c>
      <c r="D132" s="32" t="str">
        <f t="shared" si="29"/>
        <v>No Gs</v>
      </c>
      <c r="E132" s="32">
        <f t="shared" si="33"/>
        <v>0</v>
      </c>
      <c r="F132" s="32" t="str">
        <f t="shared" si="34"/>
        <v>No Gs</v>
      </c>
      <c r="G132" s="32" t="str">
        <f t="shared" si="35"/>
        <v>No Gs</v>
      </c>
      <c r="H132" s="32" t="str">
        <f t="shared" si="26"/>
        <v>Gs is needed</v>
      </c>
      <c r="I132" s="32" t="str">
        <f t="shared" si="27"/>
        <v>Gs is needed</v>
      </c>
      <c r="J132" s="32" t="str">
        <f t="shared" si="28"/>
        <v>Gs is needed</v>
      </c>
      <c r="K132" s="32" t="str">
        <f t="shared" si="30"/>
        <v>Need Max and Min</v>
      </c>
      <c r="L132" s="32" t="str">
        <f t="shared" si="31"/>
        <v>Need Max and Min</v>
      </c>
      <c r="M132" s="32" t="str">
        <f t="shared" si="32"/>
        <v>Fail</v>
      </c>
      <c r="N132" s="32"/>
      <c r="O132" s="31">
        <f>'mnt Data'!A135</f>
        <v>0</v>
      </c>
      <c r="P132" s="31">
        <f>'mnt Data'!B135</f>
        <v>0</v>
      </c>
      <c r="Q132" s="31">
        <f>'mnt Data'!C135</f>
        <v>0</v>
      </c>
      <c r="R132" s="31">
        <f>'mnt Data'!D135</f>
        <v>0</v>
      </c>
      <c r="S132" s="31">
        <f>'mnt Data'!E135</f>
        <v>0</v>
      </c>
      <c r="T132" s="31">
        <f>'mnt Data'!F135</f>
        <v>0</v>
      </c>
      <c r="U132" s="31">
        <f>'mnt Data'!G135</f>
        <v>0</v>
      </c>
      <c r="V132" s="31">
        <f>'mnt Data'!H135</f>
        <v>0</v>
      </c>
      <c r="W132" s="31">
        <f>'mnt Data'!I135</f>
        <v>0</v>
      </c>
      <c r="X132" s="31">
        <f>'mnt Data'!J135</f>
        <v>0</v>
      </c>
      <c r="Y132" s="31">
        <f>'mnt Data'!K135</f>
        <v>0</v>
      </c>
      <c r="Z132" s="31">
        <f>'mnt Data'!L135</f>
        <v>0</v>
      </c>
      <c r="AA132" s="31">
        <f>'mnt Data'!M135</f>
        <v>0</v>
      </c>
      <c r="AB132" s="31">
        <f>'mnt Data'!N135</f>
        <v>0</v>
      </c>
      <c r="AC132" s="31">
        <f>'mnt Data'!O135</f>
        <v>0</v>
      </c>
      <c r="AD132" s="31">
        <f>'mnt Data'!P135</f>
        <v>0</v>
      </c>
      <c r="AE132" s="31">
        <f>'mnt Data'!Q135</f>
        <v>0</v>
      </c>
      <c r="AF132" s="31">
        <f>'mnt Data'!R135</f>
        <v>0</v>
      </c>
      <c r="AG132" s="31">
        <f>'mnt Data'!S135</f>
        <v>0</v>
      </c>
      <c r="AH132" s="31">
        <f>'mnt Data'!T135</f>
        <v>0</v>
      </c>
      <c r="AI132" s="31">
        <f>'mnt Data'!U135</f>
        <v>0</v>
      </c>
      <c r="AJ132" s="31">
        <f>'mnt Data'!V135</f>
        <v>0</v>
      </c>
      <c r="AK132" s="31">
        <f>'mnt Data'!W135</f>
        <v>0</v>
      </c>
      <c r="AL132" s="31">
        <f>'mnt Data'!X135</f>
        <v>0</v>
      </c>
      <c r="AM132" s="31">
        <f>'mnt Data'!Y135</f>
        <v>0</v>
      </c>
      <c r="AN132" s="31">
        <f>'mnt Data'!Z135</f>
        <v>0</v>
      </c>
      <c r="AO132" s="31">
        <f>'mnt Data'!AA135</f>
        <v>0</v>
      </c>
      <c r="AP132" s="31">
        <f>'mnt Data'!AB135</f>
        <v>0</v>
      </c>
      <c r="AQ132" s="31">
        <f>'mnt Data'!AC135</f>
        <v>0</v>
      </c>
      <c r="AR132" s="31">
        <f>'mnt Data'!AD135</f>
        <v>0</v>
      </c>
      <c r="AS132" s="31">
        <f>'mnt Data'!AE135</f>
        <v>0</v>
      </c>
      <c r="AT132" s="31">
        <f>'mnt Data'!AF135</f>
        <v>0</v>
      </c>
      <c r="AU132" s="31">
        <f>'mnt Data'!AG135</f>
        <v>0</v>
      </c>
      <c r="AV132" s="31">
        <f>'mnt Data'!AH135</f>
        <v>0</v>
      </c>
      <c r="AW132" s="31">
        <f>'mnt Data'!AI135</f>
        <v>0</v>
      </c>
      <c r="AX132" s="31">
        <f>'mnt Data'!AJ135</f>
        <v>0</v>
      </c>
      <c r="AY132" s="31">
        <f>'mnt Data'!AK135</f>
        <v>0</v>
      </c>
    </row>
    <row r="133" spans="1:51" x14ac:dyDescent="0.25">
      <c r="A133">
        <v>132</v>
      </c>
      <c r="B133" s="32">
        <f t="shared" si="24"/>
        <v>0</v>
      </c>
      <c r="C133" s="32">
        <f t="shared" si="25"/>
        <v>0</v>
      </c>
      <c r="D133" s="32" t="str">
        <f t="shared" si="29"/>
        <v>No Gs</v>
      </c>
      <c r="E133" s="32">
        <f t="shared" si="33"/>
        <v>0</v>
      </c>
      <c r="F133" s="32" t="str">
        <f t="shared" si="34"/>
        <v>No Gs</v>
      </c>
      <c r="G133" s="32" t="str">
        <f t="shared" si="35"/>
        <v>No Gs</v>
      </c>
      <c r="H133" s="32" t="str">
        <f t="shared" si="26"/>
        <v>Gs is needed</v>
      </c>
      <c r="I133" s="32" t="str">
        <f t="shared" si="27"/>
        <v>Gs is needed</v>
      </c>
      <c r="J133" s="32" t="str">
        <f t="shared" si="28"/>
        <v>Gs is needed</v>
      </c>
      <c r="K133" s="32" t="str">
        <f t="shared" si="30"/>
        <v>Need Max and Min</v>
      </c>
      <c r="L133" s="32" t="str">
        <f t="shared" si="31"/>
        <v>Need Max and Min</v>
      </c>
      <c r="M133" s="32" t="str">
        <f t="shared" si="32"/>
        <v>Fail</v>
      </c>
      <c r="N133" s="32"/>
      <c r="O133" s="31">
        <f>'mnt Data'!A136</f>
        <v>0</v>
      </c>
      <c r="P133" s="31">
        <f>'mnt Data'!B136</f>
        <v>0</v>
      </c>
      <c r="Q133" s="31">
        <f>'mnt Data'!C136</f>
        <v>0</v>
      </c>
      <c r="R133" s="31">
        <f>'mnt Data'!D136</f>
        <v>0</v>
      </c>
      <c r="S133" s="31">
        <f>'mnt Data'!E136</f>
        <v>0</v>
      </c>
      <c r="T133" s="31">
        <f>'mnt Data'!F136</f>
        <v>0</v>
      </c>
      <c r="U133" s="31">
        <f>'mnt Data'!G136</f>
        <v>0</v>
      </c>
      <c r="V133" s="31">
        <f>'mnt Data'!H136</f>
        <v>0</v>
      </c>
      <c r="W133" s="31">
        <f>'mnt Data'!I136</f>
        <v>0</v>
      </c>
      <c r="X133" s="31">
        <f>'mnt Data'!J136</f>
        <v>0</v>
      </c>
      <c r="Y133" s="31">
        <f>'mnt Data'!K136</f>
        <v>0</v>
      </c>
      <c r="Z133" s="31">
        <f>'mnt Data'!L136</f>
        <v>0</v>
      </c>
      <c r="AA133" s="31">
        <f>'mnt Data'!M136</f>
        <v>0</v>
      </c>
      <c r="AB133" s="31">
        <f>'mnt Data'!N136</f>
        <v>0</v>
      </c>
      <c r="AC133" s="31">
        <f>'mnt Data'!O136</f>
        <v>0</v>
      </c>
      <c r="AD133" s="31">
        <f>'mnt Data'!P136</f>
        <v>0</v>
      </c>
      <c r="AE133" s="31">
        <f>'mnt Data'!Q136</f>
        <v>0</v>
      </c>
      <c r="AF133" s="31">
        <f>'mnt Data'!R136</f>
        <v>0</v>
      </c>
      <c r="AG133" s="31">
        <f>'mnt Data'!S136</f>
        <v>0</v>
      </c>
      <c r="AH133" s="31">
        <f>'mnt Data'!T136</f>
        <v>0</v>
      </c>
      <c r="AI133" s="31">
        <f>'mnt Data'!U136</f>
        <v>0</v>
      </c>
      <c r="AJ133" s="31">
        <f>'mnt Data'!V136</f>
        <v>0</v>
      </c>
      <c r="AK133" s="31">
        <f>'mnt Data'!W136</f>
        <v>0</v>
      </c>
      <c r="AL133" s="31">
        <f>'mnt Data'!X136</f>
        <v>0</v>
      </c>
      <c r="AM133" s="31">
        <f>'mnt Data'!Y136</f>
        <v>0</v>
      </c>
      <c r="AN133" s="31">
        <f>'mnt Data'!Z136</f>
        <v>0</v>
      </c>
      <c r="AO133" s="31">
        <f>'mnt Data'!AA136</f>
        <v>0</v>
      </c>
      <c r="AP133" s="31">
        <f>'mnt Data'!AB136</f>
        <v>0</v>
      </c>
      <c r="AQ133" s="31">
        <f>'mnt Data'!AC136</f>
        <v>0</v>
      </c>
      <c r="AR133" s="31">
        <f>'mnt Data'!AD136</f>
        <v>0</v>
      </c>
      <c r="AS133" s="31">
        <f>'mnt Data'!AE136</f>
        <v>0</v>
      </c>
      <c r="AT133" s="31">
        <f>'mnt Data'!AF136</f>
        <v>0</v>
      </c>
      <c r="AU133" s="31">
        <f>'mnt Data'!AG136</f>
        <v>0</v>
      </c>
      <c r="AV133" s="31">
        <f>'mnt Data'!AH136</f>
        <v>0</v>
      </c>
      <c r="AW133" s="31">
        <f>'mnt Data'!AI136</f>
        <v>0</v>
      </c>
      <c r="AX133" s="31">
        <f>'mnt Data'!AJ136</f>
        <v>0</v>
      </c>
      <c r="AY133" s="31">
        <f>'mnt Data'!AK136</f>
        <v>0</v>
      </c>
    </row>
    <row r="134" spans="1:51" x14ac:dyDescent="0.25">
      <c r="A134">
        <v>133</v>
      </c>
      <c r="B134" s="32">
        <f t="shared" si="24"/>
        <v>0</v>
      </c>
      <c r="C134" s="32">
        <f t="shared" si="25"/>
        <v>0</v>
      </c>
      <c r="D134" s="32" t="str">
        <f t="shared" si="29"/>
        <v>No Gs</v>
      </c>
      <c r="E134" s="32">
        <f t="shared" si="33"/>
        <v>0</v>
      </c>
      <c r="F134" s="32" t="str">
        <f t="shared" si="34"/>
        <v>No Gs</v>
      </c>
      <c r="G134" s="32" t="str">
        <f t="shared" si="35"/>
        <v>No Gs</v>
      </c>
      <c r="H134" s="32" t="str">
        <f t="shared" si="26"/>
        <v>Gs is needed</v>
      </c>
      <c r="I134" s="32" t="str">
        <f t="shared" si="27"/>
        <v>Gs is needed</v>
      </c>
      <c r="J134" s="32" t="str">
        <f t="shared" si="28"/>
        <v>Gs is needed</v>
      </c>
      <c r="K134" s="32" t="str">
        <f t="shared" si="30"/>
        <v>Need Max and Min</v>
      </c>
      <c r="L134" s="32" t="str">
        <f t="shared" si="31"/>
        <v>Need Max and Min</v>
      </c>
      <c r="M134" s="32" t="str">
        <f t="shared" si="32"/>
        <v>Fail</v>
      </c>
      <c r="N134" s="32"/>
      <c r="O134" s="31">
        <f>'mnt Data'!A137</f>
        <v>0</v>
      </c>
      <c r="P134" s="31">
        <f>'mnt Data'!B137</f>
        <v>0</v>
      </c>
      <c r="Q134" s="31">
        <f>'mnt Data'!C137</f>
        <v>0</v>
      </c>
      <c r="R134" s="31">
        <f>'mnt Data'!D137</f>
        <v>0</v>
      </c>
      <c r="S134" s="31">
        <f>'mnt Data'!E137</f>
        <v>0</v>
      </c>
      <c r="T134" s="31">
        <f>'mnt Data'!F137</f>
        <v>0</v>
      </c>
      <c r="U134" s="31">
        <f>'mnt Data'!G137</f>
        <v>0</v>
      </c>
      <c r="V134" s="31">
        <f>'mnt Data'!H137</f>
        <v>0</v>
      </c>
      <c r="W134" s="31">
        <f>'mnt Data'!I137</f>
        <v>0</v>
      </c>
      <c r="X134" s="31">
        <f>'mnt Data'!J137</f>
        <v>0</v>
      </c>
      <c r="Y134" s="31">
        <f>'mnt Data'!K137</f>
        <v>0</v>
      </c>
      <c r="Z134" s="31">
        <f>'mnt Data'!L137</f>
        <v>0</v>
      </c>
      <c r="AA134" s="31">
        <f>'mnt Data'!M137</f>
        <v>0</v>
      </c>
      <c r="AB134" s="31">
        <f>'mnt Data'!N137</f>
        <v>0</v>
      </c>
      <c r="AC134" s="31">
        <f>'mnt Data'!O137</f>
        <v>0</v>
      </c>
      <c r="AD134" s="31">
        <f>'mnt Data'!P137</f>
        <v>0</v>
      </c>
      <c r="AE134" s="31">
        <f>'mnt Data'!Q137</f>
        <v>0</v>
      </c>
      <c r="AF134" s="31">
        <f>'mnt Data'!R137</f>
        <v>0</v>
      </c>
      <c r="AG134" s="31">
        <f>'mnt Data'!S137</f>
        <v>0</v>
      </c>
      <c r="AH134" s="31">
        <f>'mnt Data'!T137</f>
        <v>0</v>
      </c>
      <c r="AI134" s="31">
        <f>'mnt Data'!U137</f>
        <v>0</v>
      </c>
      <c r="AJ134" s="31">
        <f>'mnt Data'!V137</f>
        <v>0</v>
      </c>
      <c r="AK134" s="31">
        <f>'mnt Data'!W137</f>
        <v>0</v>
      </c>
      <c r="AL134" s="31">
        <f>'mnt Data'!X137</f>
        <v>0</v>
      </c>
      <c r="AM134" s="31">
        <f>'mnt Data'!Y137</f>
        <v>0</v>
      </c>
      <c r="AN134" s="31">
        <f>'mnt Data'!Z137</f>
        <v>0</v>
      </c>
      <c r="AO134" s="31">
        <f>'mnt Data'!AA137</f>
        <v>0</v>
      </c>
      <c r="AP134" s="31">
        <f>'mnt Data'!AB137</f>
        <v>0</v>
      </c>
      <c r="AQ134" s="31">
        <f>'mnt Data'!AC137</f>
        <v>0</v>
      </c>
      <c r="AR134" s="31">
        <f>'mnt Data'!AD137</f>
        <v>0</v>
      </c>
      <c r="AS134" s="31">
        <f>'mnt Data'!AE137</f>
        <v>0</v>
      </c>
      <c r="AT134" s="31">
        <f>'mnt Data'!AF137</f>
        <v>0</v>
      </c>
      <c r="AU134" s="31">
        <f>'mnt Data'!AG137</f>
        <v>0</v>
      </c>
      <c r="AV134" s="31">
        <f>'mnt Data'!AH137</f>
        <v>0</v>
      </c>
      <c r="AW134" s="31">
        <f>'mnt Data'!AI137</f>
        <v>0</v>
      </c>
      <c r="AX134" s="31">
        <f>'mnt Data'!AJ137</f>
        <v>0</v>
      </c>
      <c r="AY134" s="31">
        <f>'mnt Data'!AK137</f>
        <v>0</v>
      </c>
    </row>
    <row r="135" spans="1:51" x14ac:dyDescent="0.25">
      <c r="A135">
        <v>134</v>
      </c>
      <c r="B135" s="32">
        <f t="shared" si="24"/>
        <v>0</v>
      </c>
      <c r="C135" s="32">
        <f t="shared" si="25"/>
        <v>0</v>
      </c>
      <c r="D135" s="32" t="str">
        <f t="shared" si="29"/>
        <v>No Gs</v>
      </c>
      <c r="E135" s="32">
        <f t="shared" si="33"/>
        <v>0</v>
      </c>
      <c r="F135" s="32" t="str">
        <f t="shared" si="34"/>
        <v>No Gs</v>
      </c>
      <c r="G135" s="32" t="str">
        <f t="shared" si="35"/>
        <v>No Gs</v>
      </c>
      <c r="H135" s="32" t="str">
        <f t="shared" si="26"/>
        <v>Gs is needed</v>
      </c>
      <c r="I135" s="32" t="str">
        <f t="shared" si="27"/>
        <v>Gs is needed</v>
      </c>
      <c r="J135" s="32" t="str">
        <f t="shared" si="28"/>
        <v>Gs is needed</v>
      </c>
      <c r="K135" s="32" t="str">
        <f t="shared" si="30"/>
        <v>Need Max and Min</v>
      </c>
      <c r="L135" s="32" t="str">
        <f t="shared" si="31"/>
        <v>Need Max and Min</v>
      </c>
      <c r="M135" s="32" t="str">
        <f t="shared" si="32"/>
        <v>Fail</v>
      </c>
      <c r="N135" s="32"/>
      <c r="O135" s="31">
        <f>'mnt Data'!A138</f>
        <v>0</v>
      </c>
      <c r="P135" s="31">
        <f>'mnt Data'!B138</f>
        <v>0</v>
      </c>
      <c r="Q135" s="31">
        <f>'mnt Data'!C138</f>
        <v>0</v>
      </c>
      <c r="R135" s="31">
        <f>'mnt Data'!D138</f>
        <v>0</v>
      </c>
      <c r="S135" s="31">
        <f>'mnt Data'!E138</f>
        <v>0</v>
      </c>
      <c r="T135" s="31">
        <f>'mnt Data'!F138</f>
        <v>0</v>
      </c>
      <c r="U135" s="31">
        <f>'mnt Data'!G138</f>
        <v>0</v>
      </c>
      <c r="V135" s="31">
        <f>'mnt Data'!H138</f>
        <v>0</v>
      </c>
      <c r="W135" s="31">
        <f>'mnt Data'!I138</f>
        <v>0</v>
      </c>
      <c r="X135" s="31">
        <f>'mnt Data'!J138</f>
        <v>0</v>
      </c>
      <c r="Y135" s="31">
        <f>'mnt Data'!K138</f>
        <v>0</v>
      </c>
      <c r="Z135" s="31">
        <f>'mnt Data'!L138</f>
        <v>0</v>
      </c>
      <c r="AA135" s="31">
        <f>'mnt Data'!M138</f>
        <v>0</v>
      </c>
      <c r="AB135" s="31">
        <f>'mnt Data'!N138</f>
        <v>0</v>
      </c>
      <c r="AC135" s="31">
        <f>'mnt Data'!O138</f>
        <v>0</v>
      </c>
      <c r="AD135" s="31">
        <f>'mnt Data'!P138</f>
        <v>0</v>
      </c>
      <c r="AE135" s="31">
        <f>'mnt Data'!Q138</f>
        <v>0</v>
      </c>
      <c r="AF135" s="31">
        <f>'mnt Data'!R138</f>
        <v>0</v>
      </c>
      <c r="AG135" s="31">
        <f>'mnt Data'!S138</f>
        <v>0</v>
      </c>
      <c r="AH135" s="31">
        <f>'mnt Data'!T138</f>
        <v>0</v>
      </c>
      <c r="AI135" s="31">
        <f>'mnt Data'!U138</f>
        <v>0</v>
      </c>
      <c r="AJ135" s="31">
        <f>'mnt Data'!V138</f>
        <v>0</v>
      </c>
      <c r="AK135" s="31">
        <f>'mnt Data'!W138</f>
        <v>0</v>
      </c>
      <c r="AL135" s="31">
        <f>'mnt Data'!X138</f>
        <v>0</v>
      </c>
      <c r="AM135" s="31">
        <f>'mnt Data'!Y138</f>
        <v>0</v>
      </c>
      <c r="AN135" s="31">
        <f>'mnt Data'!Z138</f>
        <v>0</v>
      </c>
      <c r="AO135" s="31">
        <f>'mnt Data'!AA138</f>
        <v>0</v>
      </c>
      <c r="AP135" s="31">
        <f>'mnt Data'!AB138</f>
        <v>0</v>
      </c>
      <c r="AQ135" s="31">
        <f>'mnt Data'!AC138</f>
        <v>0</v>
      </c>
      <c r="AR135" s="31">
        <f>'mnt Data'!AD138</f>
        <v>0</v>
      </c>
      <c r="AS135" s="31">
        <f>'mnt Data'!AE138</f>
        <v>0</v>
      </c>
      <c r="AT135" s="31">
        <f>'mnt Data'!AF138</f>
        <v>0</v>
      </c>
      <c r="AU135" s="31">
        <f>'mnt Data'!AG138</f>
        <v>0</v>
      </c>
      <c r="AV135" s="31">
        <f>'mnt Data'!AH138</f>
        <v>0</v>
      </c>
      <c r="AW135" s="31">
        <f>'mnt Data'!AI138</f>
        <v>0</v>
      </c>
      <c r="AX135" s="31">
        <f>'mnt Data'!AJ138</f>
        <v>0</v>
      </c>
      <c r="AY135" s="31">
        <f>'mnt Data'!AK138</f>
        <v>0</v>
      </c>
    </row>
    <row r="136" spans="1:51" x14ac:dyDescent="0.25">
      <c r="A136">
        <v>135</v>
      </c>
      <c r="B136" s="32">
        <f t="shared" si="24"/>
        <v>0</v>
      </c>
      <c r="C136" s="32">
        <f t="shared" si="25"/>
        <v>0</v>
      </c>
      <c r="D136" s="32" t="str">
        <f t="shared" si="29"/>
        <v>No Gs</v>
      </c>
      <c r="E136" s="32">
        <f t="shared" si="33"/>
        <v>0</v>
      </c>
      <c r="F136" s="32" t="str">
        <f t="shared" si="34"/>
        <v>No Gs</v>
      </c>
      <c r="G136" s="32" t="str">
        <f t="shared" si="35"/>
        <v>No Gs</v>
      </c>
      <c r="H136" s="32" t="str">
        <f t="shared" si="26"/>
        <v>Gs is needed</v>
      </c>
      <c r="I136" s="32" t="str">
        <f t="shared" si="27"/>
        <v>Gs is needed</v>
      </c>
      <c r="J136" s="32" t="str">
        <f t="shared" si="28"/>
        <v>Gs is needed</v>
      </c>
      <c r="K136" s="32" t="str">
        <f t="shared" si="30"/>
        <v>Need Max and Min</v>
      </c>
      <c r="L136" s="32" t="str">
        <f t="shared" si="31"/>
        <v>Need Max and Min</v>
      </c>
      <c r="M136" s="32" t="str">
        <f t="shared" si="32"/>
        <v>Fail</v>
      </c>
      <c r="N136" s="32"/>
      <c r="O136" s="31">
        <f>'mnt Data'!A139</f>
        <v>0</v>
      </c>
      <c r="P136" s="31">
        <f>'mnt Data'!B139</f>
        <v>0</v>
      </c>
      <c r="Q136" s="31">
        <f>'mnt Data'!C139</f>
        <v>0</v>
      </c>
      <c r="R136" s="31">
        <f>'mnt Data'!D139</f>
        <v>0</v>
      </c>
      <c r="S136" s="31">
        <f>'mnt Data'!E139</f>
        <v>0</v>
      </c>
      <c r="T136" s="31">
        <f>'mnt Data'!F139</f>
        <v>0</v>
      </c>
      <c r="U136" s="31">
        <f>'mnt Data'!G139</f>
        <v>0</v>
      </c>
      <c r="V136" s="31">
        <f>'mnt Data'!H139</f>
        <v>0</v>
      </c>
      <c r="W136" s="31">
        <f>'mnt Data'!I139</f>
        <v>0</v>
      </c>
      <c r="X136" s="31">
        <f>'mnt Data'!J139</f>
        <v>0</v>
      </c>
      <c r="Y136" s="31">
        <f>'mnt Data'!K139</f>
        <v>0</v>
      </c>
      <c r="Z136" s="31">
        <f>'mnt Data'!L139</f>
        <v>0</v>
      </c>
      <c r="AA136" s="31">
        <f>'mnt Data'!M139</f>
        <v>0</v>
      </c>
      <c r="AB136" s="31">
        <f>'mnt Data'!N139</f>
        <v>0</v>
      </c>
      <c r="AC136" s="31">
        <f>'mnt Data'!O139</f>
        <v>0</v>
      </c>
      <c r="AD136" s="31">
        <f>'mnt Data'!P139</f>
        <v>0</v>
      </c>
      <c r="AE136" s="31">
        <f>'mnt Data'!Q139</f>
        <v>0</v>
      </c>
      <c r="AF136" s="31">
        <f>'mnt Data'!R139</f>
        <v>0</v>
      </c>
      <c r="AG136" s="31">
        <f>'mnt Data'!S139</f>
        <v>0</v>
      </c>
      <c r="AH136" s="31">
        <f>'mnt Data'!T139</f>
        <v>0</v>
      </c>
      <c r="AI136" s="31">
        <f>'mnt Data'!U139</f>
        <v>0</v>
      </c>
      <c r="AJ136" s="31">
        <f>'mnt Data'!V139</f>
        <v>0</v>
      </c>
      <c r="AK136" s="31">
        <f>'mnt Data'!W139</f>
        <v>0</v>
      </c>
      <c r="AL136" s="31">
        <f>'mnt Data'!X139</f>
        <v>0</v>
      </c>
      <c r="AM136" s="31">
        <f>'mnt Data'!Y139</f>
        <v>0</v>
      </c>
      <c r="AN136" s="31">
        <f>'mnt Data'!Z139</f>
        <v>0</v>
      </c>
      <c r="AO136" s="31">
        <f>'mnt Data'!AA139</f>
        <v>0</v>
      </c>
      <c r="AP136" s="31">
        <f>'mnt Data'!AB139</f>
        <v>0</v>
      </c>
      <c r="AQ136" s="31">
        <f>'mnt Data'!AC139</f>
        <v>0</v>
      </c>
      <c r="AR136" s="31">
        <f>'mnt Data'!AD139</f>
        <v>0</v>
      </c>
      <c r="AS136" s="31">
        <f>'mnt Data'!AE139</f>
        <v>0</v>
      </c>
      <c r="AT136" s="31">
        <f>'mnt Data'!AF139</f>
        <v>0</v>
      </c>
      <c r="AU136" s="31">
        <f>'mnt Data'!AG139</f>
        <v>0</v>
      </c>
      <c r="AV136" s="31">
        <f>'mnt Data'!AH139</f>
        <v>0</v>
      </c>
      <c r="AW136" s="31">
        <f>'mnt Data'!AI139</f>
        <v>0</v>
      </c>
      <c r="AX136" s="31">
        <f>'mnt Data'!AJ139</f>
        <v>0</v>
      </c>
      <c r="AY136" s="31">
        <f>'mnt Data'!AK139</f>
        <v>0</v>
      </c>
    </row>
    <row r="137" spans="1:51" x14ac:dyDescent="0.25">
      <c r="A137">
        <v>136</v>
      </c>
      <c r="B137" s="32">
        <f t="shared" si="24"/>
        <v>0</v>
      </c>
      <c r="C137" s="32">
        <f t="shared" si="25"/>
        <v>0</v>
      </c>
      <c r="D137" s="32" t="str">
        <f t="shared" si="29"/>
        <v>No Gs</v>
      </c>
      <c r="E137" s="32">
        <f t="shared" si="33"/>
        <v>0</v>
      </c>
      <c r="F137" s="32" t="str">
        <f t="shared" si="34"/>
        <v>No Gs</v>
      </c>
      <c r="G137" s="32" t="str">
        <f t="shared" si="35"/>
        <v>No Gs</v>
      </c>
      <c r="H137" s="32" t="str">
        <f t="shared" si="26"/>
        <v>Gs is needed</v>
      </c>
      <c r="I137" s="32" t="str">
        <f t="shared" si="27"/>
        <v>Gs is needed</v>
      </c>
      <c r="J137" s="32" t="str">
        <f t="shared" si="28"/>
        <v>Gs is needed</v>
      </c>
      <c r="K137" s="32" t="str">
        <f t="shared" si="30"/>
        <v>Need Max and Min</v>
      </c>
      <c r="L137" s="32" t="str">
        <f t="shared" si="31"/>
        <v>Need Max and Min</v>
      </c>
      <c r="M137" s="32" t="str">
        <f t="shared" si="32"/>
        <v>Fail</v>
      </c>
      <c r="N137" s="32"/>
      <c r="O137" s="31">
        <f>'mnt Data'!A140</f>
        <v>0</v>
      </c>
      <c r="P137" s="31">
        <f>'mnt Data'!B140</f>
        <v>0</v>
      </c>
      <c r="Q137" s="31">
        <f>'mnt Data'!C140</f>
        <v>0</v>
      </c>
      <c r="R137" s="31">
        <f>'mnt Data'!D140</f>
        <v>0</v>
      </c>
      <c r="S137" s="31">
        <f>'mnt Data'!E140</f>
        <v>0</v>
      </c>
      <c r="T137" s="31">
        <f>'mnt Data'!F140</f>
        <v>0</v>
      </c>
      <c r="U137" s="31">
        <f>'mnt Data'!G140</f>
        <v>0</v>
      </c>
      <c r="V137" s="31">
        <f>'mnt Data'!H140</f>
        <v>0</v>
      </c>
      <c r="W137" s="31">
        <f>'mnt Data'!I140</f>
        <v>0</v>
      </c>
      <c r="X137" s="31">
        <f>'mnt Data'!J140</f>
        <v>0</v>
      </c>
      <c r="Y137" s="31">
        <f>'mnt Data'!K140</f>
        <v>0</v>
      </c>
      <c r="Z137" s="31">
        <f>'mnt Data'!L140</f>
        <v>0</v>
      </c>
      <c r="AA137" s="31">
        <f>'mnt Data'!M140</f>
        <v>0</v>
      </c>
      <c r="AB137" s="31">
        <f>'mnt Data'!N140</f>
        <v>0</v>
      </c>
      <c r="AC137" s="31">
        <f>'mnt Data'!O140</f>
        <v>0</v>
      </c>
      <c r="AD137" s="31">
        <f>'mnt Data'!P140</f>
        <v>0</v>
      </c>
      <c r="AE137" s="31">
        <f>'mnt Data'!Q140</f>
        <v>0</v>
      </c>
      <c r="AF137" s="31">
        <f>'mnt Data'!R140</f>
        <v>0</v>
      </c>
      <c r="AG137" s="31">
        <f>'mnt Data'!S140</f>
        <v>0</v>
      </c>
      <c r="AH137" s="31">
        <f>'mnt Data'!T140</f>
        <v>0</v>
      </c>
      <c r="AI137" s="31">
        <f>'mnt Data'!U140</f>
        <v>0</v>
      </c>
      <c r="AJ137" s="31">
        <f>'mnt Data'!V140</f>
        <v>0</v>
      </c>
      <c r="AK137" s="31">
        <f>'mnt Data'!W140</f>
        <v>0</v>
      </c>
      <c r="AL137" s="31">
        <f>'mnt Data'!X140</f>
        <v>0</v>
      </c>
      <c r="AM137" s="31">
        <f>'mnt Data'!Y140</f>
        <v>0</v>
      </c>
      <c r="AN137" s="31">
        <f>'mnt Data'!Z140</f>
        <v>0</v>
      </c>
      <c r="AO137" s="31">
        <f>'mnt Data'!AA140</f>
        <v>0</v>
      </c>
      <c r="AP137" s="31">
        <f>'mnt Data'!AB140</f>
        <v>0</v>
      </c>
      <c r="AQ137" s="31">
        <f>'mnt Data'!AC140</f>
        <v>0</v>
      </c>
      <c r="AR137" s="31">
        <f>'mnt Data'!AD140</f>
        <v>0</v>
      </c>
      <c r="AS137" s="31">
        <f>'mnt Data'!AE140</f>
        <v>0</v>
      </c>
      <c r="AT137" s="31">
        <f>'mnt Data'!AF140</f>
        <v>0</v>
      </c>
      <c r="AU137" s="31">
        <f>'mnt Data'!AG140</f>
        <v>0</v>
      </c>
      <c r="AV137" s="31">
        <f>'mnt Data'!AH140</f>
        <v>0</v>
      </c>
      <c r="AW137" s="31">
        <f>'mnt Data'!AI140</f>
        <v>0</v>
      </c>
      <c r="AX137" s="31">
        <f>'mnt Data'!AJ140</f>
        <v>0</v>
      </c>
      <c r="AY137" s="31">
        <f>'mnt Data'!AK140</f>
        <v>0</v>
      </c>
    </row>
    <row r="138" spans="1:51" x14ac:dyDescent="0.25">
      <c r="A138">
        <v>137</v>
      </c>
      <c r="B138" s="32">
        <f t="shared" si="24"/>
        <v>0</v>
      </c>
      <c r="C138" s="32">
        <f t="shared" si="25"/>
        <v>0</v>
      </c>
      <c r="D138" s="32" t="str">
        <f t="shared" si="29"/>
        <v>No Gs</v>
      </c>
      <c r="E138" s="32">
        <f t="shared" si="33"/>
        <v>0</v>
      </c>
      <c r="F138" s="32" t="str">
        <f t="shared" si="34"/>
        <v>No Gs</v>
      </c>
      <c r="G138" s="32" t="str">
        <f t="shared" si="35"/>
        <v>No Gs</v>
      </c>
      <c r="H138" s="32" t="str">
        <f t="shared" si="26"/>
        <v>Gs is needed</v>
      </c>
      <c r="I138" s="32" t="str">
        <f t="shared" si="27"/>
        <v>Gs is needed</v>
      </c>
      <c r="J138" s="32" t="str">
        <f t="shared" si="28"/>
        <v>Gs is needed</v>
      </c>
      <c r="K138" s="32" t="str">
        <f t="shared" si="30"/>
        <v>Need Max and Min</v>
      </c>
      <c r="L138" s="32" t="str">
        <f t="shared" si="31"/>
        <v>Need Max and Min</v>
      </c>
      <c r="M138" s="32" t="str">
        <f t="shared" si="32"/>
        <v>Fail</v>
      </c>
      <c r="N138" s="32"/>
      <c r="O138" s="31">
        <f>'mnt Data'!A141</f>
        <v>0</v>
      </c>
      <c r="P138" s="31">
        <f>'mnt Data'!B141</f>
        <v>0</v>
      </c>
      <c r="Q138" s="31">
        <f>'mnt Data'!C141</f>
        <v>0</v>
      </c>
      <c r="R138" s="31">
        <f>'mnt Data'!D141</f>
        <v>0</v>
      </c>
      <c r="S138" s="31">
        <f>'mnt Data'!E141</f>
        <v>0</v>
      </c>
      <c r="T138" s="31">
        <f>'mnt Data'!F141</f>
        <v>0</v>
      </c>
      <c r="U138" s="31">
        <f>'mnt Data'!G141</f>
        <v>0</v>
      </c>
      <c r="V138" s="31">
        <f>'mnt Data'!H141</f>
        <v>0</v>
      </c>
      <c r="W138" s="31">
        <f>'mnt Data'!I141</f>
        <v>0</v>
      </c>
      <c r="X138" s="31">
        <f>'mnt Data'!J141</f>
        <v>0</v>
      </c>
      <c r="Y138" s="31">
        <f>'mnt Data'!K141</f>
        <v>0</v>
      </c>
      <c r="Z138" s="31">
        <f>'mnt Data'!L141</f>
        <v>0</v>
      </c>
      <c r="AA138" s="31">
        <f>'mnt Data'!M141</f>
        <v>0</v>
      </c>
      <c r="AB138" s="31">
        <f>'mnt Data'!N141</f>
        <v>0</v>
      </c>
      <c r="AC138" s="31">
        <f>'mnt Data'!O141</f>
        <v>0</v>
      </c>
      <c r="AD138" s="31">
        <f>'mnt Data'!P141</f>
        <v>0</v>
      </c>
      <c r="AE138" s="31">
        <f>'mnt Data'!Q141</f>
        <v>0</v>
      </c>
      <c r="AF138" s="31">
        <f>'mnt Data'!R141</f>
        <v>0</v>
      </c>
      <c r="AG138" s="31">
        <f>'mnt Data'!S141</f>
        <v>0</v>
      </c>
      <c r="AH138" s="31">
        <f>'mnt Data'!T141</f>
        <v>0</v>
      </c>
      <c r="AI138" s="31">
        <f>'mnt Data'!U141</f>
        <v>0</v>
      </c>
      <c r="AJ138" s="31">
        <f>'mnt Data'!V141</f>
        <v>0</v>
      </c>
      <c r="AK138" s="31">
        <f>'mnt Data'!W141</f>
        <v>0</v>
      </c>
      <c r="AL138" s="31">
        <f>'mnt Data'!X141</f>
        <v>0</v>
      </c>
      <c r="AM138" s="31">
        <f>'mnt Data'!Y141</f>
        <v>0</v>
      </c>
      <c r="AN138" s="31">
        <f>'mnt Data'!Z141</f>
        <v>0</v>
      </c>
      <c r="AO138" s="31">
        <f>'mnt Data'!AA141</f>
        <v>0</v>
      </c>
      <c r="AP138" s="31">
        <f>'mnt Data'!AB141</f>
        <v>0</v>
      </c>
      <c r="AQ138" s="31">
        <f>'mnt Data'!AC141</f>
        <v>0</v>
      </c>
      <c r="AR138" s="31">
        <f>'mnt Data'!AD141</f>
        <v>0</v>
      </c>
      <c r="AS138" s="31">
        <f>'mnt Data'!AE141</f>
        <v>0</v>
      </c>
      <c r="AT138" s="31">
        <f>'mnt Data'!AF141</f>
        <v>0</v>
      </c>
      <c r="AU138" s="31">
        <f>'mnt Data'!AG141</f>
        <v>0</v>
      </c>
      <c r="AV138" s="31">
        <f>'mnt Data'!AH141</f>
        <v>0</v>
      </c>
      <c r="AW138" s="31">
        <f>'mnt Data'!AI141</f>
        <v>0</v>
      </c>
      <c r="AX138" s="31">
        <f>'mnt Data'!AJ141</f>
        <v>0</v>
      </c>
      <c r="AY138" s="31">
        <f>'mnt Data'!AK141</f>
        <v>0</v>
      </c>
    </row>
    <row r="139" spans="1:51" x14ac:dyDescent="0.25">
      <c r="A139">
        <v>138</v>
      </c>
      <c r="B139" s="32">
        <f t="shared" si="24"/>
        <v>0</v>
      </c>
      <c r="C139" s="32">
        <f t="shared" si="25"/>
        <v>0</v>
      </c>
      <c r="D139" s="32" t="str">
        <f t="shared" si="29"/>
        <v>No Gs</v>
      </c>
      <c r="E139" s="32">
        <f t="shared" si="33"/>
        <v>0</v>
      </c>
      <c r="F139" s="32" t="str">
        <f t="shared" si="34"/>
        <v>No Gs</v>
      </c>
      <c r="G139" s="32" t="str">
        <f t="shared" si="35"/>
        <v>No Gs</v>
      </c>
      <c r="H139" s="32" t="str">
        <f t="shared" si="26"/>
        <v>Gs is needed</v>
      </c>
      <c r="I139" s="32" t="str">
        <f t="shared" si="27"/>
        <v>Gs is needed</v>
      </c>
      <c r="J139" s="32" t="str">
        <f t="shared" si="28"/>
        <v>Gs is needed</v>
      </c>
      <c r="K139" s="32" t="str">
        <f t="shared" si="30"/>
        <v>Need Max and Min</v>
      </c>
      <c r="L139" s="32" t="str">
        <f t="shared" si="31"/>
        <v>Need Max and Min</v>
      </c>
      <c r="M139" s="32" t="str">
        <f t="shared" si="32"/>
        <v>Fail</v>
      </c>
      <c r="N139" s="32"/>
      <c r="O139" s="31">
        <f>'mnt Data'!A142</f>
        <v>0</v>
      </c>
      <c r="P139" s="31">
        <f>'mnt Data'!B142</f>
        <v>0</v>
      </c>
      <c r="Q139" s="31">
        <f>'mnt Data'!C142</f>
        <v>0</v>
      </c>
      <c r="R139" s="31">
        <f>'mnt Data'!D142</f>
        <v>0</v>
      </c>
      <c r="S139" s="31">
        <f>'mnt Data'!E142</f>
        <v>0</v>
      </c>
      <c r="T139" s="31">
        <f>'mnt Data'!F142</f>
        <v>0</v>
      </c>
      <c r="U139" s="31">
        <f>'mnt Data'!G142</f>
        <v>0</v>
      </c>
      <c r="V139" s="31">
        <f>'mnt Data'!H142</f>
        <v>0</v>
      </c>
      <c r="W139" s="31">
        <f>'mnt Data'!I142</f>
        <v>0</v>
      </c>
      <c r="X139" s="31">
        <f>'mnt Data'!J142</f>
        <v>0</v>
      </c>
      <c r="Y139" s="31">
        <f>'mnt Data'!K142</f>
        <v>0</v>
      </c>
      <c r="Z139" s="31">
        <f>'mnt Data'!L142</f>
        <v>0</v>
      </c>
      <c r="AA139" s="31">
        <f>'mnt Data'!M142</f>
        <v>0</v>
      </c>
      <c r="AB139" s="31">
        <f>'mnt Data'!N142</f>
        <v>0</v>
      </c>
      <c r="AC139" s="31">
        <f>'mnt Data'!O142</f>
        <v>0</v>
      </c>
      <c r="AD139" s="31">
        <f>'mnt Data'!P142</f>
        <v>0</v>
      </c>
      <c r="AE139" s="31">
        <f>'mnt Data'!Q142</f>
        <v>0</v>
      </c>
      <c r="AF139" s="31">
        <f>'mnt Data'!R142</f>
        <v>0</v>
      </c>
      <c r="AG139" s="31">
        <f>'mnt Data'!S142</f>
        <v>0</v>
      </c>
      <c r="AH139" s="31">
        <f>'mnt Data'!T142</f>
        <v>0</v>
      </c>
      <c r="AI139" s="31">
        <f>'mnt Data'!U142</f>
        <v>0</v>
      </c>
      <c r="AJ139" s="31">
        <f>'mnt Data'!V142</f>
        <v>0</v>
      </c>
      <c r="AK139" s="31">
        <f>'mnt Data'!W142</f>
        <v>0</v>
      </c>
      <c r="AL139" s="31">
        <f>'mnt Data'!X142</f>
        <v>0</v>
      </c>
      <c r="AM139" s="31">
        <f>'mnt Data'!Y142</f>
        <v>0</v>
      </c>
      <c r="AN139" s="31">
        <f>'mnt Data'!Z142</f>
        <v>0</v>
      </c>
      <c r="AO139" s="31">
        <f>'mnt Data'!AA142</f>
        <v>0</v>
      </c>
      <c r="AP139" s="31">
        <f>'mnt Data'!AB142</f>
        <v>0</v>
      </c>
      <c r="AQ139" s="31">
        <f>'mnt Data'!AC142</f>
        <v>0</v>
      </c>
      <c r="AR139" s="31">
        <f>'mnt Data'!AD142</f>
        <v>0</v>
      </c>
      <c r="AS139" s="31">
        <f>'mnt Data'!AE142</f>
        <v>0</v>
      </c>
      <c r="AT139" s="31">
        <f>'mnt Data'!AF142</f>
        <v>0</v>
      </c>
      <c r="AU139" s="31">
        <f>'mnt Data'!AG142</f>
        <v>0</v>
      </c>
      <c r="AV139" s="31">
        <f>'mnt Data'!AH142</f>
        <v>0</v>
      </c>
      <c r="AW139" s="31">
        <f>'mnt Data'!AI142</f>
        <v>0</v>
      </c>
      <c r="AX139" s="31">
        <f>'mnt Data'!AJ142</f>
        <v>0</v>
      </c>
      <c r="AY139" s="31">
        <f>'mnt Data'!AK142</f>
        <v>0</v>
      </c>
    </row>
    <row r="140" spans="1:51" x14ac:dyDescent="0.25">
      <c r="A140">
        <v>139</v>
      </c>
      <c r="B140" s="32">
        <f t="shared" si="24"/>
        <v>0</v>
      </c>
      <c r="C140" s="32">
        <f t="shared" si="25"/>
        <v>0</v>
      </c>
      <c r="D140" s="32" t="str">
        <f t="shared" si="29"/>
        <v>No Gs</v>
      </c>
      <c r="E140" s="32">
        <f t="shared" si="33"/>
        <v>0</v>
      </c>
      <c r="F140" s="32" t="str">
        <f t="shared" si="34"/>
        <v>No Gs</v>
      </c>
      <c r="G140" s="32" t="str">
        <f t="shared" si="35"/>
        <v>No Gs</v>
      </c>
      <c r="H140" s="32" t="str">
        <f t="shared" si="26"/>
        <v>Gs is needed</v>
      </c>
      <c r="I140" s="32" t="str">
        <f t="shared" si="27"/>
        <v>Gs is needed</v>
      </c>
      <c r="J140" s="32" t="str">
        <f t="shared" si="28"/>
        <v>Gs is needed</v>
      </c>
      <c r="K140" s="32" t="str">
        <f t="shared" si="30"/>
        <v>Need Max and Min</v>
      </c>
      <c r="L140" s="32" t="str">
        <f t="shared" si="31"/>
        <v>Need Max and Min</v>
      </c>
      <c r="M140" s="32" t="str">
        <f t="shared" si="32"/>
        <v>Fail</v>
      </c>
      <c r="N140" s="32"/>
      <c r="O140" s="31">
        <f>'mnt Data'!A143</f>
        <v>0</v>
      </c>
      <c r="P140" s="31">
        <f>'mnt Data'!B143</f>
        <v>0</v>
      </c>
      <c r="Q140" s="31">
        <f>'mnt Data'!C143</f>
        <v>0</v>
      </c>
      <c r="R140" s="31">
        <f>'mnt Data'!D143</f>
        <v>0</v>
      </c>
      <c r="S140" s="31">
        <f>'mnt Data'!E143</f>
        <v>0</v>
      </c>
      <c r="T140" s="31">
        <f>'mnt Data'!F143</f>
        <v>0</v>
      </c>
      <c r="U140" s="31">
        <f>'mnt Data'!G143</f>
        <v>0</v>
      </c>
      <c r="V140" s="31">
        <f>'mnt Data'!H143</f>
        <v>0</v>
      </c>
      <c r="W140" s="31">
        <f>'mnt Data'!I143</f>
        <v>0</v>
      </c>
      <c r="X140" s="31">
        <f>'mnt Data'!J143</f>
        <v>0</v>
      </c>
      <c r="Y140" s="31">
        <f>'mnt Data'!K143</f>
        <v>0</v>
      </c>
      <c r="Z140" s="31">
        <f>'mnt Data'!L143</f>
        <v>0</v>
      </c>
      <c r="AA140" s="31">
        <f>'mnt Data'!M143</f>
        <v>0</v>
      </c>
      <c r="AB140" s="31">
        <f>'mnt Data'!N143</f>
        <v>0</v>
      </c>
      <c r="AC140" s="31">
        <f>'mnt Data'!O143</f>
        <v>0</v>
      </c>
      <c r="AD140" s="31">
        <f>'mnt Data'!P143</f>
        <v>0</v>
      </c>
      <c r="AE140" s="31">
        <f>'mnt Data'!Q143</f>
        <v>0</v>
      </c>
      <c r="AF140" s="31">
        <f>'mnt Data'!R143</f>
        <v>0</v>
      </c>
      <c r="AG140" s="31">
        <f>'mnt Data'!S143</f>
        <v>0</v>
      </c>
      <c r="AH140" s="31">
        <f>'mnt Data'!T143</f>
        <v>0</v>
      </c>
      <c r="AI140" s="31">
        <f>'mnt Data'!U143</f>
        <v>0</v>
      </c>
      <c r="AJ140" s="31">
        <f>'mnt Data'!V143</f>
        <v>0</v>
      </c>
      <c r="AK140" s="31">
        <f>'mnt Data'!W143</f>
        <v>0</v>
      </c>
      <c r="AL140" s="31">
        <f>'mnt Data'!X143</f>
        <v>0</v>
      </c>
      <c r="AM140" s="31">
        <f>'mnt Data'!Y143</f>
        <v>0</v>
      </c>
      <c r="AN140" s="31">
        <f>'mnt Data'!Z143</f>
        <v>0</v>
      </c>
      <c r="AO140" s="31">
        <f>'mnt Data'!AA143</f>
        <v>0</v>
      </c>
      <c r="AP140" s="31">
        <f>'mnt Data'!AB143</f>
        <v>0</v>
      </c>
      <c r="AQ140" s="31">
        <f>'mnt Data'!AC143</f>
        <v>0</v>
      </c>
      <c r="AR140" s="31">
        <f>'mnt Data'!AD143</f>
        <v>0</v>
      </c>
      <c r="AS140" s="31">
        <f>'mnt Data'!AE143</f>
        <v>0</v>
      </c>
      <c r="AT140" s="31">
        <f>'mnt Data'!AF143</f>
        <v>0</v>
      </c>
      <c r="AU140" s="31">
        <f>'mnt Data'!AG143</f>
        <v>0</v>
      </c>
      <c r="AV140" s="31">
        <f>'mnt Data'!AH143</f>
        <v>0</v>
      </c>
      <c r="AW140" s="31">
        <f>'mnt Data'!AI143</f>
        <v>0</v>
      </c>
      <c r="AX140" s="31">
        <f>'mnt Data'!AJ143</f>
        <v>0</v>
      </c>
      <c r="AY140" s="31">
        <f>'mnt Data'!AK143</f>
        <v>0</v>
      </c>
    </row>
    <row r="141" spans="1:51" x14ac:dyDescent="0.25">
      <c r="A141">
        <v>140</v>
      </c>
      <c r="B141" s="32">
        <f t="shared" si="24"/>
        <v>0</v>
      </c>
      <c r="C141" s="32">
        <f t="shared" si="25"/>
        <v>0</v>
      </c>
      <c r="D141" s="32" t="str">
        <f t="shared" si="29"/>
        <v>No Gs</v>
      </c>
      <c r="E141" s="32">
        <f t="shared" si="33"/>
        <v>0</v>
      </c>
      <c r="F141" s="32" t="str">
        <f t="shared" si="34"/>
        <v>No Gs</v>
      </c>
      <c r="G141" s="32" t="str">
        <f t="shared" si="35"/>
        <v>No Gs</v>
      </c>
      <c r="H141" s="32" t="str">
        <f t="shared" si="26"/>
        <v>Gs is needed</v>
      </c>
      <c r="I141" s="32" t="str">
        <f t="shared" si="27"/>
        <v>Gs is needed</v>
      </c>
      <c r="J141" s="32" t="str">
        <f t="shared" si="28"/>
        <v>Gs is needed</v>
      </c>
      <c r="K141" s="32" t="str">
        <f t="shared" si="30"/>
        <v>Need Max and Min</v>
      </c>
      <c r="L141" s="32" t="str">
        <f t="shared" si="31"/>
        <v>Need Max and Min</v>
      </c>
      <c r="M141" s="32" t="str">
        <f t="shared" si="32"/>
        <v>Fail</v>
      </c>
      <c r="N141" s="32"/>
      <c r="O141" s="31">
        <f>'mnt Data'!A144</f>
        <v>0</v>
      </c>
      <c r="P141" s="31">
        <f>'mnt Data'!B144</f>
        <v>0</v>
      </c>
      <c r="Q141" s="31">
        <f>'mnt Data'!C144</f>
        <v>0</v>
      </c>
      <c r="R141" s="31">
        <f>'mnt Data'!D144</f>
        <v>0</v>
      </c>
      <c r="S141" s="31">
        <f>'mnt Data'!E144</f>
        <v>0</v>
      </c>
      <c r="T141" s="31">
        <f>'mnt Data'!F144</f>
        <v>0</v>
      </c>
      <c r="U141" s="31">
        <f>'mnt Data'!G144</f>
        <v>0</v>
      </c>
      <c r="V141" s="31">
        <f>'mnt Data'!H144</f>
        <v>0</v>
      </c>
      <c r="W141" s="31">
        <f>'mnt Data'!I144</f>
        <v>0</v>
      </c>
      <c r="X141" s="31">
        <f>'mnt Data'!J144</f>
        <v>0</v>
      </c>
      <c r="Y141" s="31">
        <f>'mnt Data'!K144</f>
        <v>0</v>
      </c>
      <c r="Z141" s="31">
        <f>'mnt Data'!L144</f>
        <v>0</v>
      </c>
      <c r="AA141" s="31">
        <f>'mnt Data'!M144</f>
        <v>0</v>
      </c>
      <c r="AB141" s="31">
        <f>'mnt Data'!N144</f>
        <v>0</v>
      </c>
      <c r="AC141" s="31">
        <f>'mnt Data'!O144</f>
        <v>0</v>
      </c>
      <c r="AD141" s="31">
        <f>'mnt Data'!P144</f>
        <v>0</v>
      </c>
      <c r="AE141" s="31">
        <f>'mnt Data'!Q144</f>
        <v>0</v>
      </c>
      <c r="AF141" s="31">
        <f>'mnt Data'!R144</f>
        <v>0</v>
      </c>
      <c r="AG141" s="31">
        <f>'mnt Data'!S144</f>
        <v>0</v>
      </c>
      <c r="AH141" s="31">
        <f>'mnt Data'!T144</f>
        <v>0</v>
      </c>
      <c r="AI141" s="31">
        <f>'mnt Data'!U144</f>
        <v>0</v>
      </c>
      <c r="AJ141" s="31">
        <f>'mnt Data'!V144</f>
        <v>0</v>
      </c>
      <c r="AK141" s="31">
        <f>'mnt Data'!W144</f>
        <v>0</v>
      </c>
      <c r="AL141" s="31">
        <f>'mnt Data'!X144</f>
        <v>0</v>
      </c>
      <c r="AM141" s="31">
        <f>'mnt Data'!Y144</f>
        <v>0</v>
      </c>
      <c r="AN141" s="31">
        <f>'mnt Data'!Z144</f>
        <v>0</v>
      </c>
      <c r="AO141" s="31">
        <f>'mnt Data'!AA144</f>
        <v>0</v>
      </c>
      <c r="AP141" s="31">
        <f>'mnt Data'!AB144</f>
        <v>0</v>
      </c>
      <c r="AQ141" s="31">
        <f>'mnt Data'!AC144</f>
        <v>0</v>
      </c>
      <c r="AR141" s="31">
        <f>'mnt Data'!AD144</f>
        <v>0</v>
      </c>
      <c r="AS141" s="31">
        <f>'mnt Data'!AE144</f>
        <v>0</v>
      </c>
      <c r="AT141" s="31">
        <f>'mnt Data'!AF144</f>
        <v>0</v>
      </c>
      <c r="AU141" s="31">
        <f>'mnt Data'!AG144</f>
        <v>0</v>
      </c>
      <c r="AV141" s="31">
        <f>'mnt Data'!AH144</f>
        <v>0</v>
      </c>
      <c r="AW141" s="31">
        <f>'mnt Data'!AI144</f>
        <v>0</v>
      </c>
      <c r="AX141" s="31">
        <f>'mnt Data'!AJ144</f>
        <v>0</v>
      </c>
      <c r="AY141" s="31">
        <f>'mnt Data'!AK144</f>
        <v>0</v>
      </c>
    </row>
    <row r="142" spans="1:51" x14ac:dyDescent="0.25">
      <c r="A142">
        <v>141</v>
      </c>
      <c r="B142" s="32">
        <f t="shared" si="24"/>
        <v>0</v>
      </c>
      <c r="C142" s="32">
        <f t="shared" si="25"/>
        <v>0</v>
      </c>
      <c r="D142" s="32" t="str">
        <f t="shared" si="29"/>
        <v>No Gs</v>
      </c>
      <c r="E142" s="32">
        <f t="shared" si="33"/>
        <v>0</v>
      </c>
      <c r="F142" s="32" t="str">
        <f t="shared" si="34"/>
        <v>No Gs</v>
      </c>
      <c r="G142" s="32" t="str">
        <f t="shared" si="35"/>
        <v>No Gs</v>
      </c>
      <c r="H142" s="32" t="str">
        <f t="shared" si="26"/>
        <v>Gs is needed</v>
      </c>
      <c r="I142" s="32" t="str">
        <f t="shared" si="27"/>
        <v>Gs is needed</v>
      </c>
      <c r="J142" s="32" t="str">
        <f t="shared" si="28"/>
        <v>Gs is needed</v>
      </c>
      <c r="K142" s="32" t="str">
        <f t="shared" si="30"/>
        <v>Need Max and Min</v>
      </c>
      <c r="L142" s="32" t="str">
        <f t="shared" si="31"/>
        <v>Need Max and Min</v>
      </c>
      <c r="M142" s="32" t="str">
        <f t="shared" si="32"/>
        <v>Fail</v>
      </c>
      <c r="N142" s="32"/>
      <c r="O142" s="31">
        <f>'mnt Data'!A145</f>
        <v>0</v>
      </c>
      <c r="P142" s="31">
        <f>'mnt Data'!B145</f>
        <v>0</v>
      </c>
      <c r="Q142" s="31">
        <f>'mnt Data'!C145</f>
        <v>0</v>
      </c>
      <c r="R142" s="31">
        <f>'mnt Data'!D145</f>
        <v>0</v>
      </c>
      <c r="S142" s="31">
        <f>'mnt Data'!E145</f>
        <v>0</v>
      </c>
      <c r="T142" s="31">
        <f>'mnt Data'!F145</f>
        <v>0</v>
      </c>
      <c r="U142" s="31">
        <f>'mnt Data'!G145</f>
        <v>0</v>
      </c>
      <c r="V142" s="31">
        <f>'mnt Data'!H145</f>
        <v>0</v>
      </c>
      <c r="W142" s="31">
        <f>'mnt Data'!I145</f>
        <v>0</v>
      </c>
      <c r="X142" s="31">
        <f>'mnt Data'!J145</f>
        <v>0</v>
      </c>
      <c r="Y142" s="31">
        <f>'mnt Data'!K145</f>
        <v>0</v>
      </c>
      <c r="Z142" s="31">
        <f>'mnt Data'!L145</f>
        <v>0</v>
      </c>
      <c r="AA142" s="31">
        <f>'mnt Data'!M145</f>
        <v>0</v>
      </c>
      <c r="AB142" s="31">
        <f>'mnt Data'!N145</f>
        <v>0</v>
      </c>
      <c r="AC142" s="31">
        <f>'mnt Data'!O145</f>
        <v>0</v>
      </c>
      <c r="AD142" s="31">
        <f>'mnt Data'!P145</f>
        <v>0</v>
      </c>
      <c r="AE142" s="31">
        <f>'mnt Data'!Q145</f>
        <v>0</v>
      </c>
      <c r="AF142" s="31">
        <f>'mnt Data'!R145</f>
        <v>0</v>
      </c>
      <c r="AG142" s="31">
        <f>'mnt Data'!S145</f>
        <v>0</v>
      </c>
      <c r="AH142" s="31">
        <f>'mnt Data'!T145</f>
        <v>0</v>
      </c>
      <c r="AI142" s="31">
        <f>'mnt Data'!U145</f>
        <v>0</v>
      </c>
      <c r="AJ142" s="31">
        <f>'mnt Data'!V145</f>
        <v>0</v>
      </c>
      <c r="AK142" s="31">
        <f>'mnt Data'!W145</f>
        <v>0</v>
      </c>
      <c r="AL142" s="31">
        <f>'mnt Data'!X145</f>
        <v>0</v>
      </c>
      <c r="AM142" s="31">
        <f>'mnt Data'!Y145</f>
        <v>0</v>
      </c>
      <c r="AN142" s="31">
        <f>'mnt Data'!Z145</f>
        <v>0</v>
      </c>
      <c r="AO142" s="31">
        <f>'mnt Data'!AA145</f>
        <v>0</v>
      </c>
      <c r="AP142" s="31">
        <f>'mnt Data'!AB145</f>
        <v>0</v>
      </c>
      <c r="AQ142" s="31">
        <f>'mnt Data'!AC145</f>
        <v>0</v>
      </c>
      <c r="AR142" s="31">
        <f>'mnt Data'!AD145</f>
        <v>0</v>
      </c>
      <c r="AS142" s="31">
        <f>'mnt Data'!AE145</f>
        <v>0</v>
      </c>
      <c r="AT142" s="31">
        <f>'mnt Data'!AF145</f>
        <v>0</v>
      </c>
      <c r="AU142" s="31">
        <f>'mnt Data'!AG145</f>
        <v>0</v>
      </c>
      <c r="AV142" s="31">
        <f>'mnt Data'!AH145</f>
        <v>0</v>
      </c>
      <c r="AW142" s="31">
        <f>'mnt Data'!AI145</f>
        <v>0</v>
      </c>
      <c r="AX142" s="31">
        <f>'mnt Data'!AJ145</f>
        <v>0</v>
      </c>
      <c r="AY142" s="31">
        <f>'mnt Data'!AK145</f>
        <v>0</v>
      </c>
    </row>
    <row r="143" spans="1:51" x14ac:dyDescent="0.25">
      <c r="A143">
        <v>142</v>
      </c>
      <c r="B143" s="32">
        <f t="shared" si="24"/>
        <v>0</v>
      </c>
      <c r="C143" s="32">
        <f t="shared" si="25"/>
        <v>0</v>
      </c>
      <c r="D143" s="32" t="str">
        <f t="shared" si="29"/>
        <v>No Gs</v>
      </c>
      <c r="E143" s="32">
        <f t="shared" si="33"/>
        <v>0</v>
      </c>
      <c r="F143" s="32" t="str">
        <f t="shared" si="34"/>
        <v>No Gs</v>
      </c>
      <c r="G143" s="32" t="str">
        <f t="shared" si="35"/>
        <v>No Gs</v>
      </c>
      <c r="H143" s="32" t="str">
        <f t="shared" si="26"/>
        <v>Gs is needed</v>
      </c>
      <c r="I143" s="32" t="str">
        <f t="shared" si="27"/>
        <v>Gs is needed</v>
      </c>
      <c r="J143" s="32" t="str">
        <f t="shared" si="28"/>
        <v>Gs is needed</v>
      </c>
      <c r="K143" s="32" t="str">
        <f t="shared" si="30"/>
        <v>Need Max and Min</v>
      </c>
      <c r="L143" s="32" t="str">
        <f t="shared" si="31"/>
        <v>Need Max and Min</v>
      </c>
      <c r="M143" s="32" t="str">
        <f t="shared" si="32"/>
        <v>Fail</v>
      </c>
      <c r="N143" s="32"/>
      <c r="O143" s="31">
        <f>'mnt Data'!A146</f>
        <v>0</v>
      </c>
      <c r="P143" s="31">
        <f>'mnt Data'!B146</f>
        <v>0</v>
      </c>
      <c r="Q143" s="31">
        <f>'mnt Data'!C146</f>
        <v>0</v>
      </c>
      <c r="R143" s="31">
        <f>'mnt Data'!D146</f>
        <v>0</v>
      </c>
      <c r="S143" s="31">
        <f>'mnt Data'!E146</f>
        <v>0</v>
      </c>
      <c r="T143" s="31">
        <f>'mnt Data'!F146</f>
        <v>0</v>
      </c>
      <c r="U143" s="31">
        <f>'mnt Data'!G146</f>
        <v>0</v>
      </c>
      <c r="V143" s="31">
        <f>'mnt Data'!H146</f>
        <v>0</v>
      </c>
      <c r="W143" s="31">
        <f>'mnt Data'!I146</f>
        <v>0</v>
      </c>
      <c r="X143" s="31">
        <f>'mnt Data'!J146</f>
        <v>0</v>
      </c>
      <c r="Y143" s="31">
        <f>'mnt Data'!K146</f>
        <v>0</v>
      </c>
      <c r="Z143" s="31">
        <f>'mnt Data'!L146</f>
        <v>0</v>
      </c>
      <c r="AA143" s="31">
        <f>'mnt Data'!M146</f>
        <v>0</v>
      </c>
      <c r="AB143" s="31">
        <f>'mnt Data'!N146</f>
        <v>0</v>
      </c>
      <c r="AC143" s="31">
        <f>'mnt Data'!O146</f>
        <v>0</v>
      </c>
      <c r="AD143" s="31">
        <f>'mnt Data'!P146</f>
        <v>0</v>
      </c>
      <c r="AE143" s="31">
        <f>'mnt Data'!Q146</f>
        <v>0</v>
      </c>
      <c r="AF143" s="31">
        <f>'mnt Data'!R146</f>
        <v>0</v>
      </c>
      <c r="AG143" s="31">
        <f>'mnt Data'!S146</f>
        <v>0</v>
      </c>
      <c r="AH143" s="31">
        <f>'mnt Data'!T146</f>
        <v>0</v>
      </c>
      <c r="AI143" s="31">
        <f>'mnt Data'!U146</f>
        <v>0</v>
      </c>
      <c r="AJ143" s="31">
        <f>'mnt Data'!V146</f>
        <v>0</v>
      </c>
      <c r="AK143" s="31">
        <f>'mnt Data'!W146</f>
        <v>0</v>
      </c>
      <c r="AL143" s="31">
        <f>'mnt Data'!X146</f>
        <v>0</v>
      </c>
      <c r="AM143" s="31">
        <f>'mnt Data'!Y146</f>
        <v>0</v>
      </c>
      <c r="AN143" s="31">
        <f>'mnt Data'!Z146</f>
        <v>0</v>
      </c>
      <c r="AO143" s="31">
        <f>'mnt Data'!AA146</f>
        <v>0</v>
      </c>
      <c r="AP143" s="31">
        <f>'mnt Data'!AB146</f>
        <v>0</v>
      </c>
      <c r="AQ143" s="31">
        <f>'mnt Data'!AC146</f>
        <v>0</v>
      </c>
      <c r="AR143" s="31">
        <f>'mnt Data'!AD146</f>
        <v>0</v>
      </c>
      <c r="AS143" s="31">
        <f>'mnt Data'!AE146</f>
        <v>0</v>
      </c>
      <c r="AT143" s="31">
        <f>'mnt Data'!AF146</f>
        <v>0</v>
      </c>
      <c r="AU143" s="31">
        <f>'mnt Data'!AG146</f>
        <v>0</v>
      </c>
      <c r="AV143" s="31">
        <f>'mnt Data'!AH146</f>
        <v>0</v>
      </c>
      <c r="AW143" s="31">
        <f>'mnt Data'!AI146</f>
        <v>0</v>
      </c>
      <c r="AX143" s="31">
        <f>'mnt Data'!AJ146</f>
        <v>0</v>
      </c>
      <c r="AY143" s="31">
        <f>'mnt Data'!AK146</f>
        <v>0</v>
      </c>
    </row>
    <row r="144" spans="1:51" x14ac:dyDescent="0.25">
      <c r="A144">
        <v>143</v>
      </c>
      <c r="B144" s="32">
        <f t="shared" si="24"/>
        <v>0</v>
      </c>
      <c r="C144" s="32">
        <f t="shared" si="25"/>
        <v>0</v>
      </c>
      <c r="D144" s="32" t="str">
        <f t="shared" si="29"/>
        <v>No Gs</v>
      </c>
      <c r="E144" s="32">
        <f t="shared" si="33"/>
        <v>0</v>
      </c>
      <c r="F144" s="32" t="str">
        <f t="shared" si="34"/>
        <v>No Gs</v>
      </c>
      <c r="G144" s="32" t="str">
        <f t="shared" si="35"/>
        <v>No Gs</v>
      </c>
      <c r="H144" s="32" t="str">
        <f t="shared" si="26"/>
        <v>Gs is needed</v>
      </c>
      <c r="I144" s="32" t="str">
        <f t="shared" si="27"/>
        <v>Gs is needed</v>
      </c>
      <c r="J144" s="32" t="str">
        <f t="shared" si="28"/>
        <v>Gs is needed</v>
      </c>
      <c r="K144" s="32" t="str">
        <f t="shared" si="30"/>
        <v>Need Max and Min</v>
      </c>
      <c r="L144" s="32" t="str">
        <f t="shared" si="31"/>
        <v>Need Max and Min</v>
      </c>
      <c r="M144" s="32" t="str">
        <f t="shared" si="32"/>
        <v>Fail</v>
      </c>
      <c r="N144" s="32"/>
      <c r="O144" s="31">
        <f>'mnt Data'!A147</f>
        <v>0</v>
      </c>
      <c r="P144" s="31">
        <f>'mnt Data'!B147</f>
        <v>0</v>
      </c>
      <c r="Q144" s="31">
        <f>'mnt Data'!C147</f>
        <v>0</v>
      </c>
      <c r="R144" s="31">
        <f>'mnt Data'!D147</f>
        <v>0</v>
      </c>
      <c r="S144" s="31">
        <f>'mnt Data'!E147</f>
        <v>0</v>
      </c>
      <c r="T144" s="31">
        <f>'mnt Data'!F147</f>
        <v>0</v>
      </c>
      <c r="U144" s="31">
        <f>'mnt Data'!G147</f>
        <v>0</v>
      </c>
      <c r="V144" s="31">
        <f>'mnt Data'!H147</f>
        <v>0</v>
      </c>
      <c r="W144" s="31">
        <f>'mnt Data'!I147</f>
        <v>0</v>
      </c>
      <c r="X144" s="31">
        <f>'mnt Data'!J147</f>
        <v>0</v>
      </c>
      <c r="Y144" s="31">
        <f>'mnt Data'!K147</f>
        <v>0</v>
      </c>
      <c r="Z144" s="31">
        <f>'mnt Data'!L147</f>
        <v>0</v>
      </c>
      <c r="AA144" s="31">
        <f>'mnt Data'!M147</f>
        <v>0</v>
      </c>
      <c r="AB144" s="31">
        <f>'mnt Data'!N147</f>
        <v>0</v>
      </c>
      <c r="AC144" s="31">
        <f>'mnt Data'!O147</f>
        <v>0</v>
      </c>
      <c r="AD144" s="31">
        <f>'mnt Data'!P147</f>
        <v>0</v>
      </c>
      <c r="AE144" s="31">
        <f>'mnt Data'!Q147</f>
        <v>0</v>
      </c>
      <c r="AF144" s="31">
        <f>'mnt Data'!R147</f>
        <v>0</v>
      </c>
      <c r="AG144" s="31">
        <f>'mnt Data'!S147</f>
        <v>0</v>
      </c>
      <c r="AH144" s="31">
        <f>'mnt Data'!T147</f>
        <v>0</v>
      </c>
      <c r="AI144" s="31">
        <f>'mnt Data'!U147</f>
        <v>0</v>
      </c>
      <c r="AJ144" s="31">
        <f>'mnt Data'!V147</f>
        <v>0</v>
      </c>
      <c r="AK144" s="31">
        <f>'mnt Data'!W147</f>
        <v>0</v>
      </c>
      <c r="AL144" s="31">
        <f>'mnt Data'!X147</f>
        <v>0</v>
      </c>
      <c r="AM144" s="31">
        <f>'mnt Data'!Y147</f>
        <v>0</v>
      </c>
      <c r="AN144" s="31">
        <f>'mnt Data'!Z147</f>
        <v>0</v>
      </c>
      <c r="AO144" s="31">
        <f>'mnt Data'!AA147</f>
        <v>0</v>
      </c>
      <c r="AP144" s="31">
        <f>'mnt Data'!AB147</f>
        <v>0</v>
      </c>
      <c r="AQ144" s="31">
        <f>'mnt Data'!AC147</f>
        <v>0</v>
      </c>
      <c r="AR144" s="31">
        <f>'mnt Data'!AD147</f>
        <v>0</v>
      </c>
      <c r="AS144" s="31">
        <f>'mnt Data'!AE147</f>
        <v>0</v>
      </c>
      <c r="AT144" s="31">
        <f>'mnt Data'!AF147</f>
        <v>0</v>
      </c>
      <c r="AU144" s="31">
        <f>'mnt Data'!AG147</f>
        <v>0</v>
      </c>
      <c r="AV144" s="31">
        <f>'mnt Data'!AH147</f>
        <v>0</v>
      </c>
      <c r="AW144" s="31">
        <f>'mnt Data'!AI147</f>
        <v>0</v>
      </c>
      <c r="AX144" s="31">
        <f>'mnt Data'!AJ147</f>
        <v>0</v>
      </c>
      <c r="AY144" s="31">
        <f>'mnt Data'!AK147</f>
        <v>0</v>
      </c>
    </row>
    <row r="145" spans="1:51" x14ac:dyDescent="0.25">
      <c r="A145">
        <v>144</v>
      </c>
      <c r="B145" s="32">
        <f t="shared" si="24"/>
        <v>0</v>
      </c>
      <c r="C145" s="32">
        <f t="shared" si="25"/>
        <v>0</v>
      </c>
      <c r="D145" s="32" t="str">
        <f t="shared" si="29"/>
        <v>No Gs</v>
      </c>
      <c r="E145" s="32">
        <f t="shared" si="33"/>
        <v>0</v>
      </c>
      <c r="F145" s="32" t="str">
        <f t="shared" si="34"/>
        <v>No Gs</v>
      </c>
      <c r="G145" s="32" t="str">
        <f t="shared" si="35"/>
        <v>No Gs</v>
      </c>
      <c r="H145" s="32" t="str">
        <f t="shared" si="26"/>
        <v>Gs is needed</v>
      </c>
      <c r="I145" s="32" t="str">
        <f t="shared" si="27"/>
        <v>Gs is needed</v>
      </c>
      <c r="J145" s="32" t="str">
        <f t="shared" si="28"/>
        <v>Gs is needed</v>
      </c>
      <c r="K145" s="32" t="str">
        <f t="shared" si="30"/>
        <v>Need Max and Min</v>
      </c>
      <c r="L145" s="32" t="str">
        <f t="shared" si="31"/>
        <v>Need Max and Min</v>
      </c>
      <c r="M145" s="32" t="str">
        <f t="shared" si="32"/>
        <v>Fail</v>
      </c>
      <c r="N145" s="32"/>
      <c r="O145" s="31">
        <f>'mnt Data'!A148</f>
        <v>0</v>
      </c>
      <c r="P145" s="31">
        <f>'mnt Data'!B148</f>
        <v>0</v>
      </c>
      <c r="Q145" s="31">
        <f>'mnt Data'!C148</f>
        <v>0</v>
      </c>
      <c r="R145" s="31">
        <f>'mnt Data'!D148</f>
        <v>0</v>
      </c>
      <c r="S145" s="31">
        <f>'mnt Data'!E148</f>
        <v>0</v>
      </c>
      <c r="T145" s="31">
        <f>'mnt Data'!F148</f>
        <v>0</v>
      </c>
      <c r="U145" s="31">
        <f>'mnt Data'!G148</f>
        <v>0</v>
      </c>
      <c r="V145" s="31">
        <f>'mnt Data'!H148</f>
        <v>0</v>
      </c>
      <c r="W145" s="31">
        <f>'mnt Data'!I148</f>
        <v>0</v>
      </c>
      <c r="X145" s="31">
        <f>'mnt Data'!J148</f>
        <v>0</v>
      </c>
      <c r="Y145" s="31">
        <f>'mnt Data'!K148</f>
        <v>0</v>
      </c>
      <c r="Z145" s="31">
        <f>'mnt Data'!L148</f>
        <v>0</v>
      </c>
      <c r="AA145" s="31">
        <f>'mnt Data'!M148</f>
        <v>0</v>
      </c>
      <c r="AB145" s="31">
        <f>'mnt Data'!N148</f>
        <v>0</v>
      </c>
      <c r="AC145" s="31">
        <f>'mnt Data'!O148</f>
        <v>0</v>
      </c>
      <c r="AD145" s="31">
        <f>'mnt Data'!P148</f>
        <v>0</v>
      </c>
      <c r="AE145" s="31">
        <f>'mnt Data'!Q148</f>
        <v>0</v>
      </c>
      <c r="AF145" s="31">
        <f>'mnt Data'!R148</f>
        <v>0</v>
      </c>
      <c r="AG145" s="31">
        <f>'mnt Data'!S148</f>
        <v>0</v>
      </c>
      <c r="AH145" s="31">
        <f>'mnt Data'!T148</f>
        <v>0</v>
      </c>
      <c r="AI145" s="31">
        <f>'mnt Data'!U148</f>
        <v>0</v>
      </c>
      <c r="AJ145" s="31">
        <f>'mnt Data'!V148</f>
        <v>0</v>
      </c>
      <c r="AK145" s="31">
        <f>'mnt Data'!W148</f>
        <v>0</v>
      </c>
      <c r="AL145" s="31">
        <f>'mnt Data'!X148</f>
        <v>0</v>
      </c>
      <c r="AM145" s="31">
        <f>'mnt Data'!Y148</f>
        <v>0</v>
      </c>
      <c r="AN145" s="31">
        <f>'mnt Data'!Z148</f>
        <v>0</v>
      </c>
      <c r="AO145" s="31">
        <f>'mnt Data'!AA148</f>
        <v>0</v>
      </c>
      <c r="AP145" s="31">
        <f>'mnt Data'!AB148</f>
        <v>0</v>
      </c>
      <c r="AQ145" s="31">
        <f>'mnt Data'!AC148</f>
        <v>0</v>
      </c>
      <c r="AR145" s="31">
        <f>'mnt Data'!AD148</f>
        <v>0</v>
      </c>
      <c r="AS145" s="31">
        <f>'mnt Data'!AE148</f>
        <v>0</v>
      </c>
      <c r="AT145" s="31">
        <f>'mnt Data'!AF148</f>
        <v>0</v>
      </c>
      <c r="AU145" s="31">
        <f>'mnt Data'!AG148</f>
        <v>0</v>
      </c>
      <c r="AV145" s="31">
        <f>'mnt Data'!AH148</f>
        <v>0</v>
      </c>
      <c r="AW145" s="31">
        <f>'mnt Data'!AI148</f>
        <v>0</v>
      </c>
      <c r="AX145" s="31">
        <f>'mnt Data'!AJ148</f>
        <v>0</v>
      </c>
      <c r="AY145" s="31">
        <f>'mnt Data'!AK148</f>
        <v>0</v>
      </c>
    </row>
    <row r="146" spans="1:51" x14ac:dyDescent="0.25">
      <c r="A146">
        <v>145</v>
      </c>
      <c r="B146" s="32">
        <f t="shared" si="24"/>
        <v>0</v>
      </c>
      <c r="C146" s="32">
        <f t="shared" si="25"/>
        <v>0</v>
      </c>
      <c r="D146" s="32" t="str">
        <f t="shared" si="29"/>
        <v>No Gs</v>
      </c>
      <c r="E146" s="32">
        <f t="shared" si="33"/>
        <v>0</v>
      </c>
      <c r="F146" s="32" t="str">
        <f t="shared" si="34"/>
        <v>No Gs</v>
      </c>
      <c r="G146" s="32" t="str">
        <f t="shared" si="35"/>
        <v>No Gs</v>
      </c>
      <c r="H146" s="32" t="str">
        <f t="shared" si="26"/>
        <v>Gs is needed</v>
      </c>
      <c r="I146" s="32" t="str">
        <f t="shared" si="27"/>
        <v>Gs is needed</v>
      </c>
      <c r="J146" s="32" t="str">
        <f t="shared" si="28"/>
        <v>Gs is needed</v>
      </c>
      <c r="K146" s="32" t="str">
        <f t="shared" si="30"/>
        <v>Need Max and Min</v>
      </c>
      <c r="L146" s="32" t="str">
        <f t="shared" si="31"/>
        <v>Need Max and Min</v>
      </c>
      <c r="M146" s="32" t="str">
        <f t="shared" si="32"/>
        <v>Fail</v>
      </c>
      <c r="N146" s="32"/>
      <c r="O146" s="31">
        <f>'mnt Data'!A149</f>
        <v>0</v>
      </c>
      <c r="P146" s="31">
        <f>'mnt Data'!B149</f>
        <v>0</v>
      </c>
      <c r="Q146" s="31">
        <f>'mnt Data'!C149</f>
        <v>0</v>
      </c>
      <c r="R146" s="31">
        <f>'mnt Data'!D149</f>
        <v>0</v>
      </c>
      <c r="S146" s="31">
        <f>'mnt Data'!E149</f>
        <v>0</v>
      </c>
      <c r="T146" s="31">
        <f>'mnt Data'!F149</f>
        <v>0</v>
      </c>
      <c r="U146" s="31">
        <f>'mnt Data'!G149</f>
        <v>0</v>
      </c>
      <c r="V146" s="31">
        <f>'mnt Data'!H149</f>
        <v>0</v>
      </c>
      <c r="W146" s="31">
        <f>'mnt Data'!I149</f>
        <v>0</v>
      </c>
      <c r="X146" s="31">
        <f>'mnt Data'!J149</f>
        <v>0</v>
      </c>
      <c r="Y146" s="31">
        <f>'mnt Data'!K149</f>
        <v>0</v>
      </c>
      <c r="Z146" s="31">
        <f>'mnt Data'!L149</f>
        <v>0</v>
      </c>
      <c r="AA146" s="31">
        <f>'mnt Data'!M149</f>
        <v>0</v>
      </c>
      <c r="AB146" s="31">
        <f>'mnt Data'!N149</f>
        <v>0</v>
      </c>
      <c r="AC146" s="31">
        <f>'mnt Data'!O149</f>
        <v>0</v>
      </c>
      <c r="AD146" s="31">
        <f>'mnt Data'!P149</f>
        <v>0</v>
      </c>
      <c r="AE146" s="31">
        <f>'mnt Data'!Q149</f>
        <v>0</v>
      </c>
      <c r="AF146" s="31">
        <f>'mnt Data'!R149</f>
        <v>0</v>
      </c>
      <c r="AG146" s="31">
        <f>'mnt Data'!S149</f>
        <v>0</v>
      </c>
      <c r="AH146" s="31">
        <f>'mnt Data'!T149</f>
        <v>0</v>
      </c>
      <c r="AI146" s="31">
        <f>'mnt Data'!U149</f>
        <v>0</v>
      </c>
      <c r="AJ146" s="31">
        <f>'mnt Data'!V149</f>
        <v>0</v>
      </c>
      <c r="AK146" s="31">
        <f>'mnt Data'!W149</f>
        <v>0</v>
      </c>
      <c r="AL146" s="31">
        <f>'mnt Data'!X149</f>
        <v>0</v>
      </c>
      <c r="AM146" s="31">
        <f>'mnt Data'!Y149</f>
        <v>0</v>
      </c>
      <c r="AN146" s="31">
        <f>'mnt Data'!Z149</f>
        <v>0</v>
      </c>
      <c r="AO146" s="31">
        <f>'mnt Data'!AA149</f>
        <v>0</v>
      </c>
      <c r="AP146" s="31">
        <f>'mnt Data'!AB149</f>
        <v>0</v>
      </c>
      <c r="AQ146" s="31">
        <f>'mnt Data'!AC149</f>
        <v>0</v>
      </c>
      <c r="AR146" s="31">
        <f>'mnt Data'!AD149</f>
        <v>0</v>
      </c>
      <c r="AS146" s="31">
        <f>'mnt Data'!AE149</f>
        <v>0</v>
      </c>
      <c r="AT146" s="31">
        <f>'mnt Data'!AF149</f>
        <v>0</v>
      </c>
      <c r="AU146" s="31">
        <f>'mnt Data'!AG149</f>
        <v>0</v>
      </c>
      <c r="AV146" s="31">
        <f>'mnt Data'!AH149</f>
        <v>0</v>
      </c>
      <c r="AW146" s="31">
        <f>'mnt Data'!AI149</f>
        <v>0</v>
      </c>
      <c r="AX146" s="31">
        <f>'mnt Data'!AJ149</f>
        <v>0</v>
      </c>
      <c r="AY146" s="31">
        <f>'mnt Data'!AK149</f>
        <v>0</v>
      </c>
    </row>
    <row r="147" spans="1:51" x14ac:dyDescent="0.25">
      <c r="A147">
        <v>146</v>
      </c>
      <c r="B147" s="32">
        <f t="shared" si="24"/>
        <v>0</v>
      </c>
      <c r="C147" s="32">
        <f t="shared" si="25"/>
        <v>0</v>
      </c>
      <c r="D147" s="32" t="str">
        <f t="shared" si="29"/>
        <v>No Gs</v>
      </c>
      <c r="E147" s="32">
        <f t="shared" si="33"/>
        <v>0</v>
      </c>
      <c r="F147" s="32" t="str">
        <f t="shared" si="34"/>
        <v>No Gs</v>
      </c>
      <c r="G147" s="32" t="str">
        <f t="shared" si="35"/>
        <v>No Gs</v>
      </c>
      <c r="H147" s="32" t="str">
        <f t="shared" si="26"/>
        <v>Gs is needed</v>
      </c>
      <c r="I147" s="32" t="str">
        <f t="shared" si="27"/>
        <v>Gs is needed</v>
      </c>
      <c r="J147" s="32" t="str">
        <f t="shared" si="28"/>
        <v>Gs is needed</v>
      </c>
      <c r="K147" s="32" t="str">
        <f t="shared" si="30"/>
        <v>Need Max and Min</v>
      </c>
      <c r="L147" s="32" t="str">
        <f t="shared" si="31"/>
        <v>Need Max and Min</v>
      </c>
      <c r="M147" s="32" t="str">
        <f t="shared" si="32"/>
        <v>Fail</v>
      </c>
      <c r="N147" s="32"/>
      <c r="O147" s="31">
        <f>'mnt Data'!A150</f>
        <v>0</v>
      </c>
      <c r="P147" s="31">
        <f>'mnt Data'!B150</f>
        <v>0</v>
      </c>
      <c r="Q147" s="31">
        <f>'mnt Data'!C150</f>
        <v>0</v>
      </c>
      <c r="R147" s="31">
        <f>'mnt Data'!D150</f>
        <v>0</v>
      </c>
      <c r="S147" s="31">
        <f>'mnt Data'!E150</f>
        <v>0</v>
      </c>
      <c r="T147" s="31">
        <f>'mnt Data'!F150</f>
        <v>0</v>
      </c>
      <c r="U147" s="31">
        <f>'mnt Data'!G150</f>
        <v>0</v>
      </c>
      <c r="V147" s="31">
        <f>'mnt Data'!H150</f>
        <v>0</v>
      </c>
      <c r="W147" s="31">
        <f>'mnt Data'!I150</f>
        <v>0</v>
      </c>
      <c r="X147" s="31">
        <f>'mnt Data'!J150</f>
        <v>0</v>
      </c>
      <c r="Y147" s="31">
        <f>'mnt Data'!K150</f>
        <v>0</v>
      </c>
      <c r="Z147" s="31">
        <f>'mnt Data'!L150</f>
        <v>0</v>
      </c>
      <c r="AA147" s="31">
        <f>'mnt Data'!M150</f>
        <v>0</v>
      </c>
      <c r="AB147" s="31">
        <f>'mnt Data'!N150</f>
        <v>0</v>
      </c>
      <c r="AC147" s="31">
        <f>'mnt Data'!O150</f>
        <v>0</v>
      </c>
      <c r="AD147" s="31">
        <f>'mnt Data'!P150</f>
        <v>0</v>
      </c>
      <c r="AE147" s="31">
        <f>'mnt Data'!Q150</f>
        <v>0</v>
      </c>
      <c r="AF147" s="31">
        <f>'mnt Data'!R150</f>
        <v>0</v>
      </c>
      <c r="AG147" s="31">
        <f>'mnt Data'!S150</f>
        <v>0</v>
      </c>
      <c r="AH147" s="31">
        <f>'mnt Data'!T150</f>
        <v>0</v>
      </c>
      <c r="AI147" s="31">
        <f>'mnt Data'!U150</f>
        <v>0</v>
      </c>
      <c r="AJ147" s="31">
        <f>'mnt Data'!V150</f>
        <v>0</v>
      </c>
      <c r="AK147" s="31">
        <f>'mnt Data'!W150</f>
        <v>0</v>
      </c>
      <c r="AL147" s="31">
        <f>'mnt Data'!X150</f>
        <v>0</v>
      </c>
      <c r="AM147" s="31">
        <f>'mnt Data'!Y150</f>
        <v>0</v>
      </c>
      <c r="AN147" s="31">
        <f>'mnt Data'!Z150</f>
        <v>0</v>
      </c>
      <c r="AO147" s="31">
        <f>'mnt Data'!AA150</f>
        <v>0</v>
      </c>
      <c r="AP147" s="31">
        <f>'mnt Data'!AB150</f>
        <v>0</v>
      </c>
      <c r="AQ147" s="31">
        <f>'mnt Data'!AC150</f>
        <v>0</v>
      </c>
      <c r="AR147" s="31">
        <f>'mnt Data'!AD150</f>
        <v>0</v>
      </c>
      <c r="AS147" s="31">
        <f>'mnt Data'!AE150</f>
        <v>0</v>
      </c>
      <c r="AT147" s="31">
        <f>'mnt Data'!AF150</f>
        <v>0</v>
      </c>
      <c r="AU147" s="31">
        <f>'mnt Data'!AG150</f>
        <v>0</v>
      </c>
      <c r="AV147" s="31">
        <f>'mnt Data'!AH150</f>
        <v>0</v>
      </c>
      <c r="AW147" s="31">
        <f>'mnt Data'!AI150</f>
        <v>0</v>
      </c>
      <c r="AX147" s="31">
        <f>'mnt Data'!AJ150</f>
        <v>0</v>
      </c>
      <c r="AY147" s="31">
        <f>'mnt Data'!AK150</f>
        <v>0</v>
      </c>
    </row>
    <row r="148" spans="1:51" x14ac:dyDescent="0.25">
      <c r="A148">
        <v>147</v>
      </c>
      <c r="B148" s="32">
        <f t="shared" si="24"/>
        <v>0</v>
      </c>
      <c r="C148" s="32">
        <f t="shared" si="25"/>
        <v>0</v>
      </c>
      <c r="D148" s="32" t="str">
        <f t="shared" si="29"/>
        <v>No Gs</v>
      </c>
      <c r="E148" s="32">
        <f t="shared" si="33"/>
        <v>0</v>
      </c>
      <c r="F148" s="32" t="str">
        <f t="shared" si="34"/>
        <v>No Gs</v>
      </c>
      <c r="G148" s="32" t="str">
        <f t="shared" si="35"/>
        <v>No Gs</v>
      </c>
      <c r="H148" s="32" t="str">
        <f t="shared" si="26"/>
        <v>Gs is needed</v>
      </c>
      <c r="I148" s="32" t="str">
        <f t="shared" si="27"/>
        <v>Gs is needed</v>
      </c>
      <c r="J148" s="32" t="str">
        <f t="shared" si="28"/>
        <v>Gs is needed</v>
      </c>
      <c r="K148" s="32" t="str">
        <f t="shared" si="30"/>
        <v>Need Max and Min</v>
      </c>
      <c r="L148" s="32" t="str">
        <f t="shared" si="31"/>
        <v>Need Max and Min</v>
      </c>
      <c r="M148" s="32" t="str">
        <f t="shared" si="32"/>
        <v>Fail</v>
      </c>
      <c r="N148" s="32"/>
      <c r="O148" s="31">
        <f>'mnt Data'!A151</f>
        <v>0</v>
      </c>
      <c r="P148" s="31">
        <f>'mnt Data'!B151</f>
        <v>0</v>
      </c>
      <c r="Q148" s="31">
        <f>'mnt Data'!C151</f>
        <v>0</v>
      </c>
      <c r="R148" s="31">
        <f>'mnt Data'!D151</f>
        <v>0</v>
      </c>
      <c r="S148" s="31">
        <f>'mnt Data'!E151</f>
        <v>0</v>
      </c>
      <c r="T148" s="31">
        <f>'mnt Data'!F151</f>
        <v>0</v>
      </c>
      <c r="U148" s="31">
        <f>'mnt Data'!G151</f>
        <v>0</v>
      </c>
      <c r="V148" s="31">
        <f>'mnt Data'!H151</f>
        <v>0</v>
      </c>
      <c r="W148" s="31">
        <f>'mnt Data'!I151</f>
        <v>0</v>
      </c>
      <c r="X148" s="31">
        <f>'mnt Data'!J151</f>
        <v>0</v>
      </c>
      <c r="Y148" s="31">
        <f>'mnt Data'!K151</f>
        <v>0</v>
      </c>
      <c r="Z148" s="31">
        <f>'mnt Data'!L151</f>
        <v>0</v>
      </c>
      <c r="AA148" s="31">
        <f>'mnt Data'!M151</f>
        <v>0</v>
      </c>
      <c r="AB148" s="31">
        <f>'mnt Data'!N151</f>
        <v>0</v>
      </c>
      <c r="AC148" s="31">
        <f>'mnt Data'!O151</f>
        <v>0</v>
      </c>
      <c r="AD148" s="31">
        <f>'mnt Data'!P151</f>
        <v>0</v>
      </c>
      <c r="AE148" s="31">
        <f>'mnt Data'!Q151</f>
        <v>0</v>
      </c>
      <c r="AF148" s="31">
        <f>'mnt Data'!R151</f>
        <v>0</v>
      </c>
      <c r="AG148" s="31">
        <f>'mnt Data'!S151</f>
        <v>0</v>
      </c>
      <c r="AH148" s="31">
        <f>'mnt Data'!T151</f>
        <v>0</v>
      </c>
      <c r="AI148" s="31">
        <f>'mnt Data'!U151</f>
        <v>0</v>
      </c>
      <c r="AJ148" s="31">
        <f>'mnt Data'!V151</f>
        <v>0</v>
      </c>
      <c r="AK148" s="31">
        <f>'mnt Data'!W151</f>
        <v>0</v>
      </c>
      <c r="AL148" s="31">
        <f>'mnt Data'!X151</f>
        <v>0</v>
      </c>
      <c r="AM148" s="31">
        <f>'mnt Data'!Y151</f>
        <v>0</v>
      </c>
      <c r="AN148" s="31">
        <f>'mnt Data'!Z151</f>
        <v>0</v>
      </c>
      <c r="AO148" s="31">
        <f>'mnt Data'!AA151</f>
        <v>0</v>
      </c>
      <c r="AP148" s="31">
        <f>'mnt Data'!AB151</f>
        <v>0</v>
      </c>
      <c r="AQ148" s="31">
        <f>'mnt Data'!AC151</f>
        <v>0</v>
      </c>
      <c r="AR148" s="31">
        <f>'mnt Data'!AD151</f>
        <v>0</v>
      </c>
      <c r="AS148" s="31">
        <f>'mnt Data'!AE151</f>
        <v>0</v>
      </c>
      <c r="AT148" s="31">
        <f>'mnt Data'!AF151</f>
        <v>0</v>
      </c>
      <c r="AU148" s="31">
        <f>'mnt Data'!AG151</f>
        <v>0</v>
      </c>
      <c r="AV148" s="31">
        <f>'mnt Data'!AH151</f>
        <v>0</v>
      </c>
      <c r="AW148" s="31">
        <f>'mnt Data'!AI151</f>
        <v>0</v>
      </c>
      <c r="AX148" s="31">
        <f>'mnt Data'!AJ151</f>
        <v>0</v>
      </c>
      <c r="AY148" s="31">
        <f>'mnt Data'!AK151</f>
        <v>0</v>
      </c>
    </row>
    <row r="149" spans="1:51" x14ac:dyDescent="0.25">
      <c r="A149">
        <v>148</v>
      </c>
      <c r="B149" s="32">
        <f t="shared" si="24"/>
        <v>0</v>
      </c>
      <c r="C149" s="32">
        <f t="shared" si="25"/>
        <v>0</v>
      </c>
      <c r="D149" s="32" t="str">
        <f t="shared" si="29"/>
        <v>No Gs</v>
      </c>
      <c r="E149" s="32">
        <f t="shared" si="33"/>
        <v>0</v>
      </c>
      <c r="F149" s="32" t="str">
        <f t="shared" si="34"/>
        <v>No Gs</v>
      </c>
      <c r="G149" s="32" t="str">
        <f t="shared" si="35"/>
        <v>No Gs</v>
      </c>
      <c r="H149" s="32" t="str">
        <f t="shared" si="26"/>
        <v>Gs is needed</v>
      </c>
      <c r="I149" s="32" t="str">
        <f t="shared" si="27"/>
        <v>Gs is needed</v>
      </c>
      <c r="J149" s="32" t="str">
        <f t="shared" si="28"/>
        <v>Gs is needed</v>
      </c>
      <c r="K149" s="32" t="str">
        <f t="shared" si="30"/>
        <v>Need Max and Min</v>
      </c>
      <c r="L149" s="32" t="str">
        <f t="shared" si="31"/>
        <v>Need Max and Min</v>
      </c>
      <c r="M149" s="32" t="str">
        <f t="shared" si="32"/>
        <v>Fail</v>
      </c>
      <c r="N149" s="32"/>
      <c r="O149" s="31">
        <f>'mnt Data'!A152</f>
        <v>0</v>
      </c>
      <c r="P149" s="31">
        <f>'mnt Data'!B152</f>
        <v>0</v>
      </c>
      <c r="Q149" s="31">
        <f>'mnt Data'!C152</f>
        <v>0</v>
      </c>
      <c r="R149" s="31">
        <f>'mnt Data'!D152</f>
        <v>0</v>
      </c>
      <c r="S149" s="31">
        <f>'mnt Data'!E152</f>
        <v>0</v>
      </c>
      <c r="T149" s="31">
        <f>'mnt Data'!F152</f>
        <v>0</v>
      </c>
      <c r="U149" s="31">
        <f>'mnt Data'!G152</f>
        <v>0</v>
      </c>
      <c r="V149" s="31">
        <f>'mnt Data'!H152</f>
        <v>0</v>
      </c>
      <c r="W149" s="31">
        <f>'mnt Data'!I152</f>
        <v>0</v>
      </c>
      <c r="X149" s="31">
        <f>'mnt Data'!J152</f>
        <v>0</v>
      </c>
      <c r="Y149" s="31">
        <f>'mnt Data'!K152</f>
        <v>0</v>
      </c>
      <c r="Z149" s="31">
        <f>'mnt Data'!L152</f>
        <v>0</v>
      </c>
      <c r="AA149" s="31">
        <f>'mnt Data'!M152</f>
        <v>0</v>
      </c>
      <c r="AB149" s="31">
        <f>'mnt Data'!N152</f>
        <v>0</v>
      </c>
      <c r="AC149" s="31">
        <f>'mnt Data'!O152</f>
        <v>0</v>
      </c>
      <c r="AD149" s="31">
        <f>'mnt Data'!P152</f>
        <v>0</v>
      </c>
      <c r="AE149" s="31">
        <f>'mnt Data'!Q152</f>
        <v>0</v>
      </c>
      <c r="AF149" s="31">
        <f>'mnt Data'!R152</f>
        <v>0</v>
      </c>
      <c r="AG149" s="31">
        <f>'mnt Data'!S152</f>
        <v>0</v>
      </c>
      <c r="AH149" s="31">
        <f>'mnt Data'!T152</f>
        <v>0</v>
      </c>
      <c r="AI149" s="31">
        <f>'mnt Data'!U152</f>
        <v>0</v>
      </c>
      <c r="AJ149" s="31">
        <f>'mnt Data'!V152</f>
        <v>0</v>
      </c>
      <c r="AK149" s="31">
        <f>'mnt Data'!W152</f>
        <v>0</v>
      </c>
      <c r="AL149" s="31">
        <f>'mnt Data'!X152</f>
        <v>0</v>
      </c>
      <c r="AM149" s="31">
        <f>'mnt Data'!Y152</f>
        <v>0</v>
      </c>
      <c r="AN149" s="31">
        <f>'mnt Data'!Z152</f>
        <v>0</v>
      </c>
      <c r="AO149" s="31">
        <f>'mnt Data'!AA152</f>
        <v>0</v>
      </c>
      <c r="AP149" s="31">
        <f>'mnt Data'!AB152</f>
        <v>0</v>
      </c>
      <c r="AQ149" s="31">
        <f>'mnt Data'!AC152</f>
        <v>0</v>
      </c>
      <c r="AR149" s="31">
        <f>'mnt Data'!AD152</f>
        <v>0</v>
      </c>
      <c r="AS149" s="31">
        <f>'mnt Data'!AE152</f>
        <v>0</v>
      </c>
      <c r="AT149" s="31">
        <f>'mnt Data'!AF152</f>
        <v>0</v>
      </c>
      <c r="AU149" s="31">
        <f>'mnt Data'!AG152</f>
        <v>0</v>
      </c>
      <c r="AV149" s="31">
        <f>'mnt Data'!AH152</f>
        <v>0</v>
      </c>
      <c r="AW149" s="31">
        <f>'mnt Data'!AI152</f>
        <v>0</v>
      </c>
      <c r="AX149" s="31">
        <f>'mnt Data'!AJ152</f>
        <v>0</v>
      </c>
      <c r="AY149" s="31">
        <f>'mnt Data'!AK152</f>
        <v>0</v>
      </c>
    </row>
    <row r="150" spans="1:51" x14ac:dyDescent="0.25">
      <c r="A150">
        <v>149</v>
      </c>
      <c r="B150" s="32">
        <f t="shared" si="24"/>
        <v>0</v>
      </c>
      <c r="C150" s="32">
        <f t="shared" si="25"/>
        <v>0</v>
      </c>
      <c r="D150" s="32" t="str">
        <f t="shared" si="29"/>
        <v>No Gs</v>
      </c>
      <c r="E150" s="32">
        <f t="shared" si="33"/>
        <v>0</v>
      </c>
      <c r="F150" s="32" t="str">
        <f t="shared" si="34"/>
        <v>No Gs</v>
      </c>
      <c r="G150" s="32" t="str">
        <f t="shared" si="35"/>
        <v>No Gs</v>
      </c>
      <c r="H150" s="32" t="str">
        <f t="shared" si="26"/>
        <v>Gs is needed</v>
      </c>
      <c r="I150" s="32" t="str">
        <f t="shared" si="27"/>
        <v>Gs is needed</v>
      </c>
      <c r="J150" s="32" t="str">
        <f t="shared" si="28"/>
        <v>Gs is needed</v>
      </c>
      <c r="K150" s="32" t="str">
        <f t="shared" si="30"/>
        <v>Need Max and Min</v>
      </c>
      <c r="L150" s="32" t="str">
        <f t="shared" si="31"/>
        <v>Need Max and Min</v>
      </c>
      <c r="M150" s="32" t="str">
        <f t="shared" si="32"/>
        <v>Fail</v>
      </c>
      <c r="N150" s="32"/>
      <c r="O150" s="31">
        <f>'mnt Data'!A153</f>
        <v>0</v>
      </c>
      <c r="P150" s="31">
        <f>'mnt Data'!B153</f>
        <v>0</v>
      </c>
      <c r="Q150" s="31">
        <f>'mnt Data'!C153</f>
        <v>0</v>
      </c>
      <c r="R150" s="31">
        <f>'mnt Data'!D153</f>
        <v>0</v>
      </c>
      <c r="S150" s="31">
        <f>'mnt Data'!E153</f>
        <v>0</v>
      </c>
      <c r="T150" s="31">
        <f>'mnt Data'!F153</f>
        <v>0</v>
      </c>
      <c r="U150" s="31">
        <f>'mnt Data'!G153</f>
        <v>0</v>
      </c>
      <c r="V150" s="31">
        <f>'mnt Data'!H153</f>
        <v>0</v>
      </c>
      <c r="W150" s="31">
        <f>'mnt Data'!I153</f>
        <v>0</v>
      </c>
      <c r="X150" s="31">
        <f>'mnt Data'!J153</f>
        <v>0</v>
      </c>
      <c r="Y150" s="31">
        <f>'mnt Data'!K153</f>
        <v>0</v>
      </c>
      <c r="Z150" s="31">
        <f>'mnt Data'!L153</f>
        <v>0</v>
      </c>
      <c r="AA150" s="31">
        <f>'mnt Data'!M153</f>
        <v>0</v>
      </c>
      <c r="AB150" s="31">
        <f>'mnt Data'!N153</f>
        <v>0</v>
      </c>
      <c r="AC150" s="31">
        <f>'mnt Data'!O153</f>
        <v>0</v>
      </c>
      <c r="AD150" s="31">
        <f>'mnt Data'!P153</f>
        <v>0</v>
      </c>
      <c r="AE150" s="31">
        <f>'mnt Data'!Q153</f>
        <v>0</v>
      </c>
      <c r="AF150" s="31">
        <f>'mnt Data'!R153</f>
        <v>0</v>
      </c>
      <c r="AG150" s="31">
        <f>'mnt Data'!S153</f>
        <v>0</v>
      </c>
      <c r="AH150" s="31">
        <f>'mnt Data'!T153</f>
        <v>0</v>
      </c>
      <c r="AI150" s="31">
        <f>'mnt Data'!U153</f>
        <v>0</v>
      </c>
      <c r="AJ150" s="31">
        <f>'mnt Data'!V153</f>
        <v>0</v>
      </c>
      <c r="AK150" s="31">
        <f>'mnt Data'!W153</f>
        <v>0</v>
      </c>
      <c r="AL150" s="31">
        <f>'mnt Data'!X153</f>
        <v>0</v>
      </c>
      <c r="AM150" s="31">
        <f>'mnt Data'!Y153</f>
        <v>0</v>
      </c>
      <c r="AN150" s="31">
        <f>'mnt Data'!Z153</f>
        <v>0</v>
      </c>
      <c r="AO150" s="31">
        <f>'mnt Data'!AA153</f>
        <v>0</v>
      </c>
      <c r="AP150" s="31">
        <f>'mnt Data'!AB153</f>
        <v>0</v>
      </c>
      <c r="AQ150" s="31">
        <f>'mnt Data'!AC153</f>
        <v>0</v>
      </c>
      <c r="AR150" s="31">
        <f>'mnt Data'!AD153</f>
        <v>0</v>
      </c>
      <c r="AS150" s="31">
        <f>'mnt Data'!AE153</f>
        <v>0</v>
      </c>
      <c r="AT150" s="31">
        <f>'mnt Data'!AF153</f>
        <v>0</v>
      </c>
      <c r="AU150" s="31">
        <f>'mnt Data'!AG153</f>
        <v>0</v>
      </c>
      <c r="AV150" s="31">
        <f>'mnt Data'!AH153</f>
        <v>0</v>
      </c>
      <c r="AW150" s="31">
        <f>'mnt Data'!AI153</f>
        <v>0</v>
      </c>
      <c r="AX150" s="31">
        <f>'mnt Data'!AJ153</f>
        <v>0</v>
      </c>
      <c r="AY150" s="31">
        <f>'mnt Data'!AK153</f>
        <v>0</v>
      </c>
    </row>
    <row r="151" spans="1:51" x14ac:dyDescent="0.25">
      <c r="A151">
        <v>150</v>
      </c>
      <c r="B151" s="32">
        <f t="shared" si="24"/>
        <v>0</v>
      </c>
      <c r="C151" s="32">
        <f t="shared" si="25"/>
        <v>0</v>
      </c>
      <c r="D151" s="32" t="str">
        <f t="shared" si="29"/>
        <v>No Gs</v>
      </c>
      <c r="E151" s="32">
        <f t="shared" si="33"/>
        <v>0</v>
      </c>
      <c r="F151" s="32" t="str">
        <f t="shared" si="34"/>
        <v>No Gs</v>
      </c>
      <c r="G151" s="32" t="str">
        <f t="shared" si="35"/>
        <v>No Gs</v>
      </c>
      <c r="H151" s="32" t="str">
        <f t="shared" si="26"/>
        <v>Gs is needed</v>
      </c>
      <c r="I151" s="32" t="str">
        <f t="shared" si="27"/>
        <v>Gs is needed</v>
      </c>
      <c r="J151" s="32" t="str">
        <f t="shared" si="28"/>
        <v>Gs is needed</v>
      </c>
      <c r="K151" s="32" t="str">
        <f t="shared" si="30"/>
        <v>Need Max and Min</v>
      </c>
      <c r="L151" s="32" t="str">
        <f t="shared" si="31"/>
        <v>Need Max and Min</v>
      </c>
      <c r="M151" s="32" t="str">
        <f t="shared" si="32"/>
        <v>Fail</v>
      </c>
      <c r="N151" s="32"/>
      <c r="O151" s="31">
        <f>'mnt Data'!A154</f>
        <v>0</v>
      </c>
      <c r="P151" s="31">
        <f>'mnt Data'!B154</f>
        <v>0</v>
      </c>
      <c r="Q151" s="31">
        <f>'mnt Data'!C154</f>
        <v>0</v>
      </c>
      <c r="R151" s="31">
        <f>'mnt Data'!D154</f>
        <v>0</v>
      </c>
      <c r="S151" s="31">
        <f>'mnt Data'!E154</f>
        <v>0</v>
      </c>
      <c r="T151" s="31">
        <f>'mnt Data'!F154</f>
        <v>0</v>
      </c>
      <c r="U151" s="31">
        <f>'mnt Data'!G154</f>
        <v>0</v>
      </c>
      <c r="V151" s="31">
        <f>'mnt Data'!H154</f>
        <v>0</v>
      </c>
      <c r="W151" s="31">
        <f>'mnt Data'!I154</f>
        <v>0</v>
      </c>
      <c r="X151" s="31">
        <f>'mnt Data'!J154</f>
        <v>0</v>
      </c>
      <c r="Y151" s="31">
        <f>'mnt Data'!K154</f>
        <v>0</v>
      </c>
      <c r="Z151" s="31">
        <f>'mnt Data'!L154</f>
        <v>0</v>
      </c>
      <c r="AA151" s="31">
        <f>'mnt Data'!M154</f>
        <v>0</v>
      </c>
      <c r="AB151" s="31">
        <f>'mnt Data'!N154</f>
        <v>0</v>
      </c>
      <c r="AC151" s="31">
        <f>'mnt Data'!O154</f>
        <v>0</v>
      </c>
      <c r="AD151" s="31">
        <f>'mnt Data'!P154</f>
        <v>0</v>
      </c>
      <c r="AE151" s="31">
        <f>'mnt Data'!Q154</f>
        <v>0</v>
      </c>
      <c r="AF151" s="31">
        <f>'mnt Data'!R154</f>
        <v>0</v>
      </c>
      <c r="AG151" s="31">
        <f>'mnt Data'!S154</f>
        <v>0</v>
      </c>
      <c r="AH151" s="31">
        <f>'mnt Data'!T154</f>
        <v>0</v>
      </c>
      <c r="AI151" s="31">
        <f>'mnt Data'!U154</f>
        <v>0</v>
      </c>
      <c r="AJ151" s="31">
        <f>'mnt Data'!V154</f>
        <v>0</v>
      </c>
      <c r="AK151" s="31">
        <f>'mnt Data'!W154</f>
        <v>0</v>
      </c>
      <c r="AL151" s="31">
        <f>'mnt Data'!X154</f>
        <v>0</v>
      </c>
      <c r="AM151" s="31">
        <f>'mnt Data'!Y154</f>
        <v>0</v>
      </c>
      <c r="AN151" s="31">
        <f>'mnt Data'!Z154</f>
        <v>0</v>
      </c>
      <c r="AO151" s="31">
        <f>'mnt Data'!AA154</f>
        <v>0</v>
      </c>
      <c r="AP151" s="31">
        <f>'mnt Data'!AB154</f>
        <v>0</v>
      </c>
      <c r="AQ151" s="31">
        <f>'mnt Data'!AC154</f>
        <v>0</v>
      </c>
      <c r="AR151" s="31">
        <f>'mnt Data'!AD154</f>
        <v>0</v>
      </c>
      <c r="AS151" s="31">
        <f>'mnt Data'!AE154</f>
        <v>0</v>
      </c>
      <c r="AT151" s="31">
        <f>'mnt Data'!AF154</f>
        <v>0</v>
      </c>
      <c r="AU151" s="31">
        <f>'mnt Data'!AG154</f>
        <v>0</v>
      </c>
      <c r="AV151" s="31">
        <f>'mnt Data'!AH154</f>
        <v>0</v>
      </c>
      <c r="AW151" s="31">
        <f>'mnt Data'!AI154</f>
        <v>0</v>
      </c>
      <c r="AX151" s="31">
        <f>'mnt Data'!AJ154</f>
        <v>0</v>
      </c>
      <c r="AY151" s="31">
        <f>'mnt Data'!AK154</f>
        <v>0</v>
      </c>
    </row>
    <row r="152" spans="1:51" x14ac:dyDescent="0.25">
      <c r="A152">
        <v>151</v>
      </c>
      <c r="B152" s="32">
        <f t="shared" si="24"/>
        <v>0</v>
      </c>
      <c r="C152" s="32">
        <f t="shared" si="25"/>
        <v>0</v>
      </c>
      <c r="D152" s="32" t="str">
        <f t="shared" si="29"/>
        <v>No Gs</v>
      </c>
      <c r="E152" s="32">
        <f t="shared" si="33"/>
        <v>0</v>
      </c>
      <c r="F152" s="32" t="str">
        <f t="shared" si="34"/>
        <v>No Gs</v>
      </c>
      <c r="G152" s="32" t="str">
        <f t="shared" si="35"/>
        <v>No Gs</v>
      </c>
      <c r="H152" s="32" t="str">
        <f t="shared" si="26"/>
        <v>Gs is needed</v>
      </c>
      <c r="I152" s="32" t="str">
        <f t="shared" si="27"/>
        <v>Gs is needed</v>
      </c>
      <c r="J152" s="32" t="str">
        <f t="shared" si="28"/>
        <v>Gs is needed</v>
      </c>
      <c r="K152" s="32" t="str">
        <f t="shared" si="30"/>
        <v>Need Max and Min</v>
      </c>
      <c r="L152" s="32" t="str">
        <f t="shared" si="31"/>
        <v>Need Max and Min</v>
      </c>
      <c r="M152" s="32" t="str">
        <f t="shared" si="32"/>
        <v>Fail</v>
      </c>
      <c r="N152" s="32"/>
      <c r="O152" s="31">
        <f>'mnt Data'!A155</f>
        <v>0</v>
      </c>
      <c r="P152" s="31">
        <f>'mnt Data'!B155</f>
        <v>0</v>
      </c>
      <c r="Q152" s="31">
        <f>'mnt Data'!C155</f>
        <v>0</v>
      </c>
      <c r="R152" s="31">
        <f>'mnt Data'!D155</f>
        <v>0</v>
      </c>
      <c r="S152" s="31">
        <f>'mnt Data'!E155</f>
        <v>0</v>
      </c>
      <c r="T152" s="31">
        <f>'mnt Data'!F155</f>
        <v>0</v>
      </c>
      <c r="U152" s="31">
        <f>'mnt Data'!G155</f>
        <v>0</v>
      </c>
      <c r="V152" s="31">
        <f>'mnt Data'!H155</f>
        <v>0</v>
      </c>
      <c r="W152" s="31">
        <f>'mnt Data'!I155</f>
        <v>0</v>
      </c>
      <c r="X152" s="31">
        <f>'mnt Data'!J155</f>
        <v>0</v>
      </c>
      <c r="Y152" s="31">
        <f>'mnt Data'!K155</f>
        <v>0</v>
      </c>
      <c r="Z152" s="31">
        <f>'mnt Data'!L155</f>
        <v>0</v>
      </c>
      <c r="AA152" s="31">
        <f>'mnt Data'!M155</f>
        <v>0</v>
      </c>
      <c r="AB152" s="31">
        <f>'mnt Data'!N155</f>
        <v>0</v>
      </c>
      <c r="AC152" s="31">
        <f>'mnt Data'!O155</f>
        <v>0</v>
      </c>
      <c r="AD152" s="31">
        <f>'mnt Data'!P155</f>
        <v>0</v>
      </c>
      <c r="AE152" s="31">
        <f>'mnt Data'!Q155</f>
        <v>0</v>
      </c>
      <c r="AF152" s="31">
        <f>'mnt Data'!R155</f>
        <v>0</v>
      </c>
      <c r="AG152" s="31">
        <f>'mnt Data'!S155</f>
        <v>0</v>
      </c>
      <c r="AH152" s="31">
        <f>'mnt Data'!T155</f>
        <v>0</v>
      </c>
      <c r="AI152" s="31">
        <f>'mnt Data'!U155</f>
        <v>0</v>
      </c>
      <c r="AJ152" s="31">
        <f>'mnt Data'!V155</f>
        <v>0</v>
      </c>
      <c r="AK152" s="31">
        <f>'mnt Data'!W155</f>
        <v>0</v>
      </c>
      <c r="AL152" s="31">
        <f>'mnt Data'!X155</f>
        <v>0</v>
      </c>
      <c r="AM152" s="31">
        <f>'mnt Data'!Y155</f>
        <v>0</v>
      </c>
      <c r="AN152" s="31">
        <f>'mnt Data'!Z155</f>
        <v>0</v>
      </c>
      <c r="AO152" s="31">
        <f>'mnt Data'!AA155</f>
        <v>0</v>
      </c>
      <c r="AP152" s="31">
        <f>'mnt Data'!AB155</f>
        <v>0</v>
      </c>
      <c r="AQ152" s="31">
        <f>'mnt Data'!AC155</f>
        <v>0</v>
      </c>
      <c r="AR152" s="31">
        <f>'mnt Data'!AD155</f>
        <v>0</v>
      </c>
      <c r="AS152" s="31">
        <f>'mnt Data'!AE155</f>
        <v>0</v>
      </c>
      <c r="AT152" s="31">
        <f>'mnt Data'!AF155</f>
        <v>0</v>
      </c>
      <c r="AU152" s="31">
        <f>'mnt Data'!AG155</f>
        <v>0</v>
      </c>
      <c r="AV152" s="31">
        <f>'mnt Data'!AH155</f>
        <v>0</v>
      </c>
      <c r="AW152" s="31">
        <f>'mnt Data'!AI155</f>
        <v>0</v>
      </c>
      <c r="AX152" s="31">
        <f>'mnt Data'!AJ155</f>
        <v>0</v>
      </c>
      <c r="AY152" s="31">
        <f>'mnt Data'!AK155</f>
        <v>0</v>
      </c>
    </row>
    <row r="153" spans="1:51" x14ac:dyDescent="0.25">
      <c r="A153">
        <v>152</v>
      </c>
      <c r="B153" s="32">
        <f t="shared" si="24"/>
        <v>0</v>
      </c>
      <c r="C153" s="32">
        <f t="shared" si="25"/>
        <v>0</v>
      </c>
      <c r="D153" s="32" t="str">
        <f t="shared" si="29"/>
        <v>No Gs</v>
      </c>
      <c r="E153" s="32">
        <f t="shared" si="33"/>
        <v>0</v>
      </c>
      <c r="F153" s="32" t="str">
        <f t="shared" si="34"/>
        <v>No Gs</v>
      </c>
      <c r="G153" s="32" t="str">
        <f t="shared" si="35"/>
        <v>No Gs</v>
      </c>
      <c r="H153" s="32" t="str">
        <f t="shared" si="26"/>
        <v>Gs is needed</v>
      </c>
      <c r="I153" s="32" t="str">
        <f t="shared" si="27"/>
        <v>Gs is needed</v>
      </c>
      <c r="J153" s="32" t="str">
        <f t="shared" si="28"/>
        <v>Gs is needed</v>
      </c>
      <c r="K153" s="32" t="str">
        <f t="shared" si="30"/>
        <v>Need Max and Min</v>
      </c>
      <c r="L153" s="32" t="str">
        <f t="shared" si="31"/>
        <v>Need Max and Min</v>
      </c>
      <c r="M153" s="32" t="str">
        <f t="shared" si="32"/>
        <v>Fail</v>
      </c>
      <c r="N153" s="32"/>
      <c r="O153" s="31">
        <f>'mnt Data'!A156</f>
        <v>0</v>
      </c>
      <c r="P153" s="31">
        <f>'mnt Data'!B156</f>
        <v>0</v>
      </c>
      <c r="Q153" s="31">
        <f>'mnt Data'!C156</f>
        <v>0</v>
      </c>
      <c r="R153" s="31">
        <f>'mnt Data'!D156</f>
        <v>0</v>
      </c>
      <c r="S153" s="31">
        <f>'mnt Data'!E156</f>
        <v>0</v>
      </c>
      <c r="T153" s="31">
        <f>'mnt Data'!F156</f>
        <v>0</v>
      </c>
      <c r="U153" s="31">
        <f>'mnt Data'!G156</f>
        <v>0</v>
      </c>
      <c r="V153" s="31">
        <f>'mnt Data'!H156</f>
        <v>0</v>
      </c>
      <c r="W153" s="31">
        <f>'mnt Data'!I156</f>
        <v>0</v>
      </c>
      <c r="X153" s="31">
        <f>'mnt Data'!J156</f>
        <v>0</v>
      </c>
      <c r="Y153" s="31">
        <f>'mnt Data'!K156</f>
        <v>0</v>
      </c>
      <c r="Z153" s="31">
        <f>'mnt Data'!L156</f>
        <v>0</v>
      </c>
      <c r="AA153" s="31">
        <f>'mnt Data'!M156</f>
        <v>0</v>
      </c>
      <c r="AB153" s="31">
        <f>'mnt Data'!N156</f>
        <v>0</v>
      </c>
      <c r="AC153" s="31">
        <f>'mnt Data'!O156</f>
        <v>0</v>
      </c>
      <c r="AD153" s="31">
        <f>'mnt Data'!P156</f>
        <v>0</v>
      </c>
      <c r="AE153" s="31">
        <f>'mnt Data'!Q156</f>
        <v>0</v>
      </c>
      <c r="AF153" s="31">
        <f>'mnt Data'!R156</f>
        <v>0</v>
      </c>
      <c r="AG153" s="31">
        <f>'mnt Data'!S156</f>
        <v>0</v>
      </c>
      <c r="AH153" s="31">
        <f>'mnt Data'!T156</f>
        <v>0</v>
      </c>
      <c r="AI153" s="31">
        <f>'mnt Data'!U156</f>
        <v>0</v>
      </c>
      <c r="AJ153" s="31">
        <f>'mnt Data'!V156</f>
        <v>0</v>
      </c>
      <c r="AK153" s="31">
        <f>'mnt Data'!W156</f>
        <v>0</v>
      </c>
      <c r="AL153" s="31">
        <f>'mnt Data'!X156</f>
        <v>0</v>
      </c>
      <c r="AM153" s="31">
        <f>'mnt Data'!Y156</f>
        <v>0</v>
      </c>
      <c r="AN153" s="31">
        <f>'mnt Data'!Z156</f>
        <v>0</v>
      </c>
      <c r="AO153" s="31">
        <f>'mnt Data'!AA156</f>
        <v>0</v>
      </c>
      <c r="AP153" s="31">
        <f>'mnt Data'!AB156</f>
        <v>0</v>
      </c>
      <c r="AQ153" s="31">
        <f>'mnt Data'!AC156</f>
        <v>0</v>
      </c>
      <c r="AR153" s="31">
        <f>'mnt Data'!AD156</f>
        <v>0</v>
      </c>
      <c r="AS153" s="31">
        <f>'mnt Data'!AE156</f>
        <v>0</v>
      </c>
      <c r="AT153" s="31">
        <f>'mnt Data'!AF156</f>
        <v>0</v>
      </c>
      <c r="AU153" s="31">
        <f>'mnt Data'!AG156</f>
        <v>0</v>
      </c>
      <c r="AV153" s="31">
        <f>'mnt Data'!AH156</f>
        <v>0</v>
      </c>
      <c r="AW153" s="31">
        <f>'mnt Data'!AI156</f>
        <v>0</v>
      </c>
      <c r="AX153" s="31">
        <f>'mnt Data'!AJ156</f>
        <v>0</v>
      </c>
      <c r="AY153" s="31">
        <f>'mnt Data'!AK156</f>
        <v>0</v>
      </c>
    </row>
    <row r="154" spans="1:51" x14ac:dyDescent="0.25">
      <c r="A154">
        <v>153</v>
      </c>
      <c r="B154" s="32">
        <f t="shared" si="24"/>
        <v>0</v>
      </c>
      <c r="C154" s="32">
        <f t="shared" si="25"/>
        <v>0</v>
      </c>
      <c r="D154" s="32" t="str">
        <f t="shared" si="29"/>
        <v>No Gs</v>
      </c>
      <c r="E154" s="32">
        <f t="shared" si="33"/>
        <v>0</v>
      </c>
      <c r="F154" s="32" t="str">
        <f t="shared" si="34"/>
        <v>No Gs</v>
      </c>
      <c r="G154" s="32" t="str">
        <f t="shared" si="35"/>
        <v>No Gs</v>
      </c>
      <c r="H154" s="32" t="str">
        <f t="shared" si="26"/>
        <v>Gs is needed</v>
      </c>
      <c r="I154" s="32" t="str">
        <f t="shared" si="27"/>
        <v>Gs is needed</v>
      </c>
      <c r="J154" s="32" t="str">
        <f t="shared" si="28"/>
        <v>Gs is needed</v>
      </c>
      <c r="K154" s="32" t="str">
        <f t="shared" si="30"/>
        <v>Need Max and Min</v>
      </c>
      <c r="L154" s="32" t="str">
        <f t="shared" si="31"/>
        <v>Need Max and Min</v>
      </c>
      <c r="M154" s="32" t="str">
        <f t="shared" si="32"/>
        <v>Fail</v>
      </c>
      <c r="N154" s="32"/>
      <c r="O154" s="31">
        <f>'mnt Data'!A157</f>
        <v>0</v>
      </c>
      <c r="P154" s="31">
        <f>'mnt Data'!B157</f>
        <v>0</v>
      </c>
      <c r="Q154" s="31">
        <f>'mnt Data'!C157</f>
        <v>0</v>
      </c>
      <c r="R154" s="31">
        <f>'mnt Data'!D157</f>
        <v>0</v>
      </c>
      <c r="S154" s="31">
        <f>'mnt Data'!E157</f>
        <v>0</v>
      </c>
      <c r="T154" s="31">
        <f>'mnt Data'!F157</f>
        <v>0</v>
      </c>
      <c r="U154" s="31">
        <f>'mnt Data'!G157</f>
        <v>0</v>
      </c>
      <c r="V154" s="31">
        <f>'mnt Data'!H157</f>
        <v>0</v>
      </c>
      <c r="W154" s="31">
        <f>'mnt Data'!I157</f>
        <v>0</v>
      </c>
      <c r="X154" s="31">
        <f>'mnt Data'!J157</f>
        <v>0</v>
      </c>
      <c r="Y154" s="31">
        <f>'mnt Data'!K157</f>
        <v>0</v>
      </c>
      <c r="Z154" s="31">
        <f>'mnt Data'!L157</f>
        <v>0</v>
      </c>
      <c r="AA154" s="31">
        <f>'mnt Data'!M157</f>
        <v>0</v>
      </c>
      <c r="AB154" s="31">
        <f>'mnt Data'!N157</f>
        <v>0</v>
      </c>
      <c r="AC154" s="31">
        <f>'mnt Data'!O157</f>
        <v>0</v>
      </c>
      <c r="AD154" s="31">
        <f>'mnt Data'!P157</f>
        <v>0</v>
      </c>
      <c r="AE154" s="31">
        <f>'mnt Data'!Q157</f>
        <v>0</v>
      </c>
      <c r="AF154" s="31">
        <f>'mnt Data'!R157</f>
        <v>0</v>
      </c>
      <c r="AG154" s="31">
        <f>'mnt Data'!S157</f>
        <v>0</v>
      </c>
      <c r="AH154" s="31">
        <f>'mnt Data'!T157</f>
        <v>0</v>
      </c>
      <c r="AI154" s="31">
        <f>'mnt Data'!U157</f>
        <v>0</v>
      </c>
      <c r="AJ154" s="31">
        <f>'mnt Data'!V157</f>
        <v>0</v>
      </c>
      <c r="AK154" s="31">
        <f>'mnt Data'!W157</f>
        <v>0</v>
      </c>
      <c r="AL154" s="31">
        <f>'mnt Data'!X157</f>
        <v>0</v>
      </c>
      <c r="AM154" s="31">
        <f>'mnt Data'!Y157</f>
        <v>0</v>
      </c>
      <c r="AN154" s="31">
        <f>'mnt Data'!Z157</f>
        <v>0</v>
      </c>
      <c r="AO154" s="31">
        <f>'mnt Data'!AA157</f>
        <v>0</v>
      </c>
      <c r="AP154" s="31">
        <f>'mnt Data'!AB157</f>
        <v>0</v>
      </c>
      <c r="AQ154" s="31">
        <f>'mnt Data'!AC157</f>
        <v>0</v>
      </c>
      <c r="AR154" s="31">
        <f>'mnt Data'!AD157</f>
        <v>0</v>
      </c>
      <c r="AS154" s="31">
        <f>'mnt Data'!AE157</f>
        <v>0</v>
      </c>
      <c r="AT154" s="31">
        <f>'mnt Data'!AF157</f>
        <v>0</v>
      </c>
      <c r="AU154" s="31">
        <f>'mnt Data'!AG157</f>
        <v>0</v>
      </c>
      <c r="AV154" s="31">
        <f>'mnt Data'!AH157</f>
        <v>0</v>
      </c>
      <c r="AW154" s="31">
        <f>'mnt Data'!AI157</f>
        <v>0</v>
      </c>
      <c r="AX154" s="31">
        <f>'mnt Data'!AJ157</f>
        <v>0</v>
      </c>
      <c r="AY154" s="31">
        <f>'mnt Data'!AK157</f>
        <v>0</v>
      </c>
    </row>
    <row r="155" spans="1:51" x14ac:dyDescent="0.25">
      <c r="A155">
        <v>154</v>
      </c>
      <c r="B155" s="32">
        <f t="shared" si="24"/>
        <v>0</v>
      </c>
      <c r="C155" s="32">
        <f t="shared" si="25"/>
        <v>0</v>
      </c>
      <c r="D155" s="32" t="str">
        <f t="shared" si="29"/>
        <v>No Gs</v>
      </c>
      <c r="E155" s="32">
        <f t="shared" si="33"/>
        <v>0</v>
      </c>
      <c r="F155" s="32" t="str">
        <f t="shared" si="34"/>
        <v>No Gs</v>
      </c>
      <c r="G155" s="32" t="str">
        <f t="shared" si="35"/>
        <v>No Gs</v>
      </c>
      <c r="H155" s="32" t="str">
        <f t="shared" si="26"/>
        <v>Gs is needed</v>
      </c>
      <c r="I155" s="32" t="str">
        <f t="shared" si="27"/>
        <v>Gs is needed</v>
      </c>
      <c r="J155" s="32" t="str">
        <f t="shared" si="28"/>
        <v>Gs is needed</v>
      </c>
      <c r="K155" s="32" t="str">
        <f t="shared" si="30"/>
        <v>Need Max and Min</v>
      </c>
      <c r="L155" s="32" t="str">
        <f t="shared" si="31"/>
        <v>Need Max and Min</v>
      </c>
      <c r="M155" s="32" t="str">
        <f t="shared" si="32"/>
        <v>Fail</v>
      </c>
      <c r="N155" s="32"/>
      <c r="O155" s="31">
        <f>'mnt Data'!A158</f>
        <v>0</v>
      </c>
      <c r="P155" s="31">
        <f>'mnt Data'!B158</f>
        <v>0</v>
      </c>
      <c r="Q155" s="31">
        <f>'mnt Data'!C158</f>
        <v>0</v>
      </c>
      <c r="R155" s="31">
        <f>'mnt Data'!D158</f>
        <v>0</v>
      </c>
      <c r="S155" s="31">
        <f>'mnt Data'!E158</f>
        <v>0</v>
      </c>
      <c r="T155" s="31">
        <f>'mnt Data'!F158</f>
        <v>0</v>
      </c>
      <c r="U155" s="31">
        <f>'mnt Data'!G158</f>
        <v>0</v>
      </c>
      <c r="V155" s="31">
        <f>'mnt Data'!H158</f>
        <v>0</v>
      </c>
      <c r="W155" s="31">
        <f>'mnt Data'!I158</f>
        <v>0</v>
      </c>
      <c r="X155" s="31">
        <f>'mnt Data'!J158</f>
        <v>0</v>
      </c>
      <c r="Y155" s="31">
        <f>'mnt Data'!K158</f>
        <v>0</v>
      </c>
      <c r="Z155" s="31">
        <f>'mnt Data'!L158</f>
        <v>0</v>
      </c>
      <c r="AA155" s="31">
        <f>'mnt Data'!M158</f>
        <v>0</v>
      </c>
      <c r="AB155" s="31">
        <f>'mnt Data'!N158</f>
        <v>0</v>
      </c>
      <c r="AC155" s="31">
        <f>'mnt Data'!O158</f>
        <v>0</v>
      </c>
      <c r="AD155" s="31">
        <f>'mnt Data'!P158</f>
        <v>0</v>
      </c>
      <c r="AE155" s="31">
        <f>'mnt Data'!Q158</f>
        <v>0</v>
      </c>
      <c r="AF155" s="31">
        <f>'mnt Data'!R158</f>
        <v>0</v>
      </c>
      <c r="AG155" s="31">
        <f>'mnt Data'!S158</f>
        <v>0</v>
      </c>
      <c r="AH155" s="31">
        <f>'mnt Data'!T158</f>
        <v>0</v>
      </c>
      <c r="AI155" s="31">
        <f>'mnt Data'!U158</f>
        <v>0</v>
      </c>
      <c r="AJ155" s="31">
        <f>'mnt Data'!V158</f>
        <v>0</v>
      </c>
      <c r="AK155" s="31">
        <f>'mnt Data'!W158</f>
        <v>0</v>
      </c>
      <c r="AL155" s="31">
        <f>'mnt Data'!X158</f>
        <v>0</v>
      </c>
      <c r="AM155" s="31">
        <f>'mnt Data'!Y158</f>
        <v>0</v>
      </c>
      <c r="AN155" s="31">
        <f>'mnt Data'!Z158</f>
        <v>0</v>
      </c>
      <c r="AO155" s="31">
        <f>'mnt Data'!AA158</f>
        <v>0</v>
      </c>
      <c r="AP155" s="31">
        <f>'mnt Data'!AB158</f>
        <v>0</v>
      </c>
      <c r="AQ155" s="31">
        <f>'mnt Data'!AC158</f>
        <v>0</v>
      </c>
      <c r="AR155" s="31">
        <f>'mnt Data'!AD158</f>
        <v>0</v>
      </c>
      <c r="AS155" s="31">
        <f>'mnt Data'!AE158</f>
        <v>0</v>
      </c>
      <c r="AT155" s="31">
        <f>'mnt Data'!AF158</f>
        <v>0</v>
      </c>
      <c r="AU155" s="31">
        <f>'mnt Data'!AG158</f>
        <v>0</v>
      </c>
      <c r="AV155" s="31">
        <f>'mnt Data'!AH158</f>
        <v>0</v>
      </c>
      <c r="AW155" s="31">
        <f>'mnt Data'!AI158</f>
        <v>0</v>
      </c>
      <c r="AX155" s="31">
        <f>'mnt Data'!AJ158</f>
        <v>0</v>
      </c>
      <c r="AY155" s="31">
        <f>'mnt Data'!AK158</f>
        <v>0</v>
      </c>
    </row>
    <row r="156" spans="1:51" x14ac:dyDescent="0.25">
      <c r="A156">
        <v>155</v>
      </c>
      <c r="B156" s="32">
        <f t="shared" si="24"/>
        <v>0</v>
      </c>
      <c r="C156" s="32">
        <f t="shared" si="25"/>
        <v>0</v>
      </c>
      <c r="D156" s="32" t="str">
        <f t="shared" si="29"/>
        <v>No Gs</v>
      </c>
      <c r="E156" s="32">
        <f t="shared" si="33"/>
        <v>0</v>
      </c>
      <c r="F156" s="32" t="str">
        <f t="shared" si="34"/>
        <v>No Gs</v>
      </c>
      <c r="G156" s="32" t="str">
        <f t="shared" si="35"/>
        <v>No Gs</v>
      </c>
      <c r="H156" s="32" t="str">
        <f t="shared" si="26"/>
        <v>Gs is needed</v>
      </c>
      <c r="I156" s="32" t="str">
        <f t="shared" si="27"/>
        <v>Gs is needed</v>
      </c>
      <c r="J156" s="32" t="str">
        <f t="shared" si="28"/>
        <v>Gs is needed</v>
      </c>
      <c r="K156" s="32" t="str">
        <f t="shared" si="30"/>
        <v>Need Max and Min</v>
      </c>
      <c r="L156" s="32" t="str">
        <f t="shared" si="31"/>
        <v>Need Max and Min</v>
      </c>
      <c r="M156" s="32" t="str">
        <f t="shared" si="32"/>
        <v>Fail</v>
      </c>
      <c r="N156" s="32"/>
      <c r="O156" s="31">
        <f>'mnt Data'!A159</f>
        <v>0</v>
      </c>
      <c r="P156" s="31">
        <f>'mnt Data'!B159</f>
        <v>0</v>
      </c>
      <c r="Q156" s="31">
        <f>'mnt Data'!C159</f>
        <v>0</v>
      </c>
      <c r="R156" s="31">
        <f>'mnt Data'!D159</f>
        <v>0</v>
      </c>
      <c r="S156" s="31">
        <f>'mnt Data'!E159</f>
        <v>0</v>
      </c>
      <c r="T156" s="31">
        <f>'mnt Data'!F159</f>
        <v>0</v>
      </c>
      <c r="U156" s="31">
        <f>'mnt Data'!G159</f>
        <v>0</v>
      </c>
      <c r="V156" s="31">
        <f>'mnt Data'!H159</f>
        <v>0</v>
      </c>
      <c r="W156" s="31">
        <f>'mnt Data'!I159</f>
        <v>0</v>
      </c>
      <c r="X156" s="31">
        <f>'mnt Data'!J159</f>
        <v>0</v>
      </c>
      <c r="Y156" s="31">
        <f>'mnt Data'!K159</f>
        <v>0</v>
      </c>
      <c r="Z156" s="31">
        <f>'mnt Data'!L159</f>
        <v>0</v>
      </c>
      <c r="AA156" s="31">
        <f>'mnt Data'!M159</f>
        <v>0</v>
      </c>
      <c r="AB156" s="31">
        <f>'mnt Data'!N159</f>
        <v>0</v>
      </c>
      <c r="AC156" s="31">
        <f>'mnt Data'!O159</f>
        <v>0</v>
      </c>
      <c r="AD156" s="31">
        <f>'mnt Data'!P159</f>
        <v>0</v>
      </c>
      <c r="AE156" s="31">
        <f>'mnt Data'!Q159</f>
        <v>0</v>
      </c>
      <c r="AF156" s="31">
        <f>'mnt Data'!R159</f>
        <v>0</v>
      </c>
      <c r="AG156" s="31">
        <f>'mnt Data'!S159</f>
        <v>0</v>
      </c>
      <c r="AH156" s="31">
        <f>'mnt Data'!T159</f>
        <v>0</v>
      </c>
      <c r="AI156" s="31">
        <f>'mnt Data'!U159</f>
        <v>0</v>
      </c>
      <c r="AJ156" s="31">
        <f>'mnt Data'!V159</f>
        <v>0</v>
      </c>
      <c r="AK156" s="31">
        <f>'mnt Data'!W159</f>
        <v>0</v>
      </c>
      <c r="AL156" s="31">
        <f>'mnt Data'!X159</f>
        <v>0</v>
      </c>
      <c r="AM156" s="31">
        <f>'mnt Data'!Y159</f>
        <v>0</v>
      </c>
      <c r="AN156" s="31">
        <f>'mnt Data'!Z159</f>
        <v>0</v>
      </c>
      <c r="AO156" s="31">
        <f>'mnt Data'!AA159</f>
        <v>0</v>
      </c>
      <c r="AP156" s="31">
        <f>'mnt Data'!AB159</f>
        <v>0</v>
      </c>
      <c r="AQ156" s="31">
        <f>'mnt Data'!AC159</f>
        <v>0</v>
      </c>
      <c r="AR156" s="31">
        <f>'mnt Data'!AD159</f>
        <v>0</v>
      </c>
      <c r="AS156" s="31">
        <f>'mnt Data'!AE159</f>
        <v>0</v>
      </c>
      <c r="AT156" s="31">
        <f>'mnt Data'!AF159</f>
        <v>0</v>
      </c>
      <c r="AU156" s="31">
        <f>'mnt Data'!AG159</f>
        <v>0</v>
      </c>
      <c r="AV156" s="31">
        <f>'mnt Data'!AH159</f>
        <v>0</v>
      </c>
      <c r="AW156" s="31">
        <f>'mnt Data'!AI159</f>
        <v>0</v>
      </c>
      <c r="AX156" s="31">
        <f>'mnt Data'!AJ159</f>
        <v>0</v>
      </c>
      <c r="AY156" s="31">
        <f>'mnt Data'!AK159</f>
        <v>0</v>
      </c>
    </row>
    <row r="157" spans="1:51" x14ac:dyDescent="0.25">
      <c r="A157">
        <v>156</v>
      </c>
      <c r="B157" s="32">
        <f t="shared" si="24"/>
        <v>0</v>
      </c>
      <c r="C157" s="32">
        <f t="shared" si="25"/>
        <v>0</v>
      </c>
      <c r="D157" s="32" t="str">
        <f t="shared" si="29"/>
        <v>No Gs</v>
      </c>
      <c r="E157" s="32">
        <f t="shared" si="33"/>
        <v>0</v>
      </c>
      <c r="F157" s="32" t="str">
        <f t="shared" si="34"/>
        <v>No Gs</v>
      </c>
      <c r="G157" s="32" t="str">
        <f t="shared" si="35"/>
        <v>No Gs</v>
      </c>
      <c r="H157" s="32" t="str">
        <f t="shared" si="26"/>
        <v>Gs is needed</v>
      </c>
      <c r="I157" s="32" t="str">
        <f t="shared" si="27"/>
        <v>Gs is needed</v>
      </c>
      <c r="J157" s="32" t="str">
        <f t="shared" si="28"/>
        <v>Gs is needed</v>
      </c>
      <c r="K157" s="32" t="str">
        <f t="shared" si="30"/>
        <v>Need Max and Min</v>
      </c>
      <c r="L157" s="32" t="str">
        <f t="shared" si="31"/>
        <v>Need Max and Min</v>
      </c>
      <c r="M157" s="32" t="str">
        <f t="shared" si="32"/>
        <v>Fail</v>
      </c>
      <c r="N157" s="32"/>
      <c r="O157" s="31">
        <f>'mnt Data'!A160</f>
        <v>0</v>
      </c>
      <c r="P157" s="31">
        <f>'mnt Data'!B160</f>
        <v>0</v>
      </c>
      <c r="Q157" s="31">
        <f>'mnt Data'!C160</f>
        <v>0</v>
      </c>
      <c r="R157" s="31">
        <f>'mnt Data'!D160</f>
        <v>0</v>
      </c>
      <c r="S157" s="31">
        <f>'mnt Data'!E160</f>
        <v>0</v>
      </c>
      <c r="T157" s="31">
        <f>'mnt Data'!F160</f>
        <v>0</v>
      </c>
      <c r="U157" s="31">
        <f>'mnt Data'!G160</f>
        <v>0</v>
      </c>
      <c r="V157" s="31">
        <f>'mnt Data'!H160</f>
        <v>0</v>
      </c>
      <c r="W157" s="31">
        <f>'mnt Data'!I160</f>
        <v>0</v>
      </c>
      <c r="X157" s="31">
        <f>'mnt Data'!J160</f>
        <v>0</v>
      </c>
      <c r="Y157" s="31">
        <f>'mnt Data'!K160</f>
        <v>0</v>
      </c>
      <c r="Z157" s="31">
        <f>'mnt Data'!L160</f>
        <v>0</v>
      </c>
      <c r="AA157" s="31">
        <f>'mnt Data'!M160</f>
        <v>0</v>
      </c>
      <c r="AB157" s="31">
        <f>'mnt Data'!N160</f>
        <v>0</v>
      </c>
      <c r="AC157" s="31">
        <f>'mnt Data'!O160</f>
        <v>0</v>
      </c>
      <c r="AD157" s="31">
        <f>'mnt Data'!P160</f>
        <v>0</v>
      </c>
      <c r="AE157" s="31">
        <f>'mnt Data'!Q160</f>
        <v>0</v>
      </c>
      <c r="AF157" s="31">
        <f>'mnt Data'!R160</f>
        <v>0</v>
      </c>
      <c r="AG157" s="31">
        <f>'mnt Data'!S160</f>
        <v>0</v>
      </c>
      <c r="AH157" s="31">
        <f>'mnt Data'!T160</f>
        <v>0</v>
      </c>
      <c r="AI157" s="31">
        <f>'mnt Data'!U160</f>
        <v>0</v>
      </c>
      <c r="AJ157" s="31">
        <f>'mnt Data'!V160</f>
        <v>0</v>
      </c>
      <c r="AK157" s="31">
        <f>'mnt Data'!W160</f>
        <v>0</v>
      </c>
      <c r="AL157" s="31">
        <f>'mnt Data'!X160</f>
        <v>0</v>
      </c>
      <c r="AM157" s="31">
        <f>'mnt Data'!Y160</f>
        <v>0</v>
      </c>
      <c r="AN157" s="31">
        <f>'mnt Data'!Z160</f>
        <v>0</v>
      </c>
      <c r="AO157" s="31">
        <f>'mnt Data'!AA160</f>
        <v>0</v>
      </c>
      <c r="AP157" s="31">
        <f>'mnt Data'!AB160</f>
        <v>0</v>
      </c>
      <c r="AQ157" s="31">
        <f>'mnt Data'!AC160</f>
        <v>0</v>
      </c>
      <c r="AR157" s="31">
        <f>'mnt Data'!AD160</f>
        <v>0</v>
      </c>
      <c r="AS157" s="31">
        <f>'mnt Data'!AE160</f>
        <v>0</v>
      </c>
      <c r="AT157" s="31">
        <f>'mnt Data'!AF160</f>
        <v>0</v>
      </c>
      <c r="AU157" s="31">
        <f>'mnt Data'!AG160</f>
        <v>0</v>
      </c>
      <c r="AV157" s="31">
        <f>'mnt Data'!AH160</f>
        <v>0</v>
      </c>
      <c r="AW157" s="31">
        <f>'mnt Data'!AI160</f>
        <v>0</v>
      </c>
      <c r="AX157" s="31">
        <f>'mnt Data'!AJ160</f>
        <v>0</v>
      </c>
      <c r="AY157" s="31">
        <f>'mnt Data'!AK160</f>
        <v>0</v>
      </c>
    </row>
    <row r="158" spans="1:51" x14ac:dyDescent="0.25">
      <c r="A158">
        <v>157</v>
      </c>
      <c r="B158" s="32">
        <f t="shared" si="24"/>
        <v>0</v>
      </c>
      <c r="C158" s="32">
        <f t="shared" si="25"/>
        <v>0</v>
      </c>
      <c r="D158" s="32" t="str">
        <f t="shared" si="29"/>
        <v>No Gs</v>
      </c>
      <c r="E158" s="32">
        <f t="shared" si="33"/>
        <v>0</v>
      </c>
      <c r="F158" s="32" t="str">
        <f t="shared" si="34"/>
        <v>No Gs</v>
      </c>
      <c r="G158" s="32" t="str">
        <f t="shared" si="35"/>
        <v>No Gs</v>
      </c>
      <c r="H158" s="32" t="str">
        <f t="shared" si="26"/>
        <v>Gs is needed</v>
      </c>
      <c r="I158" s="32" t="str">
        <f t="shared" si="27"/>
        <v>Gs is needed</v>
      </c>
      <c r="J158" s="32" t="str">
        <f t="shared" si="28"/>
        <v>Gs is needed</v>
      </c>
      <c r="K158" s="32" t="str">
        <f t="shared" si="30"/>
        <v>Need Max and Min</v>
      </c>
      <c r="L158" s="32" t="str">
        <f t="shared" si="31"/>
        <v>Need Max and Min</v>
      </c>
      <c r="M158" s="32" t="str">
        <f t="shared" si="32"/>
        <v>Fail</v>
      </c>
      <c r="N158" s="32"/>
      <c r="O158" s="31">
        <f>'mnt Data'!A161</f>
        <v>0</v>
      </c>
      <c r="P158" s="31">
        <f>'mnt Data'!B161</f>
        <v>0</v>
      </c>
      <c r="Q158" s="31">
        <f>'mnt Data'!C161</f>
        <v>0</v>
      </c>
      <c r="R158" s="31">
        <f>'mnt Data'!D161</f>
        <v>0</v>
      </c>
      <c r="S158" s="31">
        <f>'mnt Data'!E161</f>
        <v>0</v>
      </c>
      <c r="T158" s="31">
        <f>'mnt Data'!F161</f>
        <v>0</v>
      </c>
      <c r="U158" s="31">
        <f>'mnt Data'!G161</f>
        <v>0</v>
      </c>
      <c r="V158" s="31">
        <f>'mnt Data'!H161</f>
        <v>0</v>
      </c>
      <c r="W158" s="31">
        <f>'mnt Data'!I161</f>
        <v>0</v>
      </c>
      <c r="X158" s="31">
        <f>'mnt Data'!J161</f>
        <v>0</v>
      </c>
      <c r="Y158" s="31">
        <f>'mnt Data'!K161</f>
        <v>0</v>
      </c>
      <c r="Z158" s="31">
        <f>'mnt Data'!L161</f>
        <v>0</v>
      </c>
      <c r="AA158" s="31">
        <f>'mnt Data'!M161</f>
        <v>0</v>
      </c>
      <c r="AB158" s="31">
        <f>'mnt Data'!N161</f>
        <v>0</v>
      </c>
      <c r="AC158" s="31">
        <f>'mnt Data'!O161</f>
        <v>0</v>
      </c>
      <c r="AD158" s="31">
        <f>'mnt Data'!P161</f>
        <v>0</v>
      </c>
      <c r="AE158" s="31">
        <f>'mnt Data'!Q161</f>
        <v>0</v>
      </c>
      <c r="AF158" s="31">
        <f>'mnt Data'!R161</f>
        <v>0</v>
      </c>
      <c r="AG158" s="31">
        <f>'mnt Data'!S161</f>
        <v>0</v>
      </c>
      <c r="AH158" s="31">
        <f>'mnt Data'!T161</f>
        <v>0</v>
      </c>
      <c r="AI158" s="31">
        <f>'mnt Data'!U161</f>
        <v>0</v>
      </c>
      <c r="AJ158" s="31">
        <f>'mnt Data'!V161</f>
        <v>0</v>
      </c>
      <c r="AK158" s="31">
        <f>'mnt Data'!W161</f>
        <v>0</v>
      </c>
      <c r="AL158" s="31">
        <f>'mnt Data'!X161</f>
        <v>0</v>
      </c>
      <c r="AM158" s="31">
        <f>'mnt Data'!Y161</f>
        <v>0</v>
      </c>
      <c r="AN158" s="31">
        <f>'mnt Data'!Z161</f>
        <v>0</v>
      </c>
      <c r="AO158" s="31">
        <f>'mnt Data'!AA161</f>
        <v>0</v>
      </c>
      <c r="AP158" s="31">
        <f>'mnt Data'!AB161</f>
        <v>0</v>
      </c>
      <c r="AQ158" s="31">
        <f>'mnt Data'!AC161</f>
        <v>0</v>
      </c>
      <c r="AR158" s="31">
        <f>'mnt Data'!AD161</f>
        <v>0</v>
      </c>
      <c r="AS158" s="31">
        <f>'mnt Data'!AE161</f>
        <v>0</v>
      </c>
      <c r="AT158" s="31">
        <f>'mnt Data'!AF161</f>
        <v>0</v>
      </c>
      <c r="AU158" s="31">
        <f>'mnt Data'!AG161</f>
        <v>0</v>
      </c>
      <c r="AV158" s="31">
        <f>'mnt Data'!AH161</f>
        <v>0</v>
      </c>
      <c r="AW158" s="31">
        <f>'mnt Data'!AI161</f>
        <v>0</v>
      </c>
      <c r="AX158" s="31">
        <f>'mnt Data'!AJ161</f>
        <v>0</v>
      </c>
      <c r="AY158" s="31">
        <f>'mnt Data'!AK161</f>
        <v>0</v>
      </c>
    </row>
    <row r="159" spans="1:51" x14ac:dyDescent="0.25">
      <c r="A159">
        <v>158</v>
      </c>
      <c r="B159" s="32">
        <f t="shared" si="24"/>
        <v>0</v>
      </c>
      <c r="C159" s="32">
        <f t="shared" si="25"/>
        <v>0</v>
      </c>
      <c r="D159" s="32" t="str">
        <f t="shared" si="29"/>
        <v>No Gs</v>
      </c>
      <c r="E159" s="32">
        <f t="shared" si="33"/>
        <v>0</v>
      </c>
      <c r="F159" s="32" t="str">
        <f t="shared" si="34"/>
        <v>No Gs</v>
      </c>
      <c r="G159" s="32" t="str">
        <f t="shared" si="35"/>
        <v>No Gs</v>
      </c>
      <c r="H159" s="32" t="str">
        <f t="shared" si="26"/>
        <v>Gs is needed</v>
      </c>
      <c r="I159" s="32" t="str">
        <f t="shared" si="27"/>
        <v>Gs is needed</v>
      </c>
      <c r="J159" s="32" t="str">
        <f t="shared" si="28"/>
        <v>Gs is needed</v>
      </c>
      <c r="K159" s="32" t="str">
        <f t="shared" si="30"/>
        <v>Need Max and Min</v>
      </c>
      <c r="L159" s="32" t="str">
        <f t="shared" si="31"/>
        <v>Need Max and Min</v>
      </c>
      <c r="M159" s="32" t="str">
        <f t="shared" si="32"/>
        <v>Fail</v>
      </c>
      <c r="N159" s="32"/>
      <c r="O159" s="31">
        <f>'mnt Data'!A162</f>
        <v>0</v>
      </c>
      <c r="P159" s="31">
        <f>'mnt Data'!B162</f>
        <v>0</v>
      </c>
      <c r="Q159" s="31">
        <f>'mnt Data'!C162</f>
        <v>0</v>
      </c>
      <c r="R159" s="31">
        <f>'mnt Data'!D162</f>
        <v>0</v>
      </c>
      <c r="S159" s="31">
        <f>'mnt Data'!E162</f>
        <v>0</v>
      </c>
      <c r="T159" s="31">
        <f>'mnt Data'!F162</f>
        <v>0</v>
      </c>
      <c r="U159" s="31">
        <f>'mnt Data'!G162</f>
        <v>0</v>
      </c>
      <c r="V159" s="31">
        <f>'mnt Data'!H162</f>
        <v>0</v>
      </c>
      <c r="W159" s="31">
        <f>'mnt Data'!I162</f>
        <v>0</v>
      </c>
      <c r="X159" s="31">
        <f>'mnt Data'!J162</f>
        <v>0</v>
      </c>
      <c r="Y159" s="31">
        <f>'mnt Data'!K162</f>
        <v>0</v>
      </c>
      <c r="Z159" s="31">
        <f>'mnt Data'!L162</f>
        <v>0</v>
      </c>
      <c r="AA159" s="31">
        <f>'mnt Data'!M162</f>
        <v>0</v>
      </c>
      <c r="AB159" s="31">
        <f>'mnt Data'!N162</f>
        <v>0</v>
      </c>
      <c r="AC159" s="31">
        <f>'mnt Data'!O162</f>
        <v>0</v>
      </c>
      <c r="AD159" s="31">
        <f>'mnt Data'!P162</f>
        <v>0</v>
      </c>
      <c r="AE159" s="31">
        <f>'mnt Data'!Q162</f>
        <v>0</v>
      </c>
      <c r="AF159" s="31">
        <f>'mnt Data'!R162</f>
        <v>0</v>
      </c>
      <c r="AG159" s="31">
        <f>'mnt Data'!S162</f>
        <v>0</v>
      </c>
      <c r="AH159" s="31">
        <f>'mnt Data'!T162</f>
        <v>0</v>
      </c>
      <c r="AI159" s="31">
        <f>'mnt Data'!U162</f>
        <v>0</v>
      </c>
      <c r="AJ159" s="31">
        <f>'mnt Data'!V162</f>
        <v>0</v>
      </c>
      <c r="AK159" s="31">
        <f>'mnt Data'!W162</f>
        <v>0</v>
      </c>
      <c r="AL159" s="31">
        <f>'mnt Data'!X162</f>
        <v>0</v>
      </c>
      <c r="AM159" s="31">
        <f>'mnt Data'!Y162</f>
        <v>0</v>
      </c>
      <c r="AN159" s="31">
        <f>'mnt Data'!Z162</f>
        <v>0</v>
      </c>
      <c r="AO159" s="31">
        <f>'mnt Data'!AA162</f>
        <v>0</v>
      </c>
      <c r="AP159" s="31">
        <f>'mnt Data'!AB162</f>
        <v>0</v>
      </c>
      <c r="AQ159" s="31">
        <f>'mnt Data'!AC162</f>
        <v>0</v>
      </c>
      <c r="AR159" s="31">
        <f>'mnt Data'!AD162</f>
        <v>0</v>
      </c>
      <c r="AS159" s="31">
        <f>'mnt Data'!AE162</f>
        <v>0</v>
      </c>
      <c r="AT159" s="31">
        <f>'mnt Data'!AF162</f>
        <v>0</v>
      </c>
      <c r="AU159" s="31">
        <f>'mnt Data'!AG162</f>
        <v>0</v>
      </c>
      <c r="AV159" s="31">
        <f>'mnt Data'!AH162</f>
        <v>0</v>
      </c>
      <c r="AW159" s="31">
        <f>'mnt Data'!AI162</f>
        <v>0</v>
      </c>
      <c r="AX159" s="31">
        <f>'mnt Data'!AJ162</f>
        <v>0</v>
      </c>
      <c r="AY159" s="31">
        <f>'mnt Data'!AK162</f>
        <v>0</v>
      </c>
    </row>
    <row r="160" spans="1:51" x14ac:dyDescent="0.25">
      <c r="A160">
        <v>159</v>
      </c>
      <c r="B160" s="32">
        <f t="shared" si="24"/>
        <v>0</v>
      </c>
      <c r="C160" s="32">
        <f t="shared" si="25"/>
        <v>0</v>
      </c>
      <c r="D160" s="32" t="str">
        <f t="shared" si="29"/>
        <v>No Gs</v>
      </c>
      <c r="E160" s="32">
        <f t="shared" si="33"/>
        <v>0</v>
      </c>
      <c r="F160" s="32" t="str">
        <f t="shared" si="34"/>
        <v>No Gs</v>
      </c>
      <c r="G160" s="32" t="str">
        <f t="shared" si="35"/>
        <v>No Gs</v>
      </c>
      <c r="H160" s="32" t="str">
        <f t="shared" si="26"/>
        <v>Gs is needed</v>
      </c>
      <c r="I160" s="32" t="str">
        <f t="shared" si="27"/>
        <v>Gs is needed</v>
      </c>
      <c r="J160" s="32" t="str">
        <f t="shared" si="28"/>
        <v>Gs is needed</v>
      </c>
      <c r="K160" s="32" t="str">
        <f t="shared" si="30"/>
        <v>Need Max and Min</v>
      </c>
      <c r="L160" s="32" t="str">
        <f t="shared" si="31"/>
        <v>Need Max and Min</v>
      </c>
      <c r="M160" s="32" t="str">
        <f t="shared" si="32"/>
        <v>Fail</v>
      </c>
      <c r="N160" s="32"/>
      <c r="O160" s="31">
        <f>'mnt Data'!A163</f>
        <v>0</v>
      </c>
      <c r="P160" s="31">
        <f>'mnt Data'!B163</f>
        <v>0</v>
      </c>
      <c r="Q160" s="31">
        <f>'mnt Data'!C163</f>
        <v>0</v>
      </c>
      <c r="R160" s="31">
        <f>'mnt Data'!D163</f>
        <v>0</v>
      </c>
      <c r="S160" s="31">
        <f>'mnt Data'!E163</f>
        <v>0</v>
      </c>
      <c r="T160" s="31">
        <f>'mnt Data'!F163</f>
        <v>0</v>
      </c>
      <c r="U160" s="31">
        <f>'mnt Data'!G163</f>
        <v>0</v>
      </c>
      <c r="V160" s="31">
        <f>'mnt Data'!H163</f>
        <v>0</v>
      </c>
      <c r="W160" s="31">
        <f>'mnt Data'!I163</f>
        <v>0</v>
      </c>
      <c r="X160" s="31">
        <f>'mnt Data'!J163</f>
        <v>0</v>
      </c>
      <c r="Y160" s="31">
        <f>'mnt Data'!K163</f>
        <v>0</v>
      </c>
      <c r="Z160" s="31">
        <f>'mnt Data'!L163</f>
        <v>0</v>
      </c>
      <c r="AA160" s="31">
        <f>'mnt Data'!M163</f>
        <v>0</v>
      </c>
      <c r="AB160" s="31">
        <f>'mnt Data'!N163</f>
        <v>0</v>
      </c>
      <c r="AC160" s="31">
        <f>'mnt Data'!O163</f>
        <v>0</v>
      </c>
      <c r="AD160" s="31">
        <f>'mnt Data'!P163</f>
        <v>0</v>
      </c>
      <c r="AE160" s="31">
        <f>'mnt Data'!Q163</f>
        <v>0</v>
      </c>
      <c r="AF160" s="31">
        <f>'mnt Data'!R163</f>
        <v>0</v>
      </c>
      <c r="AG160" s="31">
        <f>'mnt Data'!S163</f>
        <v>0</v>
      </c>
      <c r="AH160" s="31">
        <f>'mnt Data'!T163</f>
        <v>0</v>
      </c>
      <c r="AI160" s="31">
        <f>'mnt Data'!U163</f>
        <v>0</v>
      </c>
      <c r="AJ160" s="31">
        <f>'mnt Data'!V163</f>
        <v>0</v>
      </c>
      <c r="AK160" s="31">
        <f>'mnt Data'!W163</f>
        <v>0</v>
      </c>
      <c r="AL160" s="31">
        <f>'mnt Data'!X163</f>
        <v>0</v>
      </c>
      <c r="AM160" s="31">
        <f>'mnt Data'!Y163</f>
        <v>0</v>
      </c>
      <c r="AN160" s="31">
        <f>'mnt Data'!Z163</f>
        <v>0</v>
      </c>
      <c r="AO160" s="31">
        <f>'mnt Data'!AA163</f>
        <v>0</v>
      </c>
      <c r="AP160" s="31">
        <f>'mnt Data'!AB163</f>
        <v>0</v>
      </c>
      <c r="AQ160" s="31">
        <f>'mnt Data'!AC163</f>
        <v>0</v>
      </c>
      <c r="AR160" s="31">
        <f>'mnt Data'!AD163</f>
        <v>0</v>
      </c>
      <c r="AS160" s="31">
        <f>'mnt Data'!AE163</f>
        <v>0</v>
      </c>
      <c r="AT160" s="31">
        <f>'mnt Data'!AF163</f>
        <v>0</v>
      </c>
      <c r="AU160" s="31">
        <f>'mnt Data'!AG163</f>
        <v>0</v>
      </c>
      <c r="AV160" s="31">
        <f>'mnt Data'!AH163</f>
        <v>0</v>
      </c>
      <c r="AW160" s="31">
        <f>'mnt Data'!AI163</f>
        <v>0</v>
      </c>
      <c r="AX160" s="31">
        <f>'mnt Data'!AJ163</f>
        <v>0</v>
      </c>
      <c r="AY160" s="31">
        <f>'mnt Data'!AK163</f>
        <v>0</v>
      </c>
    </row>
    <row r="161" spans="1:51" x14ac:dyDescent="0.25">
      <c r="A161">
        <v>160</v>
      </c>
      <c r="B161" s="32">
        <f t="shared" si="24"/>
        <v>0</v>
      </c>
      <c r="C161" s="32">
        <f t="shared" si="25"/>
        <v>0</v>
      </c>
      <c r="D161" s="32" t="str">
        <f t="shared" si="29"/>
        <v>No Gs</v>
      </c>
      <c r="E161" s="32">
        <f t="shared" si="33"/>
        <v>0</v>
      </c>
      <c r="F161" s="32" t="str">
        <f t="shared" si="34"/>
        <v>No Gs</v>
      </c>
      <c r="G161" s="32" t="str">
        <f t="shared" si="35"/>
        <v>No Gs</v>
      </c>
      <c r="H161" s="32" t="str">
        <f t="shared" si="26"/>
        <v>Gs is needed</v>
      </c>
      <c r="I161" s="32" t="str">
        <f t="shared" si="27"/>
        <v>Gs is needed</v>
      </c>
      <c r="J161" s="32" t="str">
        <f t="shared" si="28"/>
        <v>Gs is needed</v>
      </c>
      <c r="K161" s="32" t="str">
        <f t="shared" si="30"/>
        <v>Need Max and Min</v>
      </c>
      <c r="L161" s="32" t="str">
        <f t="shared" si="31"/>
        <v>Need Max and Min</v>
      </c>
      <c r="M161" s="32" t="str">
        <f t="shared" si="32"/>
        <v>Fail</v>
      </c>
      <c r="N161" s="32"/>
      <c r="O161" s="31">
        <f>'mnt Data'!A164</f>
        <v>0</v>
      </c>
      <c r="P161" s="31">
        <f>'mnt Data'!B164</f>
        <v>0</v>
      </c>
      <c r="Q161" s="31">
        <f>'mnt Data'!C164</f>
        <v>0</v>
      </c>
      <c r="R161" s="31">
        <f>'mnt Data'!D164</f>
        <v>0</v>
      </c>
      <c r="S161" s="31">
        <f>'mnt Data'!E164</f>
        <v>0</v>
      </c>
      <c r="T161" s="31">
        <f>'mnt Data'!F164</f>
        <v>0</v>
      </c>
      <c r="U161" s="31">
        <f>'mnt Data'!G164</f>
        <v>0</v>
      </c>
      <c r="V161" s="31">
        <f>'mnt Data'!H164</f>
        <v>0</v>
      </c>
      <c r="W161" s="31">
        <f>'mnt Data'!I164</f>
        <v>0</v>
      </c>
      <c r="X161" s="31">
        <f>'mnt Data'!J164</f>
        <v>0</v>
      </c>
      <c r="Y161" s="31">
        <f>'mnt Data'!K164</f>
        <v>0</v>
      </c>
      <c r="Z161" s="31">
        <f>'mnt Data'!L164</f>
        <v>0</v>
      </c>
      <c r="AA161" s="31">
        <f>'mnt Data'!M164</f>
        <v>0</v>
      </c>
      <c r="AB161" s="31">
        <f>'mnt Data'!N164</f>
        <v>0</v>
      </c>
      <c r="AC161" s="31">
        <f>'mnt Data'!O164</f>
        <v>0</v>
      </c>
      <c r="AD161" s="31">
        <f>'mnt Data'!P164</f>
        <v>0</v>
      </c>
      <c r="AE161" s="31">
        <f>'mnt Data'!Q164</f>
        <v>0</v>
      </c>
      <c r="AF161" s="31">
        <f>'mnt Data'!R164</f>
        <v>0</v>
      </c>
      <c r="AG161" s="31">
        <f>'mnt Data'!S164</f>
        <v>0</v>
      </c>
      <c r="AH161" s="31">
        <f>'mnt Data'!T164</f>
        <v>0</v>
      </c>
      <c r="AI161" s="31">
        <f>'mnt Data'!U164</f>
        <v>0</v>
      </c>
      <c r="AJ161" s="31">
        <f>'mnt Data'!V164</f>
        <v>0</v>
      </c>
      <c r="AK161" s="31">
        <f>'mnt Data'!W164</f>
        <v>0</v>
      </c>
      <c r="AL161" s="31">
        <f>'mnt Data'!X164</f>
        <v>0</v>
      </c>
      <c r="AM161" s="31">
        <f>'mnt Data'!Y164</f>
        <v>0</v>
      </c>
      <c r="AN161" s="31">
        <f>'mnt Data'!Z164</f>
        <v>0</v>
      </c>
      <c r="AO161" s="31">
        <f>'mnt Data'!AA164</f>
        <v>0</v>
      </c>
      <c r="AP161" s="31">
        <f>'mnt Data'!AB164</f>
        <v>0</v>
      </c>
      <c r="AQ161" s="31">
        <f>'mnt Data'!AC164</f>
        <v>0</v>
      </c>
      <c r="AR161" s="31">
        <f>'mnt Data'!AD164</f>
        <v>0</v>
      </c>
      <c r="AS161" s="31">
        <f>'mnt Data'!AE164</f>
        <v>0</v>
      </c>
      <c r="AT161" s="31">
        <f>'mnt Data'!AF164</f>
        <v>0</v>
      </c>
      <c r="AU161" s="31">
        <f>'mnt Data'!AG164</f>
        <v>0</v>
      </c>
      <c r="AV161" s="31">
        <f>'mnt Data'!AH164</f>
        <v>0</v>
      </c>
      <c r="AW161" s="31">
        <f>'mnt Data'!AI164</f>
        <v>0</v>
      </c>
      <c r="AX161" s="31">
        <f>'mnt Data'!AJ164</f>
        <v>0</v>
      </c>
      <c r="AY161" s="31">
        <f>'mnt Data'!AK164</f>
        <v>0</v>
      </c>
    </row>
    <row r="162" spans="1:51" x14ac:dyDescent="0.25">
      <c r="A162">
        <v>161</v>
      </c>
      <c r="B162" s="32">
        <f t="shared" si="24"/>
        <v>0</v>
      </c>
      <c r="C162" s="32">
        <f t="shared" si="25"/>
        <v>0</v>
      </c>
      <c r="D162" s="32" t="str">
        <f t="shared" si="29"/>
        <v>No Gs</v>
      </c>
      <c r="E162" s="32">
        <f t="shared" si="33"/>
        <v>0</v>
      </c>
      <c r="F162" s="32" t="str">
        <f t="shared" si="34"/>
        <v>No Gs</v>
      </c>
      <c r="G162" s="32" t="str">
        <f t="shared" si="35"/>
        <v>No Gs</v>
      </c>
      <c r="H162" s="32" t="str">
        <f t="shared" si="26"/>
        <v>Gs is needed</v>
      </c>
      <c r="I162" s="32" t="str">
        <f t="shared" si="27"/>
        <v>Gs is needed</v>
      </c>
      <c r="J162" s="32" t="str">
        <f t="shared" si="28"/>
        <v>Gs is needed</v>
      </c>
      <c r="K162" s="32" t="str">
        <f t="shared" si="30"/>
        <v>Need Max and Min</v>
      </c>
      <c r="L162" s="32" t="str">
        <f t="shared" si="31"/>
        <v>Need Max and Min</v>
      </c>
      <c r="M162" s="32" t="str">
        <f t="shared" si="32"/>
        <v>Fail</v>
      </c>
      <c r="N162" s="32"/>
      <c r="O162" s="31">
        <f>'mnt Data'!A165</f>
        <v>0</v>
      </c>
      <c r="P162" s="31">
        <f>'mnt Data'!B165</f>
        <v>0</v>
      </c>
      <c r="Q162" s="31">
        <f>'mnt Data'!C165</f>
        <v>0</v>
      </c>
      <c r="R162" s="31">
        <f>'mnt Data'!D165</f>
        <v>0</v>
      </c>
      <c r="S162" s="31">
        <f>'mnt Data'!E165</f>
        <v>0</v>
      </c>
      <c r="T162" s="31">
        <f>'mnt Data'!F165</f>
        <v>0</v>
      </c>
      <c r="U162" s="31">
        <f>'mnt Data'!G165</f>
        <v>0</v>
      </c>
      <c r="V162" s="31">
        <f>'mnt Data'!H165</f>
        <v>0</v>
      </c>
      <c r="W162" s="31">
        <f>'mnt Data'!I165</f>
        <v>0</v>
      </c>
      <c r="X162" s="31">
        <f>'mnt Data'!J165</f>
        <v>0</v>
      </c>
      <c r="Y162" s="31">
        <f>'mnt Data'!K165</f>
        <v>0</v>
      </c>
      <c r="Z162" s="31">
        <f>'mnt Data'!L165</f>
        <v>0</v>
      </c>
      <c r="AA162" s="31">
        <f>'mnt Data'!M165</f>
        <v>0</v>
      </c>
      <c r="AB162" s="31">
        <f>'mnt Data'!N165</f>
        <v>0</v>
      </c>
      <c r="AC162" s="31">
        <f>'mnt Data'!O165</f>
        <v>0</v>
      </c>
      <c r="AD162" s="31">
        <f>'mnt Data'!P165</f>
        <v>0</v>
      </c>
      <c r="AE162" s="31">
        <f>'mnt Data'!Q165</f>
        <v>0</v>
      </c>
      <c r="AF162" s="31">
        <f>'mnt Data'!R165</f>
        <v>0</v>
      </c>
      <c r="AG162" s="31">
        <f>'mnt Data'!S165</f>
        <v>0</v>
      </c>
      <c r="AH162" s="31">
        <f>'mnt Data'!T165</f>
        <v>0</v>
      </c>
      <c r="AI162" s="31">
        <f>'mnt Data'!U165</f>
        <v>0</v>
      </c>
      <c r="AJ162" s="31">
        <f>'mnt Data'!V165</f>
        <v>0</v>
      </c>
      <c r="AK162" s="31">
        <f>'mnt Data'!W165</f>
        <v>0</v>
      </c>
      <c r="AL162" s="31">
        <f>'mnt Data'!X165</f>
        <v>0</v>
      </c>
      <c r="AM162" s="31">
        <f>'mnt Data'!Y165</f>
        <v>0</v>
      </c>
      <c r="AN162" s="31">
        <f>'mnt Data'!Z165</f>
        <v>0</v>
      </c>
      <c r="AO162" s="31">
        <f>'mnt Data'!AA165</f>
        <v>0</v>
      </c>
      <c r="AP162" s="31">
        <f>'mnt Data'!AB165</f>
        <v>0</v>
      </c>
      <c r="AQ162" s="31">
        <f>'mnt Data'!AC165</f>
        <v>0</v>
      </c>
      <c r="AR162" s="31">
        <f>'mnt Data'!AD165</f>
        <v>0</v>
      </c>
      <c r="AS162" s="31">
        <f>'mnt Data'!AE165</f>
        <v>0</v>
      </c>
      <c r="AT162" s="31">
        <f>'mnt Data'!AF165</f>
        <v>0</v>
      </c>
      <c r="AU162" s="31">
        <f>'mnt Data'!AG165</f>
        <v>0</v>
      </c>
      <c r="AV162" s="31">
        <f>'mnt Data'!AH165</f>
        <v>0</v>
      </c>
      <c r="AW162" s="31">
        <f>'mnt Data'!AI165</f>
        <v>0</v>
      </c>
      <c r="AX162" s="31">
        <f>'mnt Data'!AJ165</f>
        <v>0</v>
      </c>
      <c r="AY162" s="31">
        <f>'mnt Data'!AK165</f>
        <v>0</v>
      </c>
    </row>
    <row r="163" spans="1:51" x14ac:dyDescent="0.25">
      <c r="A163">
        <v>162</v>
      </c>
      <c r="B163" s="32">
        <f t="shared" si="24"/>
        <v>0</v>
      </c>
      <c r="C163" s="32">
        <f t="shared" si="25"/>
        <v>0</v>
      </c>
      <c r="D163" s="32" t="str">
        <f t="shared" si="29"/>
        <v>No Gs</v>
      </c>
      <c r="E163" s="32">
        <f t="shared" si="33"/>
        <v>0</v>
      </c>
      <c r="F163" s="32" t="str">
        <f t="shared" si="34"/>
        <v>No Gs</v>
      </c>
      <c r="G163" s="32" t="str">
        <f t="shared" si="35"/>
        <v>No Gs</v>
      </c>
      <c r="H163" s="32" t="str">
        <f t="shared" si="26"/>
        <v>Gs is needed</v>
      </c>
      <c r="I163" s="32" t="str">
        <f t="shared" si="27"/>
        <v>Gs is needed</v>
      </c>
      <c r="J163" s="32" t="str">
        <f t="shared" si="28"/>
        <v>Gs is needed</v>
      </c>
      <c r="K163" s="32" t="str">
        <f t="shared" si="30"/>
        <v>Need Max and Min</v>
      </c>
      <c r="L163" s="32" t="str">
        <f t="shared" si="31"/>
        <v>Need Max and Min</v>
      </c>
      <c r="M163" s="32" t="str">
        <f t="shared" si="32"/>
        <v>Fail</v>
      </c>
      <c r="N163" s="32"/>
      <c r="O163" s="31">
        <f>'mnt Data'!A166</f>
        <v>0</v>
      </c>
      <c r="P163" s="31">
        <f>'mnt Data'!B166</f>
        <v>0</v>
      </c>
      <c r="Q163" s="31">
        <f>'mnt Data'!C166</f>
        <v>0</v>
      </c>
      <c r="R163" s="31">
        <f>'mnt Data'!D166</f>
        <v>0</v>
      </c>
      <c r="S163" s="31">
        <f>'mnt Data'!E166</f>
        <v>0</v>
      </c>
      <c r="T163" s="31">
        <f>'mnt Data'!F166</f>
        <v>0</v>
      </c>
      <c r="U163" s="31">
        <f>'mnt Data'!G166</f>
        <v>0</v>
      </c>
      <c r="V163" s="31">
        <f>'mnt Data'!H166</f>
        <v>0</v>
      </c>
      <c r="W163" s="31">
        <f>'mnt Data'!I166</f>
        <v>0</v>
      </c>
      <c r="X163" s="31">
        <f>'mnt Data'!J166</f>
        <v>0</v>
      </c>
      <c r="Y163" s="31">
        <f>'mnt Data'!K166</f>
        <v>0</v>
      </c>
      <c r="Z163" s="31">
        <f>'mnt Data'!L166</f>
        <v>0</v>
      </c>
      <c r="AA163" s="31">
        <f>'mnt Data'!M166</f>
        <v>0</v>
      </c>
      <c r="AB163" s="31">
        <f>'mnt Data'!N166</f>
        <v>0</v>
      </c>
      <c r="AC163" s="31">
        <f>'mnt Data'!O166</f>
        <v>0</v>
      </c>
      <c r="AD163" s="31">
        <f>'mnt Data'!P166</f>
        <v>0</v>
      </c>
      <c r="AE163" s="31">
        <f>'mnt Data'!Q166</f>
        <v>0</v>
      </c>
      <c r="AF163" s="31">
        <f>'mnt Data'!R166</f>
        <v>0</v>
      </c>
      <c r="AG163" s="31">
        <f>'mnt Data'!S166</f>
        <v>0</v>
      </c>
      <c r="AH163" s="31">
        <f>'mnt Data'!T166</f>
        <v>0</v>
      </c>
      <c r="AI163" s="31">
        <f>'mnt Data'!U166</f>
        <v>0</v>
      </c>
      <c r="AJ163" s="31">
        <f>'mnt Data'!V166</f>
        <v>0</v>
      </c>
      <c r="AK163" s="31">
        <f>'mnt Data'!W166</f>
        <v>0</v>
      </c>
      <c r="AL163" s="31">
        <f>'mnt Data'!X166</f>
        <v>0</v>
      </c>
      <c r="AM163" s="31">
        <f>'mnt Data'!Y166</f>
        <v>0</v>
      </c>
      <c r="AN163" s="31">
        <f>'mnt Data'!Z166</f>
        <v>0</v>
      </c>
      <c r="AO163" s="31">
        <f>'mnt Data'!AA166</f>
        <v>0</v>
      </c>
      <c r="AP163" s="31">
        <f>'mnt Data'!AB166</f>
        <v>0</v>
      </c>
      <c r="AQ163" s="31">
        <f>'mnt Data'!AC166</f>
        <v>0</v>
      </c>
      <c r="AR163" s="31">
        <f>'mnt Data'!AD166</f>
        <v>0</v>
      </c>
      <c r="AS163" s="31">
        <f>'mnt Data'!AE166</f>
        <v>0</v>
      </c>
      <c r="AT163" s="31">
        <f>'mnt Data'!AF166</f>
        <v>0</v>
      </c>
      <c r="AU163" s="31">
        <f>'mnt Data'!AG166</f>
        <v>0</v>
      </c>
      <c r="AV163" s="31">
        <f>'mnt Data'!AH166</f>
        <v>0</v>
      </c>
      <c r="AW163" s="31">
        <f>'mnt Data'!AI166</f>
        <v>0</v>
      </c>
      <c r="AX163" s="31">
        <f>'mnt Data'!AJ166</f>
        <v>0</v>
      </c>
      <c r="AY163" s="31">
        <f>'mnt Data'!AK166</f>
        <v>0</v>
      </c>
    </row>
    <row r="164" spans="1:51" x14ac:dyDescent="0.25">
      <c r="A164">
        <v>163</v>
      </c>
      <c r="B164" s="32">
        <f t="shared" si="24"/>
        <v>0</v>
      </c>
      <c r="C164" s="32">
        <f t="shared" si="25"/>
        <v>0</v>
      </c>
      <c r="D164" s="32" t="str">
        <f t="shared" si="29"/>
        <v>No Gs</v>
      </c>
      <c r="E164" s="32">
        <f t="shared" si="33"/>
        <v>0</v>
      </c>
      <c r="F164" s="32" t="str">
        <f t="shared" si="34"/>
        <v>No Gs</v>
      </c>
      <c r="G164" s="32" t="str">
        <f t="shared" si="35"/>
        <v>No Gs</v>
      </c>
      <c r="H164" s="32" t="str">
        <f t="shared" si="26"/>
        <v>Gs is needed</v>
      </c>
      <c r="I164" s="32" t="str">
        <f t="shared" si="27"/>
        <v>Gs is needed</v>
      </c>
      <c r="J164" s="32" t="str">
        <f t="shared" si="28"/>
        <v>Gs is needed</v>
      </c>
      <c r="K164" s="32" t="str">
        <f t="shared" si="30"/>
        <v>Need Max and Min</v>
      </c>
      <c r="L164" s="32" t="str">
        <f t="shared" si="31"/>
        <v>Need Max and Min</v>
      </c>
      <c r="M164" s="32" t="str">
        <f t="shared" si="32"/>
        <v>Fail</v>
      </c>
      <c r="N164" s="32"/>
      <c r="O164" s="31">
        <f>'mnt Data'!A167</f>
        <v>0</v>
      </c>
      <c r="P164" s="31">
        <f>'mnt Data'!B167</f>
        <v>0</v>
      </c>
      <c r="Q164" s="31">
        <f>'mnt Data'!C167</f>
        <v>0</v>
      </c>
      <c r="R164" s="31">
        <f>'mnt Data'!D167</f>
        <v>0</v>
      </c>
      <c r="S164" s="31">
        <f>'mnt Data'!E167</f>
        <v>0</v>
      </c>
      <c r="T164" s="31">
        <f>'mnt Data'!F167</f>
        <v>0</v>
      </c>
      <c r="U164" s="31">
        <f>'mnt Data'!G167</f>
        <v>0</v>
      </c>
      <c r="V164" s="31">
        <f>'mnt Data'!H167</f>
        <v>0</v>
      </c>
      <c r="W164" s="31">
        <f>'mnt Data'!I167</f>
        <v>0</v>
      </c>
      <c r="X164" s="31">
        <f>'mnt Data'!J167</f>
        <v>0</v>
      </c>
      <c r="Y164" s="31">
        <f>'mnt Data'!K167</f>
        <v>0</v>
      </c>
      <c r="Z164" s="31">
        <f>'mnt Data'!L167</f>
        <v>0</v>
      </c>
      <c r="AA164" s="31">
        <f>'mnt Data'!M167</f>
        <v>0</v>
      </c>
      <c r="AB164" s="31">
        <f>'mnt Data'!N167</f>
        <v>0</v>
      </c>
      <c r="AC164" s="31">
        <f>'mnt Data'!O167</f>
        <v>0</v>
      </c>
      <c r="AD164" s="31">
        <f>'mnt Data'!P167</f>
        <v>0</v>
      </c>
      <c r="AE164" s="31">
        <f>'mnt Data'!Q167</f>
        <v>0</v>
      </c>
      <c r="AF164" s="31">
        <f>'mnt Data'!R167</f>
        <v>0</v>
      </c>
      <c r="AG164" s="31">
        <f>'mnt Data'!S167</f>
        <v>0</v>
      </c>
      <c r="AH164" s="31">
        <f>'mnt Data'!T167</f>
        <v>0</v>
      </c>
      <c r="AI164" s="31">
        <f>'mnt Data'!U167</f>
        <v>0</v>
      </c>
      <c r="AJ164" s="31">
        <f>'mnt Data'!V167</f>
        <v>0</v>
      </c>
      <c r="AK164" s="31">
        <f>'mnt Data'!W167</f>
        <v>0</v>
      </c>
      <c r="AL164" s="31">
        <f>'mnt Data'!X167</f>
        <v>0</v>
      </c>
      <c r="AM164" s="31">
        <f>'mnt Data'!Y167</f>
        <v>0</v>
      </c>
      <c r="AN164" s="31">
        <f>'mnt Data'!Z167</f>
        <v>0</v>
      </c>
      <c r="AO164" s="31">
        <f>'mnt Data'!AA167</f>
        <v>0</v>
      </c>
      <c r="AP164" s="31">
        <f>'mnt Data'!AB167</f>
        <v>0</v>
      </c>
      <c r="AQ164" s="31">
        <f>'mnt Data'!AC167</f>
        <v>0</v>
      </c>
      <c r="AR164" s="31">
        <f>'mnt Data'!AD167</f>
        <v>0</v>
      </c>
      <c r="AS164" s="31">
        <f>'mnt Data'!AE167</f>
        <v>0</v>
      </c>
      <c r="AT164" s="31">
        <f>'mnt Data'!AF167</f>
        <v>0</v>
      </c>
      <c r="AU164" s="31">
        <f>'mnt Data'!AG167</f>
        <v>0</v>
      </c>
      <c r="AV164" s="31">
        <f>'mnt Data'!AH167</f>
        <v>0</v>
      </c>
      <c r="AW164" s="31">
        <f>'mnt Data'!AI167</f>
        <v>0</v>
      </c>
      <c r="AX164" s="31">
        <f>'mnt Data'!AJ167</f>
        <v>0</v>
      </c>
      <c r="AY164" s="31">
        <f>'mnt Data'!AK167</f>
        <v>0</v>
      </c>
    </row>
    <row r="165" spans="1:51" x14ac:dyDescent="0.25">
      <c r="A165">
        <v>164</v>
      </c>
      <c r="B165" s="32">
        <f t="shared" si="24"/>
        <v>0</v>
      </c>
      <c r="C165" s="32">
        <f t="shared" si="25"/>
        <v>0</v>
      </c>
      <c r="D165" s="32" t="str">
        <f t="shared" si="29"/>
        <v>No Gs</v>
      </c>
      <c r="E165" s="32">
        <f t="shared" si="33"/>
        <v>0</v>
      </c>
      <c r="F165" s="32" t="str">
        <f t="shared" si="34"/>
        <v>No Gs</v>
      </c>
      <c r="G165" s="32" t="str">
        <f t="shared" si="35"/>
        <v>No Gs</v>
      </c>
      <c r="H165" s="32" t="str">
        <f t="shared" si="26"/>
        <v>Gs is needed</v>
      </c>
      <c r="I165" s="32" t="str">
        <f t="shared" si="27"/>
        <v>Gs is needed</v>
      </c>
      <c r="J165" s="32" t="str">
        <f t="shared" si="28"/>
        <v>Gs is needed</v>
      </c>
      <c r="K165" s="32" t="str">
        <f t="shared" si="30"/>
        <v>Need Max and Min</v>
      </c>
      <c r="L165" s="32" t="str">
        <f t="shared" si="31"/>
        <v>Need Max and Min</v>
      </c>
      <c r="M165" s="32" t="str">
        <f t="shared" si="32"/>
        <v>Fail</v>
      </c>
      <c r="N165" s="32"/>
      <c r="O165" s="31">
        <f>'mnt Data'!A168</f>
        <v>0</v>
      </c>
      <c r="P165" s="31">
        <f>'mnt Data'!B168</f>
        <v>0</v>
      </c>
      <c r="Q165" s="31">
        <f>'mnt Data'!C168</f>
        <v>0</v>
      </c>
      <c r="R165" s="31">
        <f>'mnt Data'!D168</f>
        <v>0</v>
      </c>
      <c r="S165" s="31">
        <f>'mnt Data'!E168</f>
        <v>0</v>
      </c>
      <c r="T165" s="31">
        <f>'mnt Data'!F168</f>
        <v>0</v>
      </c>
      <c r="U165" s="31">
        <f>'mnt Data'!G168</f>
        <v>0</v>
      </c>
      <c r="V165" s="31">
        <f>'mnt Data'!H168</f>
        <v>0</v>
      </c>
      <c r="W165" s="31">
        <f>'mnt Data'!I168</f>
        <v>0</v>
      </c>
      <c r="X165" s="31">
        <f>'mnt Data'!J168</f>
        <v>0</v>
      </c>
      <c r="Y165" s="31">
        <f>'mnt Data'!K168</f>
        <v>0</v>
      </c>
      <c r="Z165" s="31">
        <f>'mnt Data'!L168</f>
        <v>0</v>
      </c>
      <c r="AA165" s="31">
        <f>'mnt Data'!M168</f>
        <v>0</v>
      </c>
      <c r="AB165" s="31">
        <f>'mnt Data'!N168</f>
        <v>0</v>
      </c>
      <c r="AC165" s="31">
        <f>'mnt Data'!O168</f>
        <v>0</v>
      </c>
      <c r="AD165" s="31">
        <f>'mnt Data'!P168</f>
        <v>0</v>
      </c>
      <c r="AE165" s="31">
        <f>'mnt Data'!Q168</f>
        <v>0</v>
      </c>
      <c r="AF165" s="31">
        <f>'mnt Data'!R168</f>
        <v>0</v>
      </c>
      <c r="AG165" s="31">
        <f>'mnt Data'!S168</f>
        <v>0</v>
      </c>
      <c r="AH165" s="31">
        <f>'mnt Data'!T168</f>
        <v>0</v>
      </c>
      <c r="AI165" s="31">
        <f>'mnt Data'!U168</f>
        <v>0</v>
      </c>
      <c r="AJ165" s="31">
        <f>'mnt Data'!V168</f>
        <v>0</v>
      </c>
      <c r="AK165" s="31">
        <f>'mnt Data'!W168</f>
        <v>0</v>
      </c>
      <c r="AL165" s="31">
        <f>'mnt Data'!X168</f>
        <v>0</v>
      </c>
      <c r="AM165" s="31">
        <f>'mnt Data'!Y168</f>
        <v>0</v>
      </c>
      <c r="AN165" s="31">
        <f>'mnt Data'!Z168</f>
        <v>0</v>
      </c>
      <c r="AO165" s="31">
        <f>'mnt Data'!AA168</f>
        <v>0</v>
      </c>
      <c r="AP165" s="31">
        <f>'mnt Data'!AB168</f>
        <v>0</v>
      </c>
      <c r="AQ165" s="31">
        <f>'mnt Data'!AC168</f>
        <v>0</v>
      </c>
      <c r="AR165" s="31">
        <f>'mnt Data'!AD168</f>
        <v>0</v>
      </c>
      <c r="AS165" s="31">
        <f>'mnt Data'!AE168</f>
        <v>0</v>
      </c>
      <c r="AT165" s="31">
        <f>'mnt Data'!AF168</f>
        <v>0</v>
      </c>
      <c r="AU165" s="31">
        <f>'mnt Data'!AG168</f>
        <v>0</v>
      </c>
      <c r="AV165" s="31">
        <f>'mnt Data'!AH168</f>
        <v>0</v>
      </c>
      <c r="AW165" s="31">
        <f>'mnt Data'!AI168</f>
        <v>0</v>
      </c>
      <c r="AX165" s="31">
        <f>'mnt Data'!AJ168</f>
        <v>0</v>
      </c>
      <c r="AY165" s="31">
        <f>'mnt Data'!AK168</f>
        <v>0</v>
      </c>
    </row>
    <row r="166" spans="1:51" x14ac:dyDescent="0.25">
      <c r="A166">
        <v>165</v>
      </c>
      <c r="B166" s="32">
        <f t="shared" si="24"/>
        <v>0</v>
      </c>
      <c r="C166" s="32">
        <f t="shared" si="25"/>
        <v>0</v>
      </c>
      <c r="D166" s="32" t="str">
        <f t="shared" si="29"/>
        <v>No Gs</v>
      </c>
      <c r="E166" s="32">
        <f t="shared" si="33"/>
        <v>0</v>
      </c>
      <c r="F166" s="32" t="str">
        <f t="shared" si="34"/>
        <v>No Gs</v>
      </c>
      <c r="G166" s="32" t="str">
        <f t="shared" si="35"/>
        <v>No Gs</v>
      </c>
      <c r="H166" s="32" t="str">
        <f t="shared" si="26"/>
        <v>Gs is needed</v>
      </c>
      <c r="I166" s="32" t="str">
        <f t="shared" si="27"/>
        <v>Gs is needed</v>
      </c>
      <c r="J166" s="32" t="str">
        <f t="shared" si="28"/>
        <v>Gs is needed</v>
      </c>
      <c r="K166" s="32" t="str">
        <f t="shared" si="30"/>
        <v>Need Max and Min</v>
      </c>
      <c r="L166" s="32" t="str">
        <f t="shared" si="31"/>
        <v>Need Max and Min</v>
      </c>
      <c r="M166" s="32" t="str">
        <f t="shared" si="32"/>
        <v>Fail</v>
      </c>
      <c r="N166" s="32"/>
      <c r="O166" s="31">
        <f>'mnt Data'!A169</f>
        <v>0</v>
      </c>
      <c r="P166" s="31">
        <f>'mnt Data'!B169</f>
        <v>0</v>
      </c>
      <c r="Q166" s="31">
        <f>'mnt Data'!C169</f>
        <v>0</v>
      </c>
      <c r="R166" s="31">
        <f>'mnt Data'!D169</f>
        <v>0</v>
      </c>
      <c r="S166" s="31">
        <f>'mnt Data'!E169</f>
        <v>0</v>
      </c>
      <c r="T166" s="31">
        <f>'mnt Data'!F169</f>
        <v>0</v>
      </c>
      <c r="U166" s="31">
        <f>'mnt Data'!G169</f>
        <v>0</v>
      </c>
      <c r="V166" s="31">
        <f>'mnt Data'!H169</f>
        <v>0</v>
      </c>
      <c r="W166" s="31">
        <f>'mnt Data'!I169</f>
        <v>0</v>
      </c>
      <c r="X166" s="31">
        <f>'mnt Data'!J169</f>
        <v>0</v>
      </c>
      <c r="Y166" s="31">
        <f>'mnt Data'!K169</f>
        <v>0</v>
      </c>
      <c r="Z166" s="31">
        <f>'mnt Data'!L169</f>
        <v>0</v>
      </c>
      <c r="AA166" s="31">
        <f>'mnt Data'!M169</f>
        <v>0</v>
      </c>
      <c r="AB166" s="31">
        <f>'mnt Data'!N169</f>
        <v>0</v>
      </c>
      <c r="AC166" s="31">
        <f>'mnt Data'!O169</f>
        <v>0</v>
      </c>
      <c r="AD166" s="31">
        <f>'mnt Data'!P169</f>
        <v>0</v>
      </c>
      <c r="AE166" s="31">
        <f>'mnt Data'!Q169</f>
        <v>0</v>
      </c>
      <c r="AF166" s="31">
        <f>'mnt Data'!R169</f>
        <v>0</v>
      </c>
      <c r="AG166" s="31">
        <f>'mnt Data'!S169</f>
        <v>0</v>
      </c>
      <c r="AH166" s="31">
        <f>'mnt Data'!T169</f>
        <v>0</v>
      </c>
      <c r="AI166" s="31">
        <f>'mnt Data'!U169</f>
        <v>0</v>
      </c>
      <c r="AJ166" s="31">
        <f>'mnt Data'!V169</f>
        <v>0</v>
      </c>
      <c r="AK166" s="31">
        <f>'mnt Data'!W169</f>
        <v>0</v>
      </c>
      <c r="AL166" s="31">
        <f>'mnt Data'!X169</f>
        <v>0</v>
      </c>
      <c r="AM166" s="31">
        <f>'mnt Data'!Y169</f>
        <v>0</v>
      </c>
      <c r="AN166" s="31">
        <f>'mnt Data'!Z169</f>
        <v>0</v>
      </c>
      <c r="AO166" s="31">
        <f>'mnt Data'!AA169</f>
        <v>0</v>
      </c>
      <c r="AP166" s="31">
        <f>'mnt Data'!AB169</f>
        <v>0</v>
      </c>
      <c r="AQ166" s="31">
        <f>'mnt Data'!AC169</f>
        <v>0</v>
      </c>
      <c r="AR166" s="31">
        <f>'mnt Data'!AD169</f>
        <v>0</v>
      </c>
      <c r="AS166" s="31">
        <f>'mnt Data'!AE169</f>
        <v>0</v>
      </c>
      <c r="AT166" s="31">
        <f>'mnt Data'!AF169</f>
        <v>0</v>
      </c>
      <c r="AU166" s="31">
        <f>'mnt Data'!AG169</f>
        <v>0</v>
      </c>
      <c r="AV166" s="31">
        <f>'mnt Data'!AH169</f>
        <v>0</v>
      </c>
      <c r="AW166" s="31">
        <f>'mnt Data'!AI169</f>
        <v>0</v>
      </c>
      <c r="AX166" s="31">
        <f>'mnt Data'!AJ169</f>
        <v>0</v>
      </c>
      <c r="AY166" s="31">
        <f>'mnt Data'!AK169</f>
        <v>0</v>
      </c>
    </row>
    <row r="167" spans="1:51" x14ac:dyDescent="0.25">
      <c r="A167">
        <v>166</v>
      </c>
      <c r="B167" s="32">
        <f t="shared" si="24"/>
        <v>0</v>
      </c>
      <c r="C167" s="32">
        <f t="shared" si="25"/>
        <v>0</v>
      </c>
      <c r="D167" s="32" t="str">
        <f t="shared" si="29"/>
        <v>No Gs</v>
      </c>
      <c r="E167" s="32">
        <f t="shared" si="33"/>
        <v>0</v>
      </c>
      <c r="F167" s="32" t="str">
        <f t="shared" si="34"/>
        <v>No Gs</v>
      </c>
      <c r="G167" s="32" t="str">
        <f t="shared" si="35"/>
        <v>No Gs</v>
      </c>
      <c r="H167" s="32" t="str">
        <f t="shared" si="26"/>
        <v>Gs is needed</v>
      </c>
      <c r="I167" s="32" t="str">
        <f t="shared" si="27"/>
        <v>Gs is needed</v>
      </c>
      <c r="J167" s="32" t="str">
        <f t="shared" si="28"/>
        <v>Gs is needed</v>
      </c>
      <c r="K167" s="32" t="str">
        <f t="shared" si="30"/>
        <v>Need Max and Min</v>
      </c>
      <c r="L167" s="32" t="str">
        <f t="shared" si="31"/>
        <v>Need Max and Min</v>
      </c>
      <c r="M167" s="32" t="str">
        <f t="shared" si="32"/>
        <v>Fail</v>
      </c>
      <c r="N167" s="32"/>
      <c r="O167" s="31">
        <f>'mnt Data'!A170</f>
        <v>0</v>
      </c>
      <c r="P167" s="31">
        <f>'mnt Data'!B170</f>
        <v>0</v>
      </c>
      <c r="Q167" s="31">
        <f>'mnt Data'!C170</f>
        <v>0</v>
      </c>
      <c r="R167" s="31">
        <f>'mnt Data'!D170</f>
        <v>0</v>
      </c>
      <c r="S167" s="31">
        <f>'mnt Data'!E170</f>
        <v>0</v>
      </c>
      <c r="T167" s="31">
        <f>'mnt Data'!F170</f>
        <v>0</v>
      </c>
      <c r="U167" s="31">
        <f>'mnt Data'!G170</f>
        <v>0</v>
      </c>
      <c r="V167" s="31">
        <f>'mnt Data'!H170</f>
        <v>0</v>
      </c>
      <c r="W167" s="31">
        <f>'mnt Data'!I170</f>
        <v>0</v>
      </c>
      <c r="X167" s="31">
        <f>'mnt Data'!J170</f>
        <v>0</v>
      </c>
      <c r="Y167" s="31">
        <f>'mnt Data'!K170</f>
        <v>0</v>
      </c>
      <c r="Z167" s="31">
        <f>'mnt Data'!L170</f>
        <v>0</v>
      </c>
      <c r="AA167" s="31">
        <f>'mnt Data'!M170</f>
        <v>0</v>
      </c>
      <c r="AB167" s="31">
        <f>'mnt Data'!N170</f>
        <v>0</v>
      </c>
      <c r="AC167" s="31">
        <f>'mnt Data'!O170</f>
        <v>0</v>
      </c>
      <c r="AD167" s="31">
        <f>'mnt Data'!P170</f>
        <v>0</v>
      </c>
      <c r="AE167" s="31">
        <f>'mnt Data'!Q170</f>
        <v>0</v>
      </c>
      <c r="AF167" s="31">
        <f>'mnt Data'!R170</f>
        <v>0</v>
      </c>
      <c r="AG167" s="31">
        <f>'mnt Data'!S170</f>
        <v>0</v>
      </c>
      <c r="AH167" s="31">
        <f>'mnt Data'!T170</f>
        <v>0</v>
      </c>
      <c r="AI167" s="31">
        <f>'mnt Data'!U170</f>
        <v>0</v>
      </c>
      <c r="AJ167" s="31">
        <f>'mnt Data'!V170</f>
        <v>0</v>
      </c>
      <c r="AK167" s="31">
        <f>'mnt Data'!W170</f>
        <v>0</v>
      </c>
      <c r="AL167" s="31">
        <f>'mnt Data'!X170</f>
        <v>0</v>
      </c>
      <c r="AM167" s="31">
        <f>'mnt Data'!Y170</f>
        <v>0</v>
      </c>
      <c r="AN167" s="31">
        <f>'mnt Data'!Z170</f>
        <v>0</v>
      </c>
      <c r="AO167" s="31">
        <f>'mnt Data'!AA170</f>
        <v>0</v>
      </c>
      <c r="AP167" s="31">
        <f>'mnt Data'!AB170</f>
        <v>0</v>
      </c>
      <c r="AQ167" s="31">
        <f>'mnt Data'!AC170</f>
        <v>0</v>
      </c>
      <c r="AR167" s="31">
        <f>'mnt Data'!AD170</f>
        <v>0</v>
      </c>
      <c r="AS167" s="31">
        <f>'mnt Data'!AE170</f>
        <v>0</v>
      </c>
      <c r="AT167" s="31">
        <f>'mnt Data'!AF170</f>
        <v>0</v>
      </c>
      <c r="AU167" s="31">
        <f>'mnt Data'!AG170</f>
        <v>0</v>
      </c>
      <c r="AV167" s="31">
        <f>'mnt Data'!AH170</f>
        <v>0</v>
      </c>
      <c r="AW167" s="31">
        <f>'mnt Data'!AI170</f>
        <v>0</v>
      </c>
      <c r="AX167" s="31">
        <f>'mnt Data'!AJ170</f>
        <v>0</v>
      </c>
      <c r="AY167" s="31">
        <f>'mnt Data'!AK170</f>
        <v>0</v>
      </c>
    </row>
    <row r="168" spans="1:51" x14ac:dyDescent="0.25">
      <c r="A168">
        <v>167</v>
      </c>
      <c r="B168" s="32">
        <f t="shared" si="24"/>
        <v>0</v>
      </c>
      <c r="C168" s="32">
        <f t="shared" si="25"/>
        <v>0</v>
      </c>
      <c r="D168" s="32" t="str">
        <f t="shared" si="29"/>
        <v>No Gs</v>
      </c>
      <c r="E168" s="32">
        <f t="shared" si="33"/>
        <v>0</v>
      </c>
      <c r="F168" s="32" t="str">
        <f t="shared" si="34"/>
        <v>No Gs</v>
      </c>
      <c r="G168" s="32" t="str">
        <f t="shared" si="35"/>
        <v>No Gs</v>
      </c>
      <c r="H168" s="32" t="str">
        <f t="shared" si="26"/>
        <v>Gs is needed</v>
      </c>
      <c r="I168" s="32" t="str">
        <f t="shared" si="27"/>
        <v>Gs is needed</v>
      </c>
      <c r="J168" s="32" t="str">
        <f t="shared" si="28"/>
        <v>Gs is needed</v>
      </c>
      <c r="K168" s="32" t="str">
        <f t="shared" si="30"/>
        <v>Need Max and Min</v>
      </c>
      <c r="L168" s="32" t="str">
        <f t="shared" si="31"/>
        <v>Need Max and Min</v>
      </c>
      <c r="M168" s="32" t="str">
        <f t="shared" si="32"/>
        <v>Fail</v>
      </c>
      <c r="N168" s="32"/>
      <c r="O168" s="31">
        <f>'mnt Data'!A171</f>
        <v>0</v>
      </c>
      <c r="P168" s="31">
        <f>'mnt Data'!B171</f>
        <v>0</v>
      </c>
      <c r="Q168" s="31">
        <f>'mnt Data'!C171</f>
        <v>0</v>
      </c>
      <c r="R168" s="31">
        <f>'mnt Data'!D171</f>
        <v>0</v>
      </c>
      <c r="S168" s="31">
        <f>'mnt Data'!E171</f>
        <v>0</v>
      </c>
      <c r="T168" s="31">
        <f>'mnt Data'!F171</f>
        <v>0</v>
      </c>
      <c r="U168" s="31">
        <f>'mnt Data'!G171</f>
        <v>0</v>
      </c>
      <c r="V168" s="31">
        <f>'mnt Data'!H171</f>
        <v>0</v>
      </c>
      <c r="W168" s="31">
        <f>'mnt Data'!I171</f>
        <v>0</v>
      </c>
      <c r="X168" s="31">
        <f>'mnt Data'!J171</f>
        <v>0</v>
      </c>
      <c r="Y168" s="31">
        <f>'mnt Data'!K171</f>
        <v>0</v>
      </c>
      <c r="Z168" s="31">
        <f>'mnt Data'!L171</f>
        <v>0</v>
      </c>
      <c r="AA168" s="31">
        <f>'mnt Data'!M171</f>
        <v>0</v>
      </c>
      <c r="AB168" s="31">
        <f>'mnt Data'!N171</f>
        <v>0</v>
      </c>
      <c r="AC168" s="31">
        <f>'mnt Data'!O171</f>
        <v>0</v>
      </c>
      <c r="AD168" s="31">
        <f>'mnt Data'!P171</f>
        <v>0</v>
      </c>
      <c r="AE168" s="31">
        <f>'mnt Data'!Q171</f>
        <v>0</v>
      </c>
      <c r="AF168" s="31">
        <f>'mnt Data'!R171</f>
        <v>0</v>
      </c>
      <c r="AG168" s="31">
        <f>'mnt Data'!S171</f>
        <v>0</v>
      </c>
      <c r="AH168" s="31">
        <f>'mnt Data'!T171</f>
        <v>0</v>
      </c>
      <c r="AI168" s="31">
        <f>'mnt Data'!U171</f>
        <v>0</v>
      </c>
      <c r="AJ168" s="31">
        <f>'mnt Data'!V171</f>
        <v>0</v>
      </c>
      <c r="AK168" s="31">
        <f>'mnt Data'!W171</f>
        <v>0</v>
      </c>
      <c r="AL168" s="31">
        <f>'mnt Data'!X171</f>
        <v>0</v>
      </c>
      <c r="AM168" s="31">
        <f>'mnt Data'!Y171</f>
        <v>0</v>
      </c>
      <c r="AN168" s="31">
        <f>'mnt Data'!Z171</f>
        <v>0</v>
      </c>
      <c r="AO168" s="31">
        <f>'mnt Data'!AA171</f>
        <v>0</v>
      </c>
      <c r="AP168" s="31">
        <f>'mnt Data'!AB171</f>
        <v>0</v>
      </c>
      <c r="AQ168" s="31">
        <f>'mnt Data'!AC171</f>
        <v>0</v>
      </c>
      <c r="AR168" s="31">
        <f>'mnt Data'!AD171</f>
        <v>0</v>
      </c>
      <c r="AS168" s="31">
        <f>'mnt Data'!AE171</f>
        <v>0</v>
      </c>
      <c r="AT168" s="31">
        <f>'mnt Data'!AF171</f>
        <v>0</v>
      </c>
      <c r="AU168" s="31">
        <f>'mnt Data'!AG171</f>
        <v>0</v>
      </c>
      <c r="AV168" s="31">
        <f>'mnt Data'!AH171</f>
        <v>0</v>
      </c>
      <c r="AW168" s="31">
        <f>'mnt Data'!AI171</f>
        <v>0</v>
      </c>
      <c r="AX168" s="31">
        <f>'mnt Data'!AJ171</f>
        <v>0</v>
      </c>
      <c r="AY168" s="31">
        <f>'mnt Data'!AK171</f>
        <v>0</v>
      </c>
    </row>
    <row r="169" spans="1:51" x14ac:dyDescent="0.25">
      <c r="A169">
        <v>168</v>
      </c>
      <c r="B169" s="32">
        <f t="shared" ref="B169:B232" si="36">O169</f>
        <v>0</v>
      </c>
      <c r="C169" s="32">
        <f t="shared" ref="C169:C232" si="37">O169*(Q169/100)</f>
        <v>0</v>
      </c>
      <c r="D169" s="32" t="str">
        <f t="shared" si="29"/>
        <v>No Gs</v>
      </c>
      <c r="E169" s="32">
        <f t="shared" si="33"/>
        <v>0</v>
      </c>
      <c r="F169" s="32" t="str">
        <f t="shared" si="34"/>
        <v>No Gs</v>
      </c>
      <c r="G169" s="32" t="str">
        <f t="shared" si="35"/>
        <v>No Gs</v>
      </c>
      <c r="H169" s="32" t="str">
        <f t="shared" ref="H169:H232" si="38">IFERROR(E169/G169,"Gs is needed")</f>
        <v>Gs is needed</v>
      </c>
      <c r="I169" s="32" t="str">
        <f t="shared" ref="I169:I232" si="39">IFERROR(G169/1,"Gs is needed")</f>
        <v>Gs is needed</v>
      </c>
      <c r="J169" s="32" t="str">
        <f t="shared" ref="J169:J232" si="40">IFERROR(G169/D169,"Gs is needed")</f>
        <v>Gs is needed</v>
      </c>
      <c r="K169" s="32" t="str">
        <f t="shared" si="30"/>
        <v>Need Max and Min</v>
      </c>
      <c r="L169" s="32" t="str">
        <f t="shared" si="31"/>
        <v>Need Max and Min</v>
      </c>
      <c r="M169" s="32" t="str">
        <f t="shared" si="32"/>
        <v>Fail</v>
      </c>
      <c r="N169" s="32"/>
      <c r="O169" s="31">
        <f>'mnt Data'!A172</f>
        <v>0</v>
      </c>
      <c r="P169" s="31">
        <f>'mnt Data'!B172</f>
        <v>0</v>
      </c>
      <c r="Q169" s="31">
        <f>'mnt Data'!C172</f>
        <v>0</v>
      </c>
      <c r="R169" s="31">
        <f>'mnt Data'!D172</f>
        <v>0</v>
      </c>
      <c r="S169" s="31">
        <f>'mnt Data'!E172</f>
        <v>0</v>
      </c>
      <c r="T169" s="31">
        <f>'mnt Data'!F172</f>
        <v>0</v>
      </c>
      <c r="U169" s="31">
        <f>'mnt Data'!G172</f>
        <v>0</v>
      </c>
      <c r="V169" s="31">
        <f>'mnt Data'!H172</f>
        <v>0</v>
      </c>
      <c r="W169" s="31">
        <f>'mnt Data'!I172</f>
        <v>0</v>
      </c>
      <c r="X169" s="31">
        <f>'mnt Data'!J172</f>
        <v>0</v>
      </c>
      <c r="Y169" s="31">
        <f>'mnt Data'!K172</f>
        <v>0</v>
      </c>
      <c r="Z169" s="31">
        <f>'mnt Data'!L172</f>
        <v>0</v>
      </c>
      <c r="AA169" s="31">
        <f>'mnt Data'!M172</f>
        <v>0</v>
      </c>
      <c r="AB169" s="31">
        <f>'mnt Data'!N172</f>
        <v>0</v>
      </c>
      <c r="AC169" s="31">
        <f>'mnt Data'!O172</f>
        <v>0</v>
      </c>
      <c r="AD169" s="31">
        <f>'mnt Data'!P172</f>
        <v>0</v>
      </c>
      <c r="AE169" s="31">
        <f>'mnt Data'!Q172</f>
        <v>0</v>
      </c>
      <c r="AF169" s="31">
        <f>'mnt Data'!R172</f>
        <v>0</v>
      </c>
      <c r="AG169" s="31">
        <f>'mnt Data'!S172</f>
        <v>0</v>
      </c>
      <c r="AH169" s="31">
        <f>'mnt Data'!T172</f>
        <v>0</v>
      </c>
      <c r="AI169" s="31">
        <f>'mnt Data'!U172</f>
        <v>0</v>
      </c>
      <c r="AJ169" s="31">
        <f>'mnt Data'!V172</f>
        <v>0</v>
      </c>
      <c r="AK169" s="31">
        <f>'mnt Data'!W172</f>
        <v>0</v>
      </c>
      <c r="AL169" s="31">
        <f>'mnt Data'!X172</f>
        <v>0</v>
      </c>
      <c r="AM169" s="31">
        <f>'mnt Data'!Y172</f>
        <v>0</v>
      </c>
      <c r="AN169" s="31">
        <f>'mnt Data'!Z172</f>
        <v>0</v>
      </c>
      <c r="AO169" s="31">
        <f>'mnt Data'!AA172</f>
        <v>0</v>
      </c>
      <c r="AP169" s="31">
        <f>'mnt Data'!AB172</f>
        <v>0</v>
      </c>
      <c r="AQ169" s="31">
        <f>'mnt Data'!AC172</f>
        <v>0</v>
      </c>
      <c r="AR169" s="31">
        <f>'mnt Data'!AD172</f>
        <v>0</v>
      </c>
      <c r="AS169" s="31">
        <f>'mnt Data'!AE172</f>
        <v>0</v>
      </c>
      <c r="AT169" s="31">
        <f>'mnt Data'!AF172</f>
        <v>0</v>
      </c>
      <c r="AU169" s="31">
        <f>'mnt Data'!AG172</f>
        <v>0</v>
      </c>
      <c r="AV169" s="31">
        <f>'mnt Data'!AH172</f>
        <v>0</v>
      </c>
      <c r="AW169" s="31">
        <f>'mnt Data'!AI172</f>
        <v>0</v>
      </c>
      <c r="AX169" s="31">
        <f>'mnt Data'!AJ172</f>
        <v>0</v>
      </c>
      <c r="AY169" s="31">
        <f>'mnt Data'!AK172</f>
        <v>0</v>
      </c>
    </row>
    <row r="170" spans="1:51" x14ac:dyDescent="0.25">
      <c r="A170">
        <v>169</v>
      </c>
      <c r="B170" s="32">
        <f t="shared" si="36"/>
        <v>0</v>
      </c>
      <c r="C170" s="32">
        <f t="shared" si="37"/>
        <v>0</v>
      </c>
      <c r="D170" s="32" t="str">
        <f t="shared" si="29"/>
        <v>No Gs</v>
      </c>
      <c r="E170" s="32">
        <f t="shared" si="33"/>
        <v>0</v>
      </c>
      <c r="F170" s="32" t="str">
        <f t="shared" si="34"/>
        <v>No Gs</v>
      </c>
      <c r="G170" s="32" t="str">
        <f t="shared" si="35"/>
        <v>No Gs</v>
      </c>
      <c r="H170" s="32" t="str">
        <f t="shared" si="38"/>
        <v>Gs is needed</v>
      </c>
      <c r="I170" s="32" t="str">
        <f t="shared" si="39"/>
        <v>Gs is needed</v>
      </c>
      <c r="J170" s="32" t="str">
        <f t="shared" si="40"/>
        <v>Gs is needed</v>
      </c>
      <c r="K170" s="32" t="str">
        <f t="shared" si="30"/>
        <v>Need Max and Min</v>
      </c>
      <c r="L170" s="32" t="str">
        <f t="shared" si="31"/>
        <v>Need Max and Min</v>
      </c>
      <c r="M170" s="32" t="str">
        <f t="shared" si="32"/>
        <v>Fail</v>
      </c>
      <c r="N170" s="32"/>
      <c r="O170" s="31">
        <f>'mnt Data'!A173</f>
        <v>0</v>
      </c>
      <c r="P170" s="31">
        <f>'mnt Data'!B173</f>
        <v>0</v>
      </c>
      <c r="Q170" s="31">
        <f>'mnt Data'!C173</f>
        <v>0</v>
      </c>
      <c r="R170" s="31">
        <f>'mnt Data'!D173</f>
        <v>0</v>
      </c>
      <c r="S170" s="31">
        <f>'mnt Data'!E173</f>
        <v>0</v>
      </c>
      <c r="T170" s="31">
        <f>'mnt Data'!F173</f>
        <v>0</v>
      </c>
      <c r="U170" s="31">
        <f>'mnt Data'!G173</f>
        <v>0</v>
      </c>
      <c r="V170" s="31">
        <f>'mnt Data'!H173</f>
        <v>0</v>
      </c>
      <c r="W170" s="31">
        <f>'mnt Data'!I173</f>
        <v>0</v>
      </c>
      <c r="X170" s="31">
        <f>'mnt Data'!J173</f>
        <v>0</v>
      </c>
      <c r="Y170" s="31">
        <f>'mnt Data'!K173</f>
        <v>0</v>
      </c>
      <c r="Z170" s="31">
        <f>'mnt Data'!L173</f>
        <v>0</v>
      </c>
      <c r="AA170" s="31">
        <f>'mnt Data'!M173</f>
        <v>0</v>
      </c>
      <c r="AB170" s="31">
        <f>'mnt Data'!N173</f>
        <v>0</v>
      </c>
      <c r="AC170" s="31">
        <f>'mnt Data'!O173</f>
        <v>0</v>
      </c>
      <c r="AD170" s="31">
        <f>'mnt Data'!P173</f>
        <v>0</v>
      </c>
      <c r="AE170" s="31">
        <f>'mnt Data'!Q173</f>
        <v>0</v>
      </c>
      <c r="AF170" s="31">
        <f>'mnt Data'!R173</f>
        <v>0</v>
      </c>
      <c r="AG170" s="31">
        <f>'mnt Data'!S173</f>
        <v>0</v>
      </c>
      <c r="AH170" s="31">
        <f>'mnt Data'!T173</f>
        <v>0</v>
      </c>
      <c r="AI170" s="31">
        <f>'mnt Data'!U173</f>
        <v>0</v>
      </c>
      <c r="AJ170" s="31">
        <f>'mnt Data'!V173</f>
        <v>0</v>
      </c>
      <c r="AK170" s="31">
        <f>'mnt Data'!W173</f>
        <v>0</v>
      </c>
      <c r="AL170" s="31">
        <f>'mnt Data'!X173</f>
        <v>0</v>
      </c>
      <c r="AM170" s="31">
        <f>'mnt Data'!Y173</f>
        <v>0</v>
      </c>
      <c r="AN170" s="31">
        <f>'mnt Data'!Z173</f>
        <v>0</v>
      </c>
      <c r="AO170" s="31">
        <f>'mnt Data'!AA173</f>
        <v>0</v>
      </c>
      <c r="AP170" s="31">
        <f>'mnt Data'!AB173</f>
        <v>0</v>
      </c>
      <c r="AQ170" s="31">
        <f>'mnt Data'!AC173</f>
        <v>0</v>
      </c>
      <c r="AR170" s="31">
        <f>'mnt Data'!AD173</f>
        <v>0</v>
      </c>
      <c r="AS170" s="31">
        <f>'mnt Data'!AE173</f>
        <v>0</v>
      </c>
      <c r="AT170" s="31">
        <f>'mnt Data'!AF173</f>
        <v>0</v>
      </c>
      <c r="AU170" s="31">
        <f>'mnt Data'!AG173</f>
        <v>0</v>
      </c>
      <c r="AV170" s="31">
        <f>'mnt Data'!AH173</f>
        <v>0</v>
      </c>
      <c r="AW170" s="31">
        <f>'mnt Data'!AI173</f>
        <v>0</v>
      </c>
      <c r="AX170" s="31">
        <f>'mnt Data'!AJ173</f>
        <v>0</v>
      </c>
      <c r="AY170" s="31">
        <f>'mnt Data'!AK173</f>
        <v>0</v>
      </c>
    </row>
    <row r="171" spans="1:51" x14ac:dyDescent="0.25">
      <c r="A171">
        <v>170</v>
      </c>
      <c r="B171" s="32">
        <f t="shared" si="36"/>
        <v>0</v>
      </c>
      <c r="C171" s="32">
        <f t="shared" si="37"/>
        <v>0</v>
      </c>
      <c r="D171" s="32" t="str">
        <f t="shared" si="29"/>
        <v>No Gs</v>
      </c>
      <c r="E171" s="32">
        <f t="shared" si="33"/>
        <v>0</v>
      </c>
      <c r="F171" s="32" t="str">
        <f t="shared" si="34"/>
        <v>No Gs</v>
      </c>
      <c r="G171" s="32" t="str">
        <f t="shared" si="35"/>
        <v>No Gs</v>
      </c>
      <c r="H171" s="32" t="str">
        <f t="shared" si="38"/>
        <v>Gs is needed</v>
      </c>
      <c r="I171" s="32" t="str">
        <f t="shared" si="39"/>
        <v>Gs is needed</v>
      </c>
      <c r="J171" s="32" t="str">
        <f t="shared" si="40"/>
        <v>Gs is needed</v>
      </c>
      <c r="K171" s="32" t="str">
        <f t="shared" si="30"/>
        <v>Need Max and Min</v>
      </c>
      <c r="L171" s="32" t="str">
        <f t="shared" si="31"/>
        <v>Need Max and Min</v>
      </c>
      <c r="M171" s="32" t="str">
        <f t="shared" si="32"/>
        <v>Fail</v>
      </c>
      <c r="N171" s="32"/>
      <c r="O171" s="31">
        <f>'mnt Data'!A174</f>
        <v>0</v>
      </c>
      <c r="P171" s="31">
        <f>'mnt Data'!B174</f>
        <v>0</v>
      </c>
      <c r="Q171" s="31">
        <f>'mnt Data'!C174</f>
        <v>0</v>
      </c>
      <c r="R171" s="31">
        <f>'mnt Data'!D174</f>
        <v>0</v>
      </c>
      <c r="S171" s="31">
        <f>'mnt Data'!E174</f>
        <v>0</v>
      </c>
      <c r="T171" s="31">
        <f>'mnt Data'!F174</f>
        <v>0</v>
      </c>
      <c r="U171" s="31">
        <f>'mnt Data'!G174</f>
        <v>0</v>
      </c>
      <c r="V171" s="31">
        <f>'mnt Data'!H174</f>
        <v>0</v>
      </c>
      <c r="W171" s="31">
        <f>'mnt Data'!I174</f>
        <v>0</v>
      </c>
      <c r="X171" s="31">
        <f>'mnt Data'!J174</f>
        <v>0</v>
      </c>
      <c r="Y171" s="31">
        <f>'mnt Data'!K174</f>
        <v>0</v>
      </c>
      <c r="Z171" s="31">
        <f>'mnt Data'!L174</f>
        <v>0</v>
      </c>
      <c r="AA171" s="31">
        <f>'mnt Data'!M174</f>
        <v>0</v>
      </c>
      <c r="AB171" s="31">
        <f>'mnt Data'!N174</f>
        <v>0</v>
      </c>
      <c r="AC171" s="31">
        <f>'mnt Data'!O174</f>
        <v>0</v>
      </c>
      <c r="AD171" s="31">
        <f>'mnt Data'!P174</f>
        <v>0</v>
      </c>
      <c r="AE171" s="31">
        <f>'mnt Data'!Q174</f>
        <v>0</v>
      </c>
      <c r="AF171" s="31">
        <f>'mnt Data'!R174</f>
        <v>0</v>
      </c>
      <c r="AG171" s="31">
        <f>'mnt Data'!S174</f>
        <v>0</v>
      </c>
      <c r="AH171" s="31">
        <f>'mnt Data'!T174</f>
        <v>0</v>
      </c>
      <c r="AI171" s="31">
        <f>'mnt Data'!U174</f>
        <v>0</v>
      </c>
      <c r="AJ171" s="31">
        <f>'mnt Data'!V174</f>
        <v>0</v>
      </c>
      <c r="AK171" s="31">
        <f>'mnt Data'!W174</f>
        <v>0</v>
      </c>
      <c r="AL171" s="31">
        <f>'mnt Data'!X174</f>
        <v>0</v>
      </c>
      <c r="AM171" s="31">
        <f>'mnt Data'!Y174</f>
        <v>0</v>
      </c>
      <c r="AN171" s="31">
        <f>'mnt Data'!Z174</f>
        <v>0</v>
      </c>
      <c r="AO171" s="31">
        <f>'mnt Data'!AA174</f>
        <v>0</v>
      </c>
      <c r="AP171" s="31">
        <f>'mnt Data'!AB174</f>
        <v>0</v>
      </c>
      <c r="AQ171" s="31">
        <f>'mnt Data'!AC174</f>
        <v>0</v>
      </c>
      <c r="AR171" s="31">
        <f>'mnt Data'!AD174</f>
        <v>0</v>
      </c>
      <c r="AS171" s="31">
        <f>'mnt Data'!AE174</f>
        <v>0</v>
      </c>
      <c r="AT171" s="31">
        <f>'mnt Data'!AF174</f>
        <v>0</v>
      </c>
      <c r="AU171" s="31">
        <f>'mnt Data'!AG174</f>
        <v>0</v>
      </c>
      <c r="AV171" s="31">
        <f>'mnt Data'!AH174</f>
        <v>0</v>
      </c>
      <c r="AW171" s="31">
        <f>'mnt Data'!AI174</f>
        <v>0</v>
      </c>
      <c r="AX171" s="31">
        <f>'mnt Data'!AJ174</f>
        <v>0</v>
      </c>
      <c r="AY171" s="31">
        <f>'mnt Data'!AK174</f>
        <v>0</v>
      </c>
    </row>
    <row r="172" spans="1:51" x14ac:dyDescent="0.25">
      <c r="A172">
        <v>171</v>
      </c>
      <c r="B172" s="32">
        <f t="shared" si="36"/>
        <v>0</v>
      </c>
      <c r="C172" s="32">
        <f t="shared" si="37"/>
        <v>0</v>
      </c>
      <c r="D172" s="32" t="str">
        <f t="shared" si="29"/>
        <v>No Gs</v>
      </c>
      <c r="E172" s="32">
        <f t="shared" si="33"/>
        <v>0</v>
      </c>
      <c r="F172" s="32" t="str">
        <f t="shared" si="34"/>
        <v>No Gs</v>
      </c>
      <c r="G172" s="32" t="str">
        <f t="shared" si="35"/>
        <v>No Gs</v>
      </c>
      <c r="H172" s="32" t="str">
        <f t="shared" si="38"/>
        <v>Gs is needed</v>
      </c>
      <c r="I172" s="32" t="str">
        <f t="shared" si="39"/>
        <v>Gs is needed</v>
      </c>
      <c r="J172" s="32" t="str">
        <f t="shared" si="40"/>
        <v>Gs is needed</v>
      </c>
      <c r="K172" s="32" t="str">
        <f t="shared" si="30"/>
        <v>Need Max and Min</v>
      </c>
      <c r="L172" s="32" t="str">
        <f t="shared" si="31"/>
        <v>Need Max and Min</v>
      </c>
      <c r="M172" s="32" t="str">
        <f t="shared" si="32"/>
        <v>Fail</v>
      </c>
      <c r="N172" s="32"/>
      <c r="O172" s="31">
        <f>'mnt Data'!A175</f>
        <v>0</v>
      </c>
      <c r="P172" s="31">
        <f>'mnt Data'!B175</f>
        <v>0</v>
      </c>
      <c r="Q172" s="31">
        <f>'mnt Data'!C175</f>
        <v>0</v>
      </c>
      <c r="R172" s="31">
        <f>'mnt Data'!D175</f>
        <v>0</v>
      </c>
      <c r="S172" s="31">
        <f>'mnt Data'!E175</f>
        <v>0</v>
      </c>
      <c r="T172" s="31">
        <f>'mnt Data'!F175</f>
        <v>0</v>
      </c>
      <c r="U172" s="31">
        <f>'mnt Data'!G175</f>
        <v>0</v>
      </c>
      <c r="V172" s="31">
        <f>'mnt Data'!H175</f>
        <v>0</v>
      </c>
      <c r="W172" s="31">
        <f>'mnt Data'!I175</f>
        <v>0</v>
      </c>
      <c r="X172" s="31">
        <f>'mnt Data'!J175</f>
        <v>0</v>
      </c>
      <c r="Y172" s="31">
        <f>'mnt Data'!K175</f>
        <v>0</v>
      </c>
      <c r="Z172" s="31">
        <f>'mnt Data'!L175</f>
        <v>0</v>
      </c>
      <c r="AA172" s="31">
        <f>'mnt Data'!M175</f>
        <v>0</v>
      </c>
      <c r="AB172" s="31">
        <f>'mnt Data'!N175</f>
        <v>0</v>
      </c>
      <c r="AC172" s="31">
        <f>'mnt Data'!O175</f>
        <v>0</v>
      </c>
      <c r="AD172" s="31">
        <f>'mnt Data'!P175</f>
        <v>0</v>
      </c>
      <c r="AE172" s="31">
        <f>'mnt Data'!Q175</f>
        <v>0</v>
      </c>
      <c r="AF172" s="31">
        <f>'mnt Data'!R175</f>
        <v>0</v>
      </c>
      <c r="AG172" s="31">
        <f>'mnt Data'!S175</f>
        <v>0</v>
      </c>
      <c r="AH172" s="31">
        <f>'mnt Data'!T175</f>
        <v>0</v>
      </c>
      <c r="AI172" s="31">
        <f>'mnt Data'!U175</f>
        <v>0</v>
      </c>
      <c r="AJ172" s="31">
        <f>'mnt Data'!V175</f>
        <v>0</v>
      </c>
      <c r="AK172" s="31">
        <f>'mnt Data'!W175</f>
        <v>0</v>
      </c>
      <c r="AL172" s="31">
        <f>'mnt Data'!X175</f>
        <v>0</v>
      </c>
      <c r="AM172" s="31">
        <f>'mnt Data'!Y175</f>
        <v>0</v>
      </c>
      <c r="AN172" s="31">
        <f>'mnt Data'!Z175</f>
        <v>0</v>
      </c>
      <c r="AO172" s="31">
        <f>'mnt Data'!AA175</f>
        <v>0</v>
      </c>
      <c r="AP172" s="31">
        <f>'mnt Data'!AB175</f>
        <v>0</v>
      </c>
      <c r="AQ172" s="31">
        <f>'mnt Data'!AC175</f>
        <v>0</v>
      </c>
      <c r="AR172" s="31">
        <f>'mnt Data'!AD175</f>
        <v>0</v>
      </c>
      <c r="AS172" s="31">
        <f>'mnt Data'!AE175</f>
        <v>0</v>
      </c>
      <c r="AT172" s="31">
        <f>'mnt Data'!AF175</f>
        <v>0</v>
      </c>
      <c r="AU172" s="31">
        <f>'mnt Data'!AG175</f>
        <v>0</v>
      </c>
      <c r="AV172" s="31">
        <f>'mnt Data'!AH175</f>
        <v>0</v>
      </c>
      <c r="AW172" s="31">
        <f>'mnt Data'!AI175</f>
        <v>0</v>
      </c>
      <c r="AX172" s="31">
        <f>'mnt Data'!AJ175</f>
        <v>0</v>
      </c>
      <c r="AY172" s="31">
        <f>'mnt Data'!AK175</f>
        <v>0</v>
      </c>
    </row>
    <row r="173" spans="1:51" x14ac:dyDescent="0.25">
      <c r="A173">
        <v>172</v>
      </c>
      <c r="B173" s="32">
        <f t="shared" si="36"/>
        <v>0</v>
      </c>
      <c r="C173" s="32">
        <f t="shared" si="37"/>
        <v>0</v>
      </c>
      <c r="D173" s="32" t="str">
        <f t="shared" si="29"/>
        <v>No Gs</v>
      </c>
      <c r="E173" s="32">
        <f t="shared" si="33"/>
        <v>0</v>
      </c>
      <c r="F173" s="32" t="str">
        <f t="shared" si="34"/>
        <v>No Gs</v>
      </c>
      <c r="G173" s="32" t="str">
        <f t="shared" si="35"/>
        <v>No Gs</v>
      </c>
      <c r="H173" s="32" t="str">
        <f t="shared" si="38"/>
        <v>Gs is needed</v>
      </c>
      <c r="I173" s="32" t="str">
        <f t="shared" si="39"/>
        <v>Gs is needed</v>
      </c>
      <c r="J173" s="32" t="str">
        <f t="shared" si="40"/>
        <v>Gs is needed</v>
      </c>
      <c r="K173" s="32" t="str">
        <f t="shared" si="30"/>
        <v>Need Max and Min</v>
      </c>
      <c r="L173" s="32" t="str">
        <f t="shared" si="31"/>
        <v>Need Max and Min</v>
      </c>
      <c r="M173" s="32" t="str">
        <f t="shared" si="32"/>
        <v>Fail</v>
      </c>
      <c r="N173" s="32"/>
      <c r="O173" s="31">
        <f>'mnt Data'!A176</f>
        <v>0</v>
      </c>
      <c r="P173" s="31">
        <f>'mnt Data'!B176</f>
        <v>0</v>
      </c>
      <c r="Q173" s="31">
        <f>'mnt Data'!C176</f>
        <v>0</v>
      </c>
      <c r="R173" s="31">
        <f>'mnt Data'!D176</f>
        <v>0</v>
      </c>
      <c r="S173" s="31">
        <f>'mnt Data'!E176</f>
        <v>0</v>
      </c>
      <c r="T173" s="31">
        <f>'mnt Data'!F176</f>
        <v>0</v>
      </c>
      <c r="U173" s="31">
        <f>'mnt Data'!G176</f>
        <v>0</v>
      </c>
      <c r="V173" s="31">
        <f>'mnt Data'!H176</f>
        <v>0</v>
      </c>
      <c r="W173" s="31">
        <f>'mnt Data'!I176</f>
        <v>0</v>
      </c>
      <c r="X173" s="31">
        <f>'mnt Data'!J176</f>
        <v>0</v>
      </c>
      <c r="Y173" s="31">
        <f>'mnt Data'!K176</f>
        <v>0</v>
      </c>
      <c r="Z173" s="31">
        <f>'mnt Data'!L176</f>
        <v>0</v>
      </c>
      <c r="AA173" s="31">
        <f>'mnt Data'!M176</f>
        <v>0</v>
      </c>
      <c r="AB173" s="31">
        <f>'mnt Data'!N176</f>
        <v>0</v>
      </c>
      <c r="AC173" s="31">
        <f>'mnt Data'!O176</f>
        <v>0</v>
      </c>
      <c r="AD173" s="31">
        <f>'mnt Data'!P176</f>
        <v>0</v>
      </c>
      <c r="AE173" s="31">
        <f>'mnt Data'!Q176</f>
        <v>0</v>
      </c>
      <c r="AF173" s="31">
        <f>'mnt Data'!R176</f>
        <v>0</v>
      </c>
      <c r="AG173" s="31">
        <f>'mnt Data'!S176</f>
        <v>0</v>
      </c>
      <c r="AH173" s="31">
        <f>'mnt Data'!T176</f>
        <v>0</v>
      </c>
      <c r="AI173" s="31">
        <f>'mnt Data'!U176</f>
        <v>0</v>
      </c>
      <c r="AJ173" s="31">
        <f>'mnt Data'!V176</f>
        <v>0</v>
      </c>
      <c r="AK173" s="31">
        <f>'mnt Data'!W176</f>
        <v>0</v>
      </c>
      <c r="AL173" s="31">
        <f>'mnt Data'!X176</f>
        <v>0</v>
      </c>
      <c r="AM173" s="31">
        <f>'mnt Data'!Y176</f>
        <v>0</v>
      </c>
      <c r="AN173" s="31">
        <f>'mnt Data'!Z176</f>
        <v>0</v>
      </c>
      <c r="AO173" s="31">
        <f>'mnt Data'!AA176</f>
        <v>0</v>
      </c>
      <c r="AP173" s="31">
        <f>'mnt Data'!AB176</f>
        <v>0</v>
      </c>
      <c r="AQ173" s="31">
        <f>'mnt Data'!AC176</f>
        <v>0</v>
      </c>
      <c r="AR173" s="31">
        <f>'mnt Data'!AD176</f>
        <v>0</v>
      </c>
      <c r="AS173" s="31">
        <f>'mnt Data'!AE176</f>
        <v>0</v>
      </c>
      <c r="AT173" s="31">
        <f>'mnt Data'!AF176</f>
        <v>0</v>
      </c>
      <c r="AU173" s="31">
        <f>'mnt Data'!AG176</f>
        <v>0</v>
      </c>
      <c r="AV173" s="31">
        <f>'mnt Data'!AH176</f>
        <v>0</v>
      </c>
      <c r="AW173" s="31">
        <f>'mnt Data'!AI176</f>
        <v>0</v>
      </c>
      <c r="AX173" s="31">
        <f>'mnt Data'!AJ176</f>
        <v>0</v>
      </c>
      <c r="AY173" s="31">
        <f>'mnt Data'!AK176</f>
        <v>0</v>
      </c>
    </row>
    <row r="174" spans="1:51" x14ac:dyDescent="0.25">
      <c r="A174">
        <v>173</v>
      </c>
      <c r="B174" s="32">
        <f t="shared" si="36"/>
        <v>0</v>
      </c>
      <c r="C174" s="32">
        <f t="shared" si="37"/>
        <v>0</v>
      </c>
      <c r="D174" s="32" t="str">
        <f t="shared" si="29"/>
        <v>No Gs</v>
      </c>
      <c r="E174" s="32">
        <f t="shared" si="33"/>
        <v>0</v>
      </c>
      <c r="F174" s="32" t="str">
        <f t="shared" si="34"/>
        <v>No Gs</v>
      </c>
      <c r="G174" s="32" t="str">
        <f t="shared" si="35"/>
        <v>No Gs</v>
      </c>
      <c r="H174" s="32" t="str">
        <f t="shared" si="38"/>
        <v>Gs is needed</v>
      </c>
      <c r="I174" s="32" t="str">
        <f t="shared" si="39"/>
        <v>Gs is needed</v>
      </c>
      <c r="J174" s="32" t="str">
        <f t="shared" si="40"/>
        <v>Gs is needed</v>
      </c>
      <c r="K174" s="32" t="str">
        <f t="shared" si="30"/>
        <v>Need Max and Min</v>
      </c>
      <c r="L174" s="32" t="str">
        <f t="shared" si="31"/>
        <v>Need Max and Min</v>
      </c>
      <c r="M174" s="32" t="str">
        <f t="shared" si="32"/>
        <v>Fail</v>
      </c>
      <c r="N174" s="32"/>
      <c r="O174" s="31">
        <f>'mnt Data'!A177</f>
        <v>0</v>
      </c>
      <c r="P174" s="31">
        <f>'mnt Data'!B177</f>
        <v>0</v>
      </c>
      <c r="Q174" s="31">
        <f>'mnt Data'!C177</f>
        <v>0</v>
      </c>
      <c r="R174" s="31">
        <f>'mnt Data'!D177</f>
        <v>0</v>
      </c>
      <c r="S174" s="31">
        <f>'mnt Data'!E177</f>
        <v>0</v>
      </c>
      <c r="T174" s="31">
        <f>'mnt Data'!F177</f>
        <v>0</v>
      </c>
      <c r="U174" s="31">
        <f>'mnt Data'!G177</f>
        <v>0</v>
      </c>
      <c r="V174" s="31">
        <f>'mnt Data'!H177</f>
        <v>0</v>
      </c>
      <c r="W174" s="31">
        <f>'mnt Data'!I177</f>
        <v>0</v>
      </c>
      <c r="X174" s="31">
        <f>'mnt Data'!J177</f>
        <v>0</v>
      </c>
      <c r="Y174" s="31">
        <f>'mnt Data'!K177</f>
        <v>0</v>
      </c>
      <c r="Z174" s="31">
        <f>'mnt Data'!L177</f>
        <v>0</v>
      </c>
      <c r="AA174" s="31">
        <f>'mnt Data'!M177</f>
        <v>0</v>
      </c>
      <c r="AB174" s="31">
        <f>'mnt Data'!N177</f>
        <v>0</v>
      </c>
      <c r="AC174" s="31">
        <f>'mnt Data'!O177</f>
        <v>0</v>
      </c>
      <c r="AD174" s="31">
        <f>'mnt Data'!P177</f>
        <v>0</v>
      </c>
      <c r="AE174" s="31">
        <f>'mnt Data'!Q177</f>
        <v>0</v>
      </c>
      <c r="AF174" s="31">
        <f>'mnt Data'!R177</f>
        <v>0</v>
      </c>
      <c r="AG174" s="31">
        <f>'mnt Data'!S177</f>
        <v>0</v>
      </c>
      <c r="AH174" s="31">
        <f>'mnt Data'!T177</f>
        <v>0</v>
      </c>
      <c r="AI174" s="31">
        <f>'mnt Data'!U177</f>
        <v>0</v>
      </c>
      <c r="AJ174" s="31">
        <f>'mnt Data'!V177</f>
        <v>0</v>
      </c>
      <c r="AK174" s="31">
        <f>'mnt Data'!W177</f>
        <v>0</v>
      </c>
      <c r="AL174" s="31">
        <f>'mnt Data'!X177</f>
        <v>0</v>
      </c>
      <c r="AM174" s="31">
        <f>'mnt Data'!Y177</f>
        <v>0</v>
      </c>
      <c r="AN174" s="31">
        <f>'mnt Data'!Z177</f>
        <v>0</v>
      </c>
      <c r="AO174" s="31">
        <f>'mnt Data'!AA177</f>
        <v>0</v>
      </c>
      <c r="AP174" s="31">
        <f>'mnt Data'!AB177</f>
        <v>0</v>
      </c>
      <c r="AQ174" s="31">
        <f>'mnt Data'!AC177</f>
        <v>0</v>
      </c>
      <c r="AR174" s="31">
        <f>'mnt Data'!AD177</f>
        <v>0</v>
      </c>
      <c r="AS174" s="31">
        <f>'mnt Data'!AE177</f>
        <v>0</v>
      </c>
      <c r="AT174" s="31">
        <f>'mnt Data'!AF177</f>
        <v>0</v>
      </c>
      <c r="AU174" s="31">
        <f>'mnt Data'!AG177</f>
        <v>0</v>
      </c>
      <c r="AV174" s="31">
        <f>'mnt Data'!AH177</f>
        <v>0</v>
      </c>
      <c r="AW174" s="31">
        <f>'mnt Data'!AI177</f>
        <v>0</v>
      </c>
      <c r="AX174" s="31">
        <f>'mnt Data'!AJ177</f>
        <v>0</v>
      </c>
      <c r="AY174" s="31">
        <f>'mnt Data'!AK177</f>
        <v>0</v>
      </c>
    </row>
    <row r="175" spans="1:51" x14ac:dyDescent="0.25">
      <c r="A175">
        <v>174</v>
      </c>
      <c r="B175" s="32">
        <f t="shared" si="36"/>
        <v>0</v>
      </c>
      <c r="C175" s="32">
        <f t="shared" si="37"/>
        <v>0</v>
      </c>
      <c r="D175" s="32" t="str">
        <f t="shared" si="29"/>
        <v>No Gs</v>
      </c>
      <c r="E175" s="32">
        <f t="shared" si="33"/>
        <v>0</v>
      </c>
      <c r="F175" s="32" t="str">
        <f t="shared" si="34"/>
        <v>No Gs</v>
      </c>
      <c r="G175" s="32" t="str">
        <f t="shared" si="35"/>
        <v>No Gs</v>
      </c>
      <c r="H175" s="32" t="str">
        <f t="shared" si="38"/>
        <v>Gs is needed</v>
      </c>
      <c r="I175" s="32" t="str">
        <f t="shared" si="39"/>
        <v>Gs is needed</v>
      </c>
      <c r="J175" s="32" t="str">
        <f t="shared" si="40"/>
        <v>Gs is needed</v>
      </c>
      <c r="K175" s="32" t="str">
        <f t="shared" si="30"/>
        <v>Need Max and Min</v>
      </c>
      <c r="L175" s="32" t="str">
        <f t="shared" si="31"/>
        <v>Need Max and Min</v>
      </c>
      <c r="M175" s="32" t="str">
        <f t="shared" si="32"/>
        <v>Fail</v>
      </c>
      <c r="N175" s="32"/>
      <c r="O175" s="31">
        <f>'mnt Data'!A178</f>
        <v>0</v>
      </c>
      <c r="P175" s="31">
        <f>'mnt Data'!B178</f>
        <v>0</v>
      </c>
      <c r="Q175" s="31">
        <f>'mnt Data'!C178</f>
        <v>0</v>
      </c>
      <c r="R175" s="31">
        <f>'mnt Data'!D178</f>
        <v>0</v>
      </c>
      <c r="S175" s="31">
        <f>'mnt Data'!E178</f>
        <v>0</v>
      </c>
      <c r="T175" s="31">
        <f>'mnt Data'!F178</f>
        <v>0</v>
      </c>
      <c r="U175" s="31">
        <f>'mnt Data'!G178</f>
        <v>0</v>
      </c>
      <c r="V175" s="31">
        <f>'mnt Data'!H178</f>
        <v>0</v>
      </c>
      <c r="W175" s="31">
        <f>'mnt Data'!I178</f>
        <v>0</v>
      </c>
      <c r="X175" s="31">
        <f>'mnt Data'!J178</f>
        <v>0</v>
      </c>
      <c r="Y175" s="31">
        <f>'mnt Data'!K178</f>
        <v>0</v>
      </c>
      <c r="Z175" s="31">
        <f>'mnt Data'!L178</f>
        <v>0</v>
      </c>
      <c r="AA175" s="31">
        <f>'mnt Data'!M178</f>
        <v>0</v>
      </c>
      <c r="AB175" s="31">
        <f>'mnt Data'!N178</f>
        <v>0</v>
      </c>
      <c r="AC175" s="31">
        <f>'mnt Data'!O178</f>
        <v>0</v>
      </c>
      <c r="AD175" s="31">
        <f>'mnt Data'!P178</f>
        <v>0</v>
      </c>
      <c r="AE175" s="31">
        <f>'mnt Data'!Q178</f>
        <v>0</v>
      </c>
      <c r="AF175" s="31">
        <f>'mnt Data'!R178</f>
        <v>0</v>
      </c>
      <c r="AG175" s="31">
        <f>'mnt Data'!S178</f>
        <v>0</v>
      </c>
      <c r="AH175" s="31">
        <f>'mnt Data'!T178</f>
        <v>0</v>
      </c>
      <c r="AI175" s="31">
        <f>'mnt Data'!U178</f>
        <v>0</v>
      </c>
      <c r="AJ175" s="31">
        <f>'mnt Data'!V178</f>
        <v>0</v>
      </c>
      <c r="AK175" s="31">
        <f>'mnt Data'!W178</f>
        <v>0</v>
      </c>
      <c r="AL175" s="31">
        <f>'mnt Data'!X178</f>
        <v>0</v>
      </c>
      <c r="AM175" s="31">
        <f>'mnt Data'!Y178</f>
        <v>0</v>
      </c>
      <c r="AN175" s="31">
        <f>'mnt Data'!Z178</f>
        <v>0</v>
      </c>
      <c r="AO175" s="31">
        <f>'mnt Data'!AA178</f>
        <v>0</v>
      </c>
      <c r="AP175" s="31">
        <f>'mnt Data'!AB178</f>
        <v>0</v>
      </c>
      <c r="AQ175" s="31">
        <f>'mnt Data'!AC178</f>
        <v>0</v>
      </c>
      <c r="AR175" s="31">
        <f>'mnt Data'!AD178</f>
        <v>0</v>
      </c>
      <c r="AS175" s="31">
        <f>'mnt Data'!AE178</f>
        <v>0</v>
      </c>
      <c r="AT175" s="31">
        <f>'mnt Data'!AF178</f>
        <v>0</v>
      </c>
      <c r="AU175" s="31">
        <f>'mnt Data'!AG178</f>
        <v>0</v>
      </c>
      <c r="AV175" s="31">
        <f>'mnt Data'!AH178</f>
        <v>0</v>
      </c>
      <c r="AW175" s="31">
        <f>'mnt Data'!AI178</f>
        <v>0</v>
      </c>
      <c r="AX175" s="31">
        <f>'mnt Data'!AJ178</f>
        <v>0</v>
      </c>
      <c r="AY175" s="31">
        <f>'mnt Data'!AK178</f>
        <v>0</v>
      </c>
    </row>
    <row r="176" spans="1:51" x14ac:dyDescent="0.25">
      <c r="A176">
        <v>175</v>
      </c>
      <c r="B176" s="32">
        <f t="shared" si="36"/>
        <v>0</v>
      </c>
      <c r="C176" s="32">
        <f t="shared" si="37"/>
        <v>0</v>
      </c>
      <c r="D176" s="32" t="str">
        <f t="shared" si="29"/>
        <v>No Gs</v>
      </c>
      <c r="E176" s="32">
        <f t="shared" si="33"/>
        <v>0</v>
      </c>
      <c r="F176" s="32" t="str">
        <f t="shared" si="34"/>
        <v>No Gs</v>
      </c>
      <c r="G176" s="32" t="str">
        <f t="shared" si="35"/>
        <v>No Gs</v>
      </c>
      <c r="H176" s="32" t="str">
        <f t="shared" si="38"/>
        <v>Gs is needed</v>
      </c>
      <c r="I176" s="32" t="str">
        <f t="shared" si="39"/>
        <v>Gs is needed</v>
      </c>
      <c r="J176" s="32" t="str">
        <f t="shared" si="40"/>
        <v>Gs is needed</v>
      </c>
      <c r="K176" s="32" t="str">
        <f t="shared" si="30"/>
        <v>Need Max and Min</v>
      </c>
      <c r="L176" s="32" t="str">
        <f t="shared" si="31"/>
        <v>Need Max and Min</v>
      </c>
      <c r="M176" s="32" t="str">
        <f t="shared" si="32"/>
        <v>Fail</v>
      </c>
      <c r="N176" s="32"/>
      <c r="O176" s="31">
        <f>'mnt Data'!A179</f>
        <v>0</v>
      </c>
      <c r="P176" s="31">
        <f>'mnt Data'!B179</f>
        <v>0</v>
      </c>
      <c r="Q176" s="31">
        <f>'mnt Data'!C179</f>
        <v>0</v>
      </c>
      <c r="R176" s="31">
        <f>'mnt Data'!D179</f>
        <v>0</v>
      </c>
      <c r="S176" s="31">
        <f>'mnt Data'!E179</f>
        <v>0</v>
      </c>
      <c r="T176" s="31">
        <f>'mnt Data'!F179</f>
        <v>0</v>
      </c>
      <c r="U176" s="31">
        <f>'mnt Data'!G179</f>
        <v>0</v>
      </c>
      <c r="V176" s="31">
        <f>'mnt Data'!H179</f>
        <v>0</v>
      </c>
      <c r="W176" s="31">
        <f>'mnt Data'!I179</f>
        <v>0</v>
      </c>
      <c r="X176" s="31">
        <f>'mnt Data'!J179</f>
        <v>0</v>
      </c>
      <c r="Y176" s="31">
        <f>'mnt Data'!K179</f>
        <v>0</v>
      </c>
      <c r="Z176" s="31">
        <f>'mnt Data'!L179</f>
        <v>0</v>
      </c>
      <c r="AA176" s="31">
        <f>'mnt Data'!M179</f>
        <v>0</v>
      </c>
      <c r="AB176" s="31">
        <f>'mnt Data'!N179</f>
        <v>0</v>
      </c>
      <c r="AC176" s="31">
        <f>'mnt Data'!O179</f>
        <v>0</v>
      </c>
      <c r="AD176" s="31">
        <f>'mnt Data'!P179</f>
        <v>0</v>
      </c>
      <c r="AE176" s="31">
        <f>'mnt Data'!Q179</f>
        <v>0</v>
      </c>
      <c r="AF176" s="31">
        <f>'mnt Data'!R179</f>
        <v>0</v>
      </c>
      <c r="AG176" s="31">
        <f>'mnt Data'!S179</f>
        <v>0</v>
      </c>
      <c r="AH176" s="31">
        <f>'mnt Data'!T179</f>
        <v>0</v>
      </c>
      <c r="AI176" s="31">
        <f>'mnt Data'!U179</f>
        <v>0</v>
      </c>
      <c r="AJ176" s="31">
        <f>'mnt Data'!V179</f>
        <v>0</v>
      </c>
      <c r="AK176" s="31">
        <f>'mnt Data'!W179</f>
        <v>0</v>
      </c>
      <c r="AL176" s="31">
        <f>'mnt Data'!X179</f>
        <v>0</v>
      </c>
      <c r="AM176" s="31">
        <f>'mnt Data'!Y179</f>
        <v>0</v>
      </c>
      <c r="AN176" s="31">
        <f>'mnt Data'!Z179</f>
        <v>0</v>
      </c>
      <c r="AO176" s="31">
        <f>'mnt Data'!AA179</f>
        <v>0</v>
      </c>
      <c r="AP176" s="31">
        <f>'mnt Data'!AB179</f>
        <v>0</v>
      </c>
      <c r="AQ176" s="31">
        <f>'mnt Data'!AC179</f>
        <v>0</v>
      </c>
      <c r="AR176" s="31">
        <f>'mnt Data'!AD179</f>
        <v>0</v>
      </c>
      <c r="AS176" s="31">
        <f>'mnt Data'!AE179</f>
        <v>0</v>
      </c>
      <c r="AT176" s="31">
        <f>'mnt Data'!AF179</f>
        <v>0</v>
      </c>
      <c r="AU176" s="31">
        <f>'mnt Data'!AG179</f>
        <v>0</v>
      </c>
      <c r="AV176" s="31">
        <f>'mnt Data'!AH179</f>
        <v>0</v>
      </c>
      <c r="AW176" s="31">
        <f>'mnt Data'!AI179</f>
        <v>0</v>
      </c>
      <c r="AX176" s="31">
        <f>'mnt Data'!AJ179</f>
        <v>0</v>
      </c>
      <c r="AY176" s="31">
        <f>'mnt Data'!AK179</f>
        <v>0</v>
      </c>
    </row>
    <row r="177" spans="1:51" x14ac:dyDescent="0.25">
      <c r="A177">
        <v>176</v>
      </c>
      <c r="B177" s="32">
        <f t="shared" si="36"/>
        <v>0</v>
      </c>
      <c r="C177" s="32">
        <f t="shared" si="37"/>
        <v>0</v>
      </c>
      <c r="D177" s="32" t="str">
        <f t="shared" si="29"/>
        <v>No Gs</v>
      </c>
      <c r="E177" s="32">
        <f t="shared" si="33"/>
        <v>0</v>
      </c>
      <c r="F177" s="32" t="str">
        <f t="shared" si="34"/>
        <v>No Gs</v>
      </c>
      <c r="G177" s="32" t="str">
        <f t="shared" si="35"/>
        <v>No Gs</v>
      </c>
      <c r="H177" s="32" t="str">
        <f t="shared" si="38"/>
        <v>Gs is needed</v>
      </c>
      <c r="I177" s="32" t="str">
        <f t="shared" si="39"/>
        <v>Gs is needed</v>
      </c>
      <c r="J177" s="32" t="str">
        <f t="shared" si="40"/>
        <v>Gs is needed</v>
      </c>
      <c r="K177" s="32" t="str">
        <f t="shared" si="30"/>
        <v>Need Max and Min</v>
      </c>
      <c r="L177" s="32" t="str">
        <f t="shared" si="31"/>
        <v>Need Max and Min</v>
      </c>
      <c r="M177" s="32" t="str">
        <f t="shared" si="32"/>
        <v>Fail</v>
      </c>
      <c r="N177" s="32"/>
      <c r="O177" s="31">
        <f>'mnt Data'!A180</f>
        <v>0</v>
      </c>
      <c r="P177" s="31">
        <f>'mnt Data'!B180</f>
        <v>0</v>
      </c>
      <c r="Q177" s="31">
        <f>'mnt Data'!C180</f>
        <v>0</v>
      </c>
      <c r="R177" s="31">
        <f>'mnt Data'!D180</f>
        <v>0</v>
      </c>
      <c r="S177" s="31">
        <f>'mnt Data'!E180</f>
        <v>0</v>
      </c>
      <c r="T177" s="31">
        <f>'mnt Data'!F180</f>
        <v>0</v>
      </c>
      <c r="U177" s="31">
        <f>'mnt Data'!G180</f>
        <v>0</v>
      </c>
      <c r="V177" s="31">
        <f>'mnt Data'!H180</f>
        <v>0</v>
      </c>
      <c r="W177" s="31">
        <f>'mnt Data'!I180</f>
        <v>0</v>
      </c>
      <c r="X177" s="31">
        <f>'mnt Data'!J180</f>
        <v>0</v>
      </c>
      <c r="Y177" s="31">
        <f>'mnt Data'!K180</f>
        <v>0</v>
      </c>
      <c r="Z177" s="31">
        <f>'mnt Data'!L180</f>
        <v>0</v>
      </c>
      <c r="AA177" s="31">
        <f>'mnt Data'!M180</f>
        <v>0</v>
      </c>
      <c r="AB177" s="31">
        <f>'mnt Data'!N180</f>
        <v>0</v>
      </c>
      <c r="AC177" s="31">
        <f>'mnt Data'!O180</f>
        <v>0</v>
      </c>
      <c r="AD177" s="31">
        <f>'mnt Data'!P180</f>
        <v>0</v>
      </c>
      <c r="AE177" s="31">
        <f>'mnt Data'!Q180</f>
        <v>0</v>
      </c>
      <c r="AF177" s="31">
        <f>'mnt Data'!R180</f>
        <v>0</v>
      </c>
      <c r="AG177" s="31">
        <f>'mnt Data'!S180</f>
        <v>0</v>
      </c>
      <c r="AH177" s="31">
        <f>'mnt Data'!T180</f>
        <v>0</v>
      </c>
      <c r="AI177" s="31">
        <f>'mnt Data'!U180</f>
        <v>0</v>
      </c>
      <c r="AJ177" s="31">
        <f>'mnt Data'!V180</f>
        <v>0</v>
      </c>
      <c r="AK177" s="31">
        <f>'mnt Data'!W180</f>
        <v>0</v>
      </c>
      <c r="AL177" s="31">
        <f>'mnt Data'!X180</f>
        <v>0</v>
      </c>
      <c r="AM177" s="31">
        <f>'mnt Data'!Y180</f>
        <v>0</v>
      </c>
      <c r="AN177" s="31">
        <f>'mnt Data'!Z180</f>
        <v>0</v>
      </c>
      <c r="AO177" s="31">
        <f>'mnt Data'!AA180</f>
        <v>0</v>
      </c>
      <c r="AP177" s="31">
        <f>'mnt Data'!AB180</f>
        <v>0</v>
      </c>
      <c r="AQ177" s="31">
        <f>'mnt Data'!AC180</f>
        <v>0</v>
      </c>
      <c r="AR177" s="31">
        <f>'mnt Data'!AD180</f>
        <v>0</v>
      </c>
      <c r="AS177" s="31">
        <f>'mnt Data'!AE180</f>
        <v>0</v>
      </c>
      <c r="AT177" s="31">
        <f>'mnt Data'!AF180</f>
        <v>0</v>
      </c>
      <c r="AU177" s="31">
        <f>'mnt Data'!AG180</f>
        <v>0</v>
      </c>
      <c r="AV177" s="31">
        <f>'mnt Data'!AH180</f>
        <v>0</v>
      </c>
      <c r="AW177" s="31">
        <f>'mnt Data'!AI180</f>
        <v>0</v>
      </c>
      <c r="AX177" s="31">
        <f>'mnt Data'!AJ180</f>
        <v>0</v>
      </c>
      <c r="AY177" s="31">
        <f>'mnt Data'!AK180</f>
        <v>0</v>
      </c>
    </row>
    <row r="178" spans="1:51" x14ac:dyDescent="0.25">
      <c r="A178">
        <v>177</v>
      </c>
      <c r="B178" s="32">
        <f t="shared" si="36"/>
        <v>0</v>
      </c>
      <c r="C178" s="32">
        <f t="shared" si="37"/>
        <v>0</v>
      </c>
      <c r="D178" s="32" t="str">
        <f t="shared" si="29"/>
        <v>No Gs</v>
      </c>
      <c r="E178" s="32">
        <f t="shared" si="33"/>
        <v>0</v>
      </c>
      <c r="F178" s="32" t="str">
        <f t="shared" si="34"/>
        <v>No Gs</v>
      </c>
      <c r="G178" s="32" t="str">
        <f t="shared" si="35"/>
        <v>No Gs</v>
      </c>
      <c r="H178" s="32" t="str">
        <f t="shared" si="38"/>
        <v>Gs is needed</v>
      </c>
      <c r="I178" s="32" t="str">
        <f t="shared" si="39"/>
        <v>Gs is needed</v>
      </c>
      <c r="J178" s="32" t="str">
        <f t="shared" si="40"/>
        <v>Gs is needed</v>
      </c>
      <c r="K178" s="32" t="str">
        <f t="shared" si="30"/>
        <v>Need Max and Min</v>
      </c>
      <c r="L178" s="32" t="str">
        <f t="shared" si="31"/>
        <v>Need Max and Min</v>
      </c>
      <c r="M178" s="32" t="str">
        <f t="shared" si="32"/>
        <v>Fail</v>
      </c>
      <c r="N178" s="32"/>
      <c r="O178" s="31">
        <f>'mnt Data'!A181</f>
        <v>0</v>
      </c>
      <c r="P178" s="31">
        <f>'mnt Data'!B181</f>
        <v>0</v>
      </c>
      <c r="Q178" s="31">
        <f>'mnt Data'!C181</f>
        <v>0</v>
      </c>
      <c r="R178" s="31">
        <f>'mnt Data'!D181</f>
        <v>0</v>
      </c>
      <c r="S178" s="31">
        <f>'mnt Data'!E181</f>
        <v>0</v>
      </c>
      <c r="T178" s="31">
        <f>'mnt Data'!F181</f>
        <v>0</v>
      </c>
      <c r="U178" s="31">
        <f>'mnt Data'!G181</f>
        <v>0</v>
      </c>
      <c r="V178" s="31">
        <f>'mnt Data'!H181</f>
        <v>0</v>
      </c>
      <c r="W178" s="31">
        <f>'mnt Data'!I181</f>
        <v>0</v>
      </c>
      <c r="X178" s="31">
        <f>'mnt Data'!J181</f>
        <v>0</v>
      </c>
      <c r="Y178" s="31">
        <f>'mnt Data'!K181</f>
        <v>0</v>
      </c>
      <c r="Z178" s="31">
        <f>'mnt Data'!L181</f>
        <v>0</v>
      </c>
      <c r="AA178" s="31">
        <f>'mnt Data'!M181</f>
        <v>0</v>
      </c>
      <c r="AB178" s="31">
        <f>'mnt Data'!N181</f>
        <v>0</v>
      </c>
      <c r="AC178" s="31">
        <f>'mnt Data'!O181</f>
        <v>0</v>
      </c>
      <c r="AD178" s="31">
        <f>'mnt Data'!P181</f>
        <v>0</v>
      </c>
      <c r="AE178" s="31">
        <f>'mnt Data'!Q181</f>
        <v>0</v>
      </c>
      <c r="AF178" s="31">
        <f>'mnt Data'!R181</f>
        <v>0</v>
      </c>
      <c r="AG178" s="31">
        <f>'mnt Data'!S181</f>
        <v>0</v>
      </c>
      <c r="AH178" s="31">
        <f>'mnt Data'!T181</f>
        <v>0</v>
      </c>
      <c r="AI178" s="31">
        <f>'mnt Data'!U181</f>
        <v>0</v>
      </c>
      <c r="AJ178" s="31">
        <f>'mnt Data'!V181</f>
        <v>0</v>
      </c>
      <c r="AK178" s="31">
        <f>'mnt Data'!W181</f>
        <v>0</v>
      </c>
      <c r="AL178" s="31">
        <f>'mnt Data'!X181</f>
        <v>0</v>
      </c>
      <c r="AM178" s="31">
        <f>'mnt Data'!Y181</f>
        <v>0</v>
      </c>
      <c r="AN178" s="31">
        <f>'mnt Data'!Z181</f>
        <v>0</v>
      </c>
      <c r="AO178" s="31">
        <f>'mnt Data'!AA181</f>
        <v>0</v>
      </c>
      <c r="AP178" s="31">
        <f>'mnt Data'!AB181</f>
        <v>0</v>
      </c>
      <c r="AQ178" s="31">
        <f>'mnt Data'!AC181</f>
        <v>0</v>
      </c>
      <c r="AR178" s="31">
        <f>'mnt Data'!AD181</f>
        <v>0</v>
      </c>
      <c r="AS178" s="31">
        <f>'mnt Data'!AE181</f>
        <v>0</v>
      </c>
      <c r="AT178" s="31">
        <f>'mnt Data'!AF181</f>
        <v>0</v>
      </c>
      <c r="AU178" s="31">
        <f>'mnt Data'!AG181</f>
        <v>0</v>
      </c>
      <c r="AV178" s="31">
        <f>'mnt Data'!AH181</f>
        <v>0</v>
      </c>
      <c r="AW178" s="31">
        <f>'mnt Data'!AI181</f>
        <v>0</v>
      </c>
      <c r="AX178" s="31">
        <f>'mnt Data'!AJ181</f>
        <v>0</v>
      </c>
      <c r="AY178" s="31">
        <f>'mnt Data'!AK181</f>
        <v>0</v>
      </c>
    </row>
    <row r="179" spans="1:51" x14ac:dyDescent="0.25">
      <c r="A179">
        <v>178</v>
      </c>
      <c r="B179" s="32">
        <f t="shared" si="36"/>
        <v>0</v>
      </c>
      <c r="C179" s="32">
        <f t="shared" si="37"/>
        <v>0</v>
      </c>
      <c r="D179" s="32" t="str">
        <f t="shared" si="29"/>
        <v>No Gs</v>
      </c>
      <c r="E179" s="32">
        <f t="shared" si="33"/>
        <v>0</v>
      </c>
      <c r="F179" s="32" t="str">
        <f t="shared" si="34"/>
        <v>No Gs</v>
      </c>
      <c r="G179" s="32" t="str">
        <f t="shared" si="35"/>
        <v>No Gs</v>
      </c>
      <c r="H179" s="32" t="str">
        <f t="shared" si="38"/>
        <v>Gs is needed</v>
      </c>
      <c r="I179" s="32" t="str">
        <f t="shared" si="39"/>
        <v>Gs is needed</v>
      </c>
      <c r="J179" s="32" t="str">
        <f t="shared" si="40"/>
        <v>Gs is needed</v>
      </c>
      <c r="K179" s="32" t="str">
        <f t="shared" si="30"/>
        <v>Need Max and Min</v>
      </c>
      <c r="L179" s="32" t="str">
        <f t="shared" si="31"/>
        <v>Need Max and Min</v>
      </c>
      <c r="M179" s="32" t="str">
        <f t="shared" si="32"/>
        <v>Fail</v>
      </c>
      <c r="N179" s="32"/>
      <c r="O179" s="31">
        <f>'mnt Data'!A182</f>
        <v>0</v>
      </c>
      <c r="P179" s="31">
        <f>'mnt Data'!B182</f>
        <v>0</v>
      </c>
      <c r="Q179" s="31">
        <f>'mnt Data'!C182</f>
        <v>0</v>
      </c>
      <c r="R179" s="31">
        <f>'mnt Data'!D182</f>
        <v>0</v>
      </c>
      <c r="S179" s="31">
        <f>'mnt Data'!E182</f>
        <v>0</v>
      </c>
      <c r="T179" s="31">
        <f>'mnt Data'!F182</f>
        <v>0</v>
      </c>
      <c r="U179" s="31">
        <f>'mnt Data'!G182</f>
        <v>0</v>
      </c>
      <c r="V179" s="31">
        <f>'mnt Data'!H182</f>
        <v>0</v>
      </c>
      <c r="W179" s="31">
        <f>'mnt Data'!I182</f>
        <v>0</v>
      </c>
      <c r="X179" s="31">
        <f>'mnt Data'!J182</f>
        <v>0</v>
      </c>
      <c r="Y179" s="31">
        <f>'mnt Data'!K182</f>
        <v>0</v>
      </c>
      <c r="Z179" s="31">
        <f>'mnt Data'!L182</f>
        <v>0</v>
      </c>
      <c r="AA179" s="31">
        <f>'mnt Data'!M182</f>
        <v>0</v>
      </c>
      <c r="AB179" s="31">
        <f>'mnt Data'!N182</f>
        <v>0</v>
      </c>
      <c r="AC179" s="31">
        <f>'mnt Data'!O182</f>
        <v>0</v>
      </c>
      <c r="AD179" s="31">
        <f>'mnt Data'!P182</f>
        <v>0</v>
      </c>
      <c r="AE179" s="31">
        <f>'mnt Data'!Q182</f>
        <v>0</v>
      </c>
      <c r="AF179" s="31">
        <f>'mnt Data'!R182</f>
        <v>0</v>
      </c>
      <c r="AG179" s="31">
        <f>'mnt Data'!S182</f>
        <v>0</v>
      </c>
      <c r="AH179" s="31">
        <f>'mnt Data'!T182</f>
        <v>0</v>
      </c>
      <c r="AI179" s="31">
        <f>'mnt Data'!U182</f>
        <v>0</v>
      </c>
      <c r="AJ179" s="31">
        <f>'mnt Data'!V182</f>
        <v>0</v>
      </c>
      <c r="AK179" s="31">
        <f>'mnt Data'!W182</f>
        <v>0</v>
      </c>
      <c r="AL179" s="31">
        <f>'mnt Data'!X182</f>
        <v>0</v>
      </c>
      <c r="AM179" s="31">
        <f>'mnt Data'!Y182</f>
        <v>0</v>
      </c>
      <c r="AN179" s="31">
        <f>'mnt Data'!Z182</f>
        <v>0</v>
      </c>
      <c r="AO179" s="31">
        <f>'mnt Data'!AA182</f>
        <v>0</v>
      </c>
      <c r="AP179" s="31">
        <f>'mnt Data'!AB182</f>
        <v>0</v>
      </c>
      <c r="AQ179" s="31">
        <f>'mnt Data'!AC182</f>
        <v>0</v>
      </c>
      <c r="AR179" s="31">
        <f>'mnt Data'!AD182</f>
        <v>0</v>
      </c>
      <c r="AS179" s="31">
        <f>'mnt Data'!AE182</f>
        <v>0</v>
      </c>
      <c r="AT179" s="31">
        <f>'mnt Data'!AF182</f>
        <v>0</v>
      </c>
      <c r="AU179" s="31">
        <f>'mnt Data'!AG182</f>
        <v>0</v>
      </c>
      <c r="AV179" s="31">
        <f>'mnt Data'!AH182</f>
        <v>0</v>
      </c>
      <c r="AW179" s="31">
        <f>'mnt Data'!AI182</f>
        <v>0</v>
      </c>
      <c r="AX179" s="31">
        <f>'mnt Data'!AJ182</f>
        <v>0</v>
      </c>
      <c r="AY179" s="31">
        <f>'mnt Data'!AK182</f>
        <v>0</v>
      </c>
    </row>
    <row r="180" spans="1:51" x14ac:dyDescent="0.25">
      <c r="A180">
        <v>179</v>
      </c>
      <c r="B180" s="32">
        <f t="shared" si="36"/>
        <v>0</v>
      </c>
      <c r="C180" s="32">
        <f t="shared" si="37"/>
        <v>0</v>
      </c>
      <c r="D180" s="32" t="str">
        <f t="shared" si="29"/>
        <v>No Gs</v>
      </c>
      <c r="E180" s="32">
        <f t="shared" si="33"/>
        <v>0</v>
      </c>
      <c r="F180" s="32" t="str">
        <f t="shared" si="34"/>
        <v>No Gs</v>
      </c>
      <c r="G180" s="32" t="str">
        <f t="shared" si="35"/>
        <v>No Gs</v>
      </c>
      <c r="H180" s="32" t="str">
        <f t="shared" si="38"/>
        <v>Gs is needed</v>
      </c>
      <c r="I180" s="32" t="str">
        <f t="shared" si="39"/>
        <v>Gs is needed</v>
      </c>
      <c r="J180" s="32" t="str">
        <f t="shared" si="40"/>
        <v>Gs is needed</v>
      </c>
      <c r="K180" s="32" t="str">
        <f t="shared" si="30"/>
        <v>Need Max and Min</v>
      </c>
      <c r="L180" s="32" t="str">
        <f t="shared" si="31"/>
        <v>Need Max and Min</v>
      </c>
      <c r="M180" s="32" t="str">
        <f t="shared" si="32"/>
        <v>Fail</v>
      </c>
      <c r="N180" s="32"/>
      <c r="O180" s="31">
        <f>'mnt Data'!A183</f>
        <v>0</v>
      </c>
      <c r="P180" s="31">
        <f>'mnt Data'!B183</f>
        <v>0</v>
      </c>
      <c r="Q180" s="31">
        <f>'mnt Data'!C183</f>
        <v>0</v>
      </c>
      <c r="R180" s="31">
        <f>'mnt Data'!D183</f>
        <v>0</v>
      </c>
      <c r="S180" s="31">
        <f>'mnt Data'!E183</f>
        <v>0</v>
      </c>
      <c r="T180" s="31">
        <f>'mnt Data'!F183</f>
        <v>0</v>
      </c>
      <c r="U180" s="31">
        <f>'mnt Data'!G183</f>
        <v>0</v>
      </c>
      <c r="V180" s="31">
        <f>'mnt Data'!H183</f>
        <v>0</v>
      </c>
      <c r="W180" s="31">
        <f>'mnt Data'!I183</f>
        <v>0</v>
      </c>
      <c r="X180" s="31">
        <f>'mnt Data'!J183</f>
        <v>0</v>
      </c>
      <c r="Y180" s="31">
        <f>'mnt Data'!K183</f>
        <v>0</v>
      </c>
      <c r="Z180" s="31">
        <f>'mnt Data'!L183</f>
        <v>0</v>
      </c>
      <c r="AA180" s="31">
        <f>'mnt Data'!M183</f>
        <v>0</v>
      </c>
      <c r="AB180" s="31">
        <f>'mnt Data'!N183</f>
        <v>0</v>
      </c>
      <c r="AC180" s="31">
        <f>'mnt Data'!O183</f>
        <v>0</v>
      </c>
      <c r="AD180" s="31">
        <f>'mnt Data'!P183</f>
        <v>0</v>
      </c>
      <c r="AE180" s="31">
        <f>'mnt Data'!Q183</f>
        <v>0</v>
      </c>
      <c r="AF180" s="31">
        <f>'mnt Data'!R183</f>
        <v>0</v>
      </c>
      <c r="AG180" s="31">
        <f>'mnt Data'!S183</f>
        <v>0</v>
      </c>
      <c r="AH180" s="31">
        <f>'mnt Data'!T183</f>
        <v>0</v>
      </c>
      <c r="AI180" s="31">
        <f>'mnt Data'!U183</f>
        <v>0</v>
      </c>
      <c r="AJ180" s="31">
        <f>'mnt Data'!V183</f>
        <v>0</v>
      </c>
      <c r="AK180" s="31">
        <f>'mnt Data'!W183</f>
        <v>0</v>
      </c>
      <c r="AL180" s="31">
        <f>'mnt Data'!X183</f>
        <v>0</v>
      </c>
      <c r="AM180" s="31">
        <f>'mnt Data'!Y183</f>
        <v>0</v>
      </c>
      <c r="AN180" s="31">
        <f>'mnt Data'!Z183</f>
        <v>0</v>
      </c>
      <c r="AO180" s="31">
        <f>'mnt Data'!AA183</f>
        <v>0</v>
      </c>
      <c r="AP180" s="31">
        <f>'mnt Data'!AB183</f>
        <v>0</v>
      </c>
      <c r="AQ180" s="31">
        <f>'mnt Data'!AC183</f>
        <v>0</v>
      </c>
      <c r="AR180" s="31">
        <f>'mnt Data'!AD183</f>
        <v>0</v>
      </c>
      <c r="AS180" s="31">
        <f>'mnt Data'!AE183</f>
        <v>0</v>
      </c>
      <c r="AT180" s="31">
        <f>'mnt Data'!AF183</f>
        <v>0</v>
      </c>
      <c r="AU180" s="31">
        <f>'mnt Data'!AG183</f>
        <v>0</v>
      </c>
      <c r="AV180" s="31">
        <f>'mnt Data'!AH183</f>
        <v>0</v>
      </c>
      <c r="AW180" s="31">
        <f>'mnt Data'!AI183</f>
        <v>0</v>
      </c>
      <c r="AX180" s="31">
        <f>'mnt Data'!AJ183</f>
        <v>0</v>
      </c>
      <c r="AY180" s="31">
        <f>'mnt Data'!AK183</f>
        <v>0</v>
      </c>
    </row>
    <row r="181" spans="1:51" x14ac:dyDescent="0.25">
      <c r="A181">
        <v>180</v>
      </c>
      <c r="B181" s="32">
        <f t="shared" si="36"/>
        <v>0</v>
      </c>
      <c r="C181" s="32">
        <f t="shared" si="37"/>
        <v>0</v>
      </c>
      <c r="D181" s="32" t="str">
        <f t="shared" si="29"/>
        <v>No Gs</v>
      </c>
      <c r="E181" s="32">
        <f t="shared" si="33"/>
        <v>0</v>
      </c>
      <c r="F181" s="32" t="str">
        <f t="shared" si="34"/>
        <v>No Gs</v>
      </c>
      <c r="G181" s="32" t="str">
        <f t="shared" si="35"/>
        <v>No Gs</v>
      </c>
      <c r="H181" s="32" t="str">
        <f t="shared" si="38"/>
        <v>Gs is needed</v>
      </c>
      <c r="I181" s="32" t="str">
        <f t="shared" si="39"/>
        <v>Gs is needed</v>
      </c>
      <c r="J181" s="32" t="str">
        <f t="shared" si="40"/>
        <v>Gs is needed</v>
      </c>
      <c r="K181" s="32" t="str">
        <f t="shared" si="30"/>
        <v>Need Max and Min</v>
      </c>
      <c r="L181" s="32" t="str">
        <f t="shared" si="31"/>
        <v>Need Max and Min</v>
      </c>
      <c r="M181" s="32" t="str">
        <f t="shared" si="32"/>
        <v>Fail</v>
      </c>
      <c r="N181" s="32"/>
      <c r="O181" s="31">
        <f>'mnt Data'!A184</f>
        <v>0</v>
      </c>
      <c r="P181" s="31">
        <f>'mnt Data'!B184</f>
        <v>0</v>
      </c>
      <c r="Q181" s="31">
        <f>'mnt Data'!C184</f>
        <v>0</v>
      </c>
      <c r="R181" s="31">
        <f>'mnt Data'!D184</f>
        <v>0</v>
      </c>
      <c r="S181" s="31">
        <f>'mnt Data'!E184</f>
        <v>0</v>
      </c>
      <c r="T181" s="31">
        <f>'mnt Data'!F184</f>
        <v>0</v>
      </c>
      <c r="U181" s="31">
        <f>'mnt Data'!G184</f>
        <v>0</v>
      </c>
      <c r="V181" s="31">
        <f>'mnt Data'!H184</f>
        <v>0</v>
      </c>
      <c r="W181" s="31">
        <f>'mnt Data'!I184</f>
        <v>0</v>
      </c>
      <c r="X181" s="31">
        <f>'mnt Data'!J184</f>
        <v>0</v>
      </c>
      <c r="Y181" s="31">
        <f>'mnt Data'!K184</f>
        <v>0</v>
      </c>
      <c r="Z181" s="31">
        <f>'mnt Data'!L184</f>
        <v>0</v>
      </c>
      <c r="AA181" s="31">
        <f>'mnt Data'!M184</f>
        <v>0</v>
      </c>
      <c r="AB181" s="31">
        <f>'mnt Data'!N184</f>
        <v>0</v>
      </c>
      <c r="AC181" s="31">
        <f>'mnt Data'!O184</f>
        <v>0</v>
      </c>
      <c r="AD181" s="31">
        <f>'mnt Data'!P184</f>
        <v>0</v>
      </c>
      <c r="AE181" s="31">
        <f>'mnt Data'!Q184</f>
        <v>0</v>
      </c>
      <c r="AF181" s="31">
        <f>'mnt Data'!R184</f>
        <v>0</v>
      </c>
      <c r="AG181" s="31">
        <f>'mnt Data'!S184</f>
        <v>0</v>
      </c>
      <c r="AH181" s="31">
        <f>'mnt Data'!T184</f>
        <v>0</v>
      </c>
      <c r="AI181" s="31">
        <f>'mnt Data'!U184</f>
        <v>0</v>
      </c>
      <c r="AJ181" s="31">
        <f>'mnt Data'!V184</f>
        <v>0</v>
      </c>
      <c r="AK181" s="31">
        <f>'mnt Data'!W184</f>
        <v>0</v>
      </c>
      <c r="AL181" s="31">
        <f>'mnt Data'!X184</f>
        <v>0</v>
      </c>
      <c r="AM181" s="31">
        <f>'mnt Data'!Y184</f>
        <v>0</v>
      </c>
      <c r="AN181" s="31">
        <f>'mnt Data'!Z184</f>
        <v>0</v>
      </c>
      <c r="AO181" s="31">
        <f>'mnt Data'!AA184</f>
        <v>0</v>
      </c>
      <c r="AP181" s="31">
        <f>'mnt Data'!AB184</f>
        <v>0</v>
      </c>
      <c r="AQ181" s="31">
        <f>'mnt Data'!AC184</f>
        <v>0</v>
      </c>
      <c r="AR181" s="31">
        <f>'mnt Data'!AD184</f>
        <v>0</v>
      </c>
      <c r="AS181" s="31">
        <f>'mnt Data'!AE184</f>
        <v>0</v>
      </c>
      <c r="AT181" s="31">
        <f>'mnt Data'!AF184</f>
        <v>0</v>
      </c>
      <c r="AU181" s="31">
        <f>'mnt Data'!AG184</f>
        <v>0</v>
      </c>
      <c r="AV181" s="31">
        <f>'mnt Data'!AH184</f>
        <v>0</v>
      </c>
      <c r="AW181" s="31">
        <f>'mnt Data'!AI184</f>
        <v>0</v>
      </c>
      <c r="AX181" s="31">
        <f>'mnt Data'!AJ184</f>
        <v>0</v>
      </c>
      <c r="AY181" s="31">
        <f>'mnt Data'!AK184</f>
        <v>0</v>
      </c>
    </row>
    <row r="182" spans="1:51" x14ac:dyDescent="0.25">
      <c r="A182">
        <v>181</v>
      </c>
      <c r="B182" s="32">
        <f t="shared" si="36"/>
        <v>0</v>
      </c>
      <c r="C182" s="32">
        <f t="shared" si="37"/>
        <v>0</v>
      </c>
      <c r="D182" s="32" t="str">
        <f t="shared" si="29"/>
        <v>No Gs</v>
      </c>
      <c r="E182" s="32">
        <f t="shared" si="33"/>
        <v>0</v>
      </c>
      <c r="F182" s="32" t="str">
        <f t="shared" si="34"/>
        <v>No Gs</v>
      </c>
      <c r="G182" s="32" t="str">
        <f t="shared" si="35"/>
        <v>No Gs</v>
      </c>
      <c r="H182" s="32" t="str">
        <f t="shared" si="38"/>
        <v>Gs is needed</v>
      </c>
      <c r="I182" s="32" t="str">
        <f t="shared" si="39"/>
        <v>Gs is needed</v>
      </c>
      <c r="J182" s="32" t="str">
        <f t="shared" si="40"/>
        <v>Gs is needed</v>
      </c>
      <c r="K182" s="32" t="str">
        <f t="shared" si="30"/>
        <v>Need Max and Min</v>
      </c>
      <c r="L182" s="32" t="str">
        <f t="shared" si="31"/>
        <v>Need Max and Min</v>
      </c>
      <c r="M182" s="32" t="str">
        <f t="shared" si="32"/>
        <v>Fail</v>
      </c>
      <c r="N182" s="32"/>
      <c r="O182" s="31">
        <f>'mnt Data'!A185</f>
        <v>0</v>
      </c>
      <c r="P182" s="31">
        <f>'mnt Data'!B185</f>
        <v>0</v>
      </c>
      <c r="Q182" s="31">
        <f>'mnt Data'!C185</f>
        <v>0</v>
      </c>
      <c r="R182" s="31">
        <f>'mnt Data'!D185</f>
        <v>0</v>
      </c>
      <c r="S182" s="31">
        <f>'mnt Data'!E185</f>
        <v>0</v>
      </c>
      <c r="T182" s="31">
        <f>'mnt Data'!F185</f>
        <v>0</v>
      </c>
      <c r="U182" s="31">
        <f>'mnt Data'!G185</f>
        <v>0</v>
      </c>
      <c r="V182" s="31">
        <f>'mnt Data'!H185</f>
        <v>0</v>
      </c>
      <c r="W182" s="31">
        <f>'mnt Data'!I185</f>
        <v>0</v>
      </c>
      <c r="X182" s="31">
        <f>'mnt Data'!J185</f>
        <v>0</v>
      </c>
      <c r="Y182" s="31">
        <f>'mnt Data'!K185</f>
        <v>0</v>
      </c>
      <c r="Z182" s="31">
        <f>'mnt Data'!L185</f>
        <v>0</v>
      </c>
      <c r="AA182" s="31">
        <f>'mnt Data'!M185</f>
        <v>0</v>
      </c>
      <c r="AB182" s="31">
        <f>'mnt Data'!N185</f>
        <v>0</v>
      </c>
      <c r="AC182" s="31">
        <f>'mnt Data'!O185</f>
        <v>0</v>
      </c>
      <c r="AD182" s="31">
        <f>'mnt Data'!P185</f>
        <v>0</v>
      </c>
      <c r="AE182" s="31">
        <f>'mnt Data'!Q185</f>
        <v>0</v>
      </c>
      <c r="AF182" s="31">
        <f>'mnt Data'!R185</f>
        <v>0</v>
      </c>
      <c r="AG182" s="31">
        <f>'mnt Data'!S185</f>
        <v>0</v>
      </c>
      <c r="AH182" s="31">
        <f>'mnt Data'!T185</f>
        <v>0</v>
      </c>
      <c r="AI182" s="31">
        <f>'mnt Data'!U185</f>
        <v>0</v>
      </c>
      <c r="AJ182" s="31">
        <f>'mnt Data'!V185</f>
        <v>0</v>
      </c>
      <c r="AK182" s="31">
        <f>'mnt Data'!W185</f>
        <v>0</v>
      </c>
      <c r="AL182" s="31">
        <f>'mnt Data'!X185</f>
        <v>0</v>
      </c>
      <c r="AM182" s="31">
        <f>'mnt Data'!Y185</f>
        <v>0</v>
      </c>
      <c r="AN182" s="31">
        <f>'mnt Data'!Z185</f>
        <v>0</v>
      </c>
      <c r="AO182" s="31">
        <f>'mnt Data'!AA185</f>
        <v>0</v>
      </c>
      <c r="AP182" s="31">
        <f>'mnt Data'!AB185</f>
        <v>0</v>
      </c>
      <c r="AQ182" s="31">
        <f>'mnt Data'!AC185</f>
        <v>0</v>
      </c>
      <c r="AR182" s="31">
        <f>'mnt Data'!AD185</f>
        <v>0</v>
      </c>
      <c r="AS182" s="31">
        <f>'mnt Data'!AE185</f>
        <v>0</v>
      </c>
      <c r="AT182" s="31">
        <f>'mnt Data'!AF185</f>
        <v>0</v>
      </c>
      <c r="AU182" s="31">
        <f>'mnt Data'!AG185</f>
        <v>0</v>
      </c>
      <c r="AV182" s="31">
        <f>'mnt Data'!AH185</f>
        <v>0</v>
      </c>
      <c r="AW182" s="31">
        <f>'mnt Data'!AI185</f>
        <v>0</v>
      </c>
      <c r="AX182" s="31">
        <f>'mnt Data'!AJ185</f>
        <v>0</v>
      </c>
      <c r="AY182" s="31">
        <f>'mnt Data'!AK185</f>
        <v>0</v>
      </c>
    </row>
    <row r="183" spans="1:51" x14ac:dyDescent="0.25">
      <c r="A183">
        <v>182</v>
      </c>
      <c r="B183" s="32">
        <f t="shared" si="36"/>
        <v>0</v>
      </c>
      <c r="C183" s="32">
        <f t="shared" si="37"/>
        <v>0</v>
      </c>
      <c r="D183" s="32" t="str">
        <f t="shared" si="29"/>
        <v>No Gs</v>
      </c>
      <c r="E183" s="32">
        <f t="shared" si="33"/>
        <v>0</v>
      </c>
      <c r="F183" s="32" t="str">
        <f t="shared" si="34"/>
        <v>No Gs</v>
      </c>
      <c r="G183" s="32" t="str">
        <f t="shared" si="35"/>
        <v>No Gs</v>
      </c>
      <c r="H183" s="32" t="str">
        <f t="shared" si="38"/>
        <v>Gs is needed</v>
      </c>
      <c r="I183" s="32" t="str">
        <f t="shared" si="39"/>
        <v>Gs is needed</v>
      </c>
      <c r="J183" s="32" t="str">
        <f t="shared" si="40"/>
        <v>Gs is needed</v>
      </c>
      <c r="K183" s="32" t="str">
        <f t="shared" si="30"/>
        <v>Need Max and Min</v>
      </c>
      <c r="L183" s="32" t="str">
        <f t="shared" si="31"/>
        <v>Need Max and Min</v>
      </c>
      <c r="M183" s="32" t="str">
        <f t="shared" si="32"/>
        <v>Fail</v>
      </c>
      <c r="N183" s="32"/>
      <c r="O183" s="31">
        <f>'mnt Data'!A186</f>
        <v>0</v>
      </c>
      <c r="P183" s="31">
        <f>'mnt Data'!B186</f>
        <v>0</v>
      </c>
      <c r="Q183" s="31">
        <f>'mnt Data'!C186</f>
        <v>0</v>
      </c>
      <c r="R183" s="31">
        <f>'mnt Data'!D186</f>
        <v>0</v>
      </c>
      <c r="S183" s="31">
        <f>'mnt Data'!E186</f>
        <v>0</v>
      </c>
      <c r="T183" s="31">
        <f>'mnt Data'!F186</f>
        <v>0</v>
      </c>
      <c r="U183" s="31">
        <f>'mnt Data'!G186</f>
        <v>0</v>
      </c>
      <c r="V183" s="31">
        <f>'mnt Data'!H186</f>
        <v>0</v>
      </c>
      <c r="W183" s="31">
        <f>'mnt Data'!I186</f>
        <v>0</v>
      </c>
      <c r="X183" s="31">
        <f>'mnt Data'!J186</f>
        <v>0</v>
      </c>
      <c r="Y183" s="31">
        <f>'mnt Data'!K186</f>
        <v>0</v>
      </c>
      <c r="Z183" s="31">
        <f>'mnt Data'!L186</f>
        <v>0</v>
      </c>
      <c r="AA183" s="31">
        <f>'mnt Data'!M186</f>
        <v>0</v>
      </c>
      <c r="AB183" s="31">
        <f>'mnt Data'!N186</f>
        <v>0</v>
      </c>
      <c r="AC183" s="31">
        <f>'mnt Data'!O186</f>
        <v>0</v>
      </c>
      <c r="AD183" s="31">
        <f>'mnt Data'!P186</f>
        <v>0</v>
      </c>
      <c r="AE183" s="31">
        <f>'mnt Data'!Q186</f>
        <v>0</v>
      </c>
      <c r="AF183" s="31">
        <f>'mnt Data'!R186</f>
        <v>0</v>
      </c>
      <c r="AG183" s="31">
        <f>'mnt Data'!S186</f>
        <v>0</v>
      </c>
      <c r="AH183" s="31">
        <f>'mnt Data'!T186</f>
        <v>0</v>
      </c>
      <c r="AI183" s="31">
        <f>'mnt Data'!U186</f>
        <v>0</v>
      </c>
      <c r="AJ183" s="31">
        <f>'mnt Data'!V186</f>
        <v>0</v>
      </c>
      <c r="AK183" s="31">
        <f>'mnt Data'!W186</f>
        <v>0</v>
      </c>
      <c r="AL183" s="31">
        <f>'mnt Data'!X186</f>
        <v>0</v>
      </c>
      <c r="AM183" s="31">
        <f>'mnt Data'!Y186</f>
        <v>0</v>
      </c>
      <c r="AN183" s="31">
        <f>'mnt Data'!Z186</f>
        <v>0</v>
      </c>
      <c r="AO183" s="31">
        <f>'mnt Data'!AA186</f>
        <v>0</v>
      </c>
      <c r="AP183" s="31">
        <f>'mnt Data'!AB186</f>
        <v>0</v>
      </c>
      <c r="AQ183" s="31">
        <f>'mnt Data'!AC186</f>
        <v>0</v>
      </c>
      <c r="AR183" s="31">
        <f>'mnt Data'!AD186</f>
        <v>0</v>
      </c>
      <c r="AS183" s="31">
        <f>'mnt Data'!AE186</f>
        <v>0</v>
      </c>
      <c r="AT183" s="31">
        <f>'mnt Data'!AF186</f>
        <v>0</v>
      </c>
      <c r="AU183" s="31">
        <f>'mnt Data'!AG186</f>
        <v>0</v>
      </c>
      <c r="AV183" s="31">
        <f>'mnt Data'!AH186</f>
        <v>0</v>
      </c>
      <c r="AW183" s="31">
        <f>'mnt Data'!AI186</f>
        <v>0</v>
      </c>
      <c r="AX183" s="31">
        <f>'mnt Data'!AJ186</f>
        <v>0</v>
      </c>
      <c r="AY183" s="31">
        <f>'mnt Data'!AK186</f>
        <v>0</v>
      </c>
    </row>
    <row r="184" spans="1:51" x14ac:dyDescent="0.25">
      <c r="A184">
        <v>183</v>
      </c>
      <c r="B184" s="32">
        <f t="shared" si="36"/>
        <v>0</v>
      </c>
      <c r="C184" s="32">
        <f t="shared" si="37"/>
        <v>0</v>
      </c>
      <c r="D184" s="32" t="str">
        <f t="shared" si="29"/>
        <v>No Gs</v>
      </c>
      <c r="E184" s="32">
        <f t="shared" si="33"/>
        <v>0</v>
      </c>
      <c r="F184" s="32" t="str">
        <f t="shared" si="34"/>
        <v>No Gs</v>
      </c>
      <c r="G184" s="32" t="str">
        <f t="shared" si="35"/>
        <v>No Gs</v>
      </c>
      <c r="H184" s="32" t="str">
        <f t="shared" si="38"/>
        <v>Gs is needed</v>
      </c>
      <c r="I184" s="32" t="str">
        <f t="shared" si="39"/>
        <v>Gs is needed</v>
      </c>
      <c r="J184" s="32" t="str">
        <f t="shared" si="40"/>
        <v>Gs is needed</v>
      </c>
      <c r="K184" s="32" t="str">
        <f t="shared" si="30"/>
        <v>Need Max and Min</v>
      </c>
      <c r="L184" s="32" t="str">
        <f t="shared" si="31"/>
        <v>Need Max and Min</v>
      </c>
      <c r="M184" s="32" t="str">
        <f t="shared" si="32"/>
        <v>Fail</v>
      </c>
      <c r="N184" s="32"/>
      <c r="O184" s="31">
        <f>'mnt Data'!A187</f>
        <v>0</v>
      </c>
      <c r="P184" s="31">
        <f>'mnt Data'!B187</f>
        <v>0</v>
      </c>
      <c r="Q184" s="31">
        <f>'mnt Data'!C187</f>
        <v>0</v>
      </c>
      <c r="R184" s="31">
        <f>'mnt Data'!D187</f>
        <v>0</v>
      </c>
      <c r="S184" s="31">
        <f>'mnt Data'!E187</f>
        <v>0</v>
      </c>
      <c r="T184" s="31">
        <f>'mnt Data'!F187</f>
        <v>0</v>
      </c>
      <c r="U184" s="31">
        <f>'mnt Data'!G187</f>
        <v>0</v>
      </c>
      <c r="V184" s="31">
        <f>'mnt Data'!H187</f>
        <v>0</v>
      </c>
      <c r="W184" s="31">
        <f>'mnt Data'!I187</f>
        <v>0</v>
      </c>
      <c r="X184" s="31">
        <f>'mnt Data'!J187</f>
        <v>0</v>
      </c>
      <c r="Y184" s="31">
        <f>'mnt Data'!K187</f>
        <v>0</v>
      </c>
      <c r="Z184" s="31">
        <f>'mnt Data'!L187</f>
        <v>0</v>
      </c>
      <c r="AA184" s="31">
        <f>'mnt Data'!M187</f>
        <v>0</v>
      </c>
      <c r="AB184" s="31">
        <f>'mnt Data'!N187</f>
        <v>0</v>
      </c>
      <c r="AC184" s="31">
        <f>'mnt Data'!O187</f>
        <v>0</v>
      </c>
      <c r="AD184" s="31">
        <f>'mnt Data'!P187</f>
        <v>0</v>
      </c>
      <c r="AE184" s="31">
        <f>'mnt Data'!Q187</f>
        <v>0</v>
      </c>
      <c r="AF184" s="31">
        <f>'mnt Data'!R187</f>
        <v>0</v>
      </c>
      <c r="AG184" s="31">
        <f>'mnt Data'!S187</f>
        <v>0</v>
      </c>
      <c r="AH184" s="31">
        <f>'mnt Data'!T187</f>
        <v>0</v>
      </c>
      <c r="AI184" s="31">
        <f>'mnt Data'!U187</f>
        <v>0</v>
      </c>
      <c r="AJ184" s="31">
        <f>'mnt Data'!V187</f>
        <v>0</v>
      </c>
      <c r="AK184" s="31">
        <f>'mnt Data'!W187</f>
        <v>0</v>
      </c>
      <c r="AL184" s="31">
        <f>'mnt Data'!X187</f>
        <v>0</v>
      </c>
      <c r="AM184" s="31">
        <f>'mnt Data'!Y187</f>
        <v>0</v>
      </c>
      <c r="AN184" s="31">
        <f>'mnt Data'!Z187</f>
        <v>0</v>
      </c>
      <c r="AO184" s="31">
        <f>'mnt Data'!AA187</f>
        <v>0</v>
      </c>
      <c r="AP184" s="31">
        <f>'mnt Data'!AB187</f>
        <v>0</v>
      </c>
      <c r="AQ184" s="31">
        <f>'mnt Data'!AC187</f>
        <v>0</v>
      </c>
      <c r="AR184" s="31">
        <f>'mnt Data'!AD187</f>
        <v>0</v>
      </c>
      <c r="AS184" s="31">
        <f>'mnt Data'!AE187</f>
        <v>0</v>
      </c>
      <c r="AT184" s="31">
        <f>'mnt Data'!AF187</f>
        <v>0</v>
      </c>
      <c r="AU184" s="31">
        <f>'mnt Data'!AG187</f>
        <v>0</v>
      </c>
      <c r="AV184" s="31">
        <f>'mnt Data'!AH187</f>
        <v>0</v>
      </c>
      <c r="AW184" s="31">
        <f>'mnt Data'!AI187</f>
        <v>0</v>
      </c>
      <c r="AX184" s="31">
        <f>'mnt Data'!AJ187</f>
        <v>0</v>
      </c>
      <c r="AY184" s="31">
        <f>'mnt Data'!AK187</f>
        <v>0</v>
      </c>
    </row>
    <row r="185" spans="1:51" x14ac:dyDescent="0.25">
      <c r="A185">
        <v>184</v>
      </c>
      <c r="B185" s="32">
        <f t="shared" si="36"/>
        <v>0</v>
      </c>
      <c r="C185" s="32">
        <f t="shared" si="37"/>
        <v>0</v>
      </c>
      <c r="D185" s="32" t="str">
        <f t="shared" si="29"/>
        <v>No Gs</v>
      </c>
      <c r="E185" s="32">
        <f t="shared" si="33"/>
        <v>0</v>
      </c>
      <c r="F185" s="32" t="str">
        <f t="shared" si="34"/>
        <v>No Gs</v>
      </c>
      <c r="G185" s="32" t="str">
        <f t="shared" si="35"/>
        <v>No Gs</v>
      </c>
      <c r="H185" s="32" t="str">
        <f t="shared" si="38"/>
        <v>Gs is needed</v>
      </c>
      <c r="I185" s="32" t="str">
        <f t="shared" si="39"/>
        <v>Gs is needed</v>
      </c>
      <c r="J185" s="32" t="str">
        <f t="shared" si="40"/>
        <v>Gs is needed</v>
      </c>
      <c r="K185" s="32" t="str">
        <f t="shared" si="30"/>
        <v>Need Max and Min</v>
      </c>
      <c r="L185" s="32" t="str">
        <f t="shared" si="31"/>
        <v>Need Max and Min</v>
      </c>
      <c r="M185" s="32" t="str">
        <f t="shared" si="32"/>
        <v>Fail</v>
      </c>
      <c r="N185" s="32"/>
      <c r="O185" s="31">
        <f>'mnt Data'!A188</f>
        <v>0</v>
      </c>
      <c r="P185" s="31">
        <f>'mnt Data'!B188</f>
        <v>0</v>
      </c>
      <c r="Q185" s="31">
        <f>'mnt Data'!C188</f>
        <v>0</v>
      </c>
      <c r="R185" s="31">
        <f>'mnt Data'!D188</f>
        <v>0</v>
      </c>
      <c r="S185" s="31">
        <f>'mnt Data'!E188</f>
        <v>0</v>
      </c>
      <c r="T185" s="31">
        <f>'mnt Data'!F188</f>
        <v>0</v>
      </c>
      <c r="U185" s="31">
        <f>'mnt Data'!G188</f>
        <v>0</v>
      </c>
      <c r="V185" s="31">
        <f>'mnt Data'!H188</f>
        <v>0</v>
      </c>
      <c r="W185" s="31">
        <f>'mnt Data'!I188</f>
        <v>0</v>
      </c>
      <c r="X185" s="31">
        <f>'mnt Data'!J188</f>
        <v>0</v>
      </c>
      <c r="Y185" s="31">
        <f>'mnt Data'!K188</f>
        <v>0</v>
      </c>
      <c r="Z185" s="31">
        <f>'mnt Data'!L188</f>
        <v>0</v>
      </c>
      <c r="AA185" s="31">
        <f>'mnt Data'!M188</f>
        <v>0</v>
      </c>
      <c r="AB185" s="31">
        <f>'mnt Data'!N188</f>
        <v>0</v>
      </c>
      <c r="AC185" s="31">
        <f>'mnt Data'!O188</f>
        <v>0</v>
      </c>
      <c r="AD185" s="31">
        <f>'mnt Data'!P188</f>
        <v>0</v>
      </c>
      <c r="AE185" s="31">
        <f>'mnt Data'!Q188</f>
        <v>0</v>
      </c>
      <c r="AF185" s="31">
        <f>'mnt Data'!R188</f>
        <v>0</v>
      </c>
      <c r="AG185" s="31">
        <f>'mnt Data'!S188</f>
        <v>0</v>
      </c>
      <c r="AH185" s="31">
        <f>'mnt Data'!T188</f>
        <v>0</v>
      </c>
      <c r="AI185" s="31">
        <f>'mnt Data'!U188</f>
        <v>0</v>
      </c>
      <c r="AJ185" s="31">
        <f>'mnt Data'!V188</f>
        <v>0</v>
      </c>
      <c r="AK185" s="31">
        <f>'mnt Data'!W188</f>
        <v>0</v>
      </c>
      <c r="AL185" s="31">
        <f>'mnt Data'!X188</f>
        <v>0</v>
      </c>
      <c r="AM185" s="31">
        <f>'mnt Data'!Y188</f>
        <v>0</v>
      </c>
      <c r="AN185" s="31">
        <f>'mnt Data'!Z188</f>
        <v>0</v>
      </c>
      <c r="AO185" s="31">
        <f>'mnt Data'!AA188</f>
        <v>0</v>
      </c>
      <c r="AP185" s="31">
        <f>'mnt Data'!AB188</f>
        <v>0</v>
      </c>
      <c r="AQ185" s="31">
        <f>'mnt Data'!AC188</f>
        <v>0</v>
      </c>
      <c r="AR185" s="31">
        <f>'mnt Data'!AD188</f>
        <v>0</v>
      </c>
      <c r="AS185" s="31">
        <f>'mnt Data'!AE188</f>
        <v>0</v>
      </c>
      <c r="AT185" s="31">
        <f>'mnt Data'!AF188</f>
        <v>0</v>
      </c>
      <c r="AU185" s="31">
        <f>'mnt Data'!AG188</f>
        <v>0</v>
      </c>
      <c r="AV185" s="31">
        <f>'mnt Data'!AH188</f>
        <v>0</v>
      </c>
      <c r="AW185" s="31">
        <f>'mnt Data'!AI188</f>
        <v>0</v>
      </c>
      <c r="AX185" s="31">
        <f>'mnt Data'!AJ188</f>
        <v>0</v>
      </c>
      <c r="AY185" s="31">
        <f>'mnt Data'!AK188</f>
        <v>0</v>
      </c>
    </row>
    <row r="186" spans="1:51" x14ac:dyDescent="0.25">
      <c r="A186">
        <v>185</v>
      </c>
      <c r="B186" s="32">
        <f t="shared" si="36"/>
        <v>0</v>
      </c>
      <c r="C186" s="32">
        <f t="shared" si="37"/>
        <v>0</v>
      </c>
      <c r="D186" s="32" t="str">
        <f t="shared" si="29"/>
        <v>No Gs</v>
      </c>
      <c r="E186" s="32">
        <f t="shared" si="33"/>
        <v>0</v>
      </c>
      <c r="F186" s="32" t="str">
        <f t="shared" si="34"/>
        <v>No Gs</v>
      </c>
      <c r="G186" s="32" t="str">
        <f t="shared" si="35"/>
        <v>No Gs</v>
      </c>
      <c r="H186" s="32" t="str">
        <f t="shared" si="38"/>
        <v>Gs is needed</v>
      </c>
      <c r="I186" s="32" t="str">
        <f t="shared" si="39"/>
        <v>Gs is needed</v>
      </c>
      <c r="J186" s="32" t="str">
        <f t="shared" si="40"/>
        <v>Gs is needed</v>
      </c>
      <c r="K186" s="32" t="str">
        <f t="shared" si="30"/>
        <v>Need Max and Min</v>
      </c>
      <c r="L186" s="32" t="str">
        <f t="shared" si="31"/>
        <v>Need Max and Min</v>
      </c>
      <c r="M186" s="32" t="str">
        <f t="shared" si="32"/>
        <v>Fail</v>
      </c>
      <c r="N186" s="32"/>
      <c r="O186" s="31">
        <f>'mnt Data'!A189</f>
        <v>0</v>
      </c>
      <c r="P186" s="31">
        <f>'mnt Data'!B189</f>
        <v>0</v>
      </c>
      <c r="Q186" s="31">
        <f>'mnt Data'!C189</f>
        <v>0</v>
      </c>
      <c r="R186" s="31">
        <f>'mnt Data'!D189</f>
        <v>0</v>
      </c>
      <c r="S186" s="31">
        <f>'mnt Data'!E189</f>
        <v>0</v>
      </c>
      <c r="T186" s="31">
        <f>'mnt Data'!F189</f>
        <v>0</v>
      </c>
      <c r="U186" s="31">
        <f>'mnt Data'!G189</f>
        <v>0</v>
      </c>
      <c r="V186" s="31">
        <f>'mnt Data'!H189</f>
        <v>0</v>
      </c>
      <c r="W186" s="31">
        <f>'mnt Data'!I189</f>
        <v>0</v>
      </c>
      <c r="X186" s="31">
        <f>'mnt Data'!J189</f>
        <v>0</v>
      </c>
      <c r="Y186" s="31">
        <f>'mnt Data'!K189</f>
        <v>0</v>
      </c>
      <c r="Z186" s="31">
        <f>'mnt Data'!L189</f>
        <v>0</v>
      </c>
      <c r="AA186" s="31">
        <f>'mnt Data'!M189</f>
        <v>0</v>
      </c>
      <c r="AB186" s="31">
        <f>'mnt Data'!N189</f>
        <v>0</v>
      </c>
      <c r="AC186" s="31">
        <f>'mnt Data'!O189</f>
        <v>0</v>
      </c>
      <c r="AD186" s="31">
        <f>'mnt Data'!P189</f>
        <v>0</v>
      </c>
      <c r="AE186" s="31">
        <f>'mnt Data'!Q189</f>
        <v>0</v>
      </c>
      <c r="AF186" s="31">
        <f>'mnt Data'!R189</f>
        <v>0</v>
      </c>
      <c r="AG186" s="31">
        <f>'mnt Data'!S189</f>
        <v>0</v>
      </c>
      <c r="AH186" s="31">
        <f>'mnt Data'!T189</f>
        <v>0</v>
      </c>
      <c r="AI186" s="31">
        <f>'mnt Data'!U189</f>
        <v>0</v>
      </c>
      <c r="AJ186" s="31">
        <f>'mnt Data'!V189</f>
        <v>0</v>
      </c>
      <c r="AK186" s="31">
        <f>'mnt Data'!W189</f>
        <v>0</v>
      </c>
      <c r="AL186" s="31">
        <f>'mnt Data'!X189</f>
        <v>0</v>
      </c>
      <c r="AM186" s="31">
        <f>'mnt Data'!Y189</f>
        <v>0</v>
      </c>
      <c r="AN186" s="31">
        <f>'mnt Data'!Z189</f>
        <v>0</v>
      </c>
      <c r="AO186" s="31">
        <f>'mnt Data'!AA189</f>
        <v>0</v>
      </c>
      <c r="AP186" s="31">
        <f>'mnt Data'!AB189</f>
        <v>0</v>
      </c>
      <c r="AQ186" s="31">
        <f>'mnt Data'!AC189</f>
        <v>0</v>
      </c>
      <c r="AR186" s="31">
        <f>'mnt Data'!AD189</f>
        <v>0</v>
      </c>
      <c r="AS186" s="31">
        <f>'mnt Data'!AE189</f>
        <v>0</v>
      </c>
      <c r="AT186" s="31">
        <f>'mnt Data'!AF189</f>
        <v>0</v>
      </c>
      <c r="AU186" s="31">
        <f>'mnt Data'!AG189</f>
        <v>0</v>
      </c>
      <c r="AV186" s="31">
        <f>'mnt Data'!AH189</f>
        <v>0</v>
      </c>
      <c r="AW186" s="31">
        <f>'mnt Data'!AI189</f>
        <v>0</v>
      </c>
      <c r="AX186" s="31">
        <f>'mnt Data'!AJ189</f>
        <v>0</v>
      </c>
      <c r="AY186" s="31">
        <f>'mnt Data'!AK189</f>
        <v>0</v>
      </c>
    </row>
    <row r="187" spans="1:51" x14ac:dyDescent="0.25">
      <c r="A187">
        <v>186</v>
      </c>
      <c r="B187" s="32">
        <f t="shared" si="36"/>
        <v>0</v>
      </c>
      <c r="C187" s="32">
        <f t="shared" si="37"/>
        <v>0</v>
      </c>
      <c r="D187" s="32" t="str">
        <f t="shared" si="29"/>
        <v>No Gs</v>
      </c>
      <c r="E187" s="32">
        <f t="shared" si="33"/>
        <v>0</v>
      </c>
      <c r="F187" s="32" t="str">
        <f t="shared" si="34"/>
        <v>No Gs</v>
      </c>
      <c r="G187" s="32" t="str">
        <f t="shared" si="35"/>
        <v>No Gs</v>
      </c>
      <c r="H187" s="32" t="str">
        <f t="shared" si="38"/>
        <v>Gs is needed</v>
      </c>
      <c r="I187" s="32" t="str">
        <f t="shared" si="39"/>
        <v>Gs is needed</v>
      </c>
      <c r="J187" s="32" t="str">
        <f t="shared" si="40"/>
        <v>Gs is needed</v>
      </c>
      <c r="K187" s="32" t="str">
        <f t="shared" si="30"/>
        <v>Need Max and Min</v>
      </c>
      <c r="L187" s="32" t="str">
        <f t="shared" si="31"/>
        <v>Need Max and Min</v>
      </c>
      <c r="M187" s="32" t="str">
        <f t="shared" si="32"/>
        <v>Fail</v>
      </c>
      <c r="N187" s="32"/>
      <c r="O187" s="31">
        <f>'mnt Data'!A190</f>
        <v>0</v>
      </c>
      <c r="P187" s="31">
        <f>'mnt Data'!B190</f>
        <v>0</v>
      </c>
      <c r="Q187" s="31">
        <f>'mnt Data'!C190</f>
        <v>0</v>
      </c>
      <c r="R187" s="31">
        <f>'mnt Data'!D190</f>
        <v>0</v>
      </c>
      <c r="S187" s="31">
        <f>'mnt Data'!E190</f>
        <v>0</v>
      </c>
      <c r="T187" s="31">
        <f>'mnt Data'!F190</f>
        <v>0</v>
      </c>
      <c r="U187" s="31">
        <f>'mnt Data'!G190</f>
        <v>0</v>
      </c>
      <c r="V187" s="31">
        <f>'mnt Data'!H190</f>
        <v>0</v>
      </c>
      <c r="W187" s="31">
        <f>'mnt Data'!I190</f>
        <v>0</v>
      </c>
      <c r="X187" s="31">
        <f>'mnt Data'!J190</f>
        <v>0</v>
      </c>
      <c r="Y187" s="31">
        <f>'mnt Data'!K190</f>
        <v>0</v>
      </c>
      <c r="Z187" s="31">
        <f>'mnt Data'!L190</f>
        <v>0</v>
      </c>
      <c r="AA187" s="31">
        <f>'mnt Data'!M190</f>
        <v>0</v>
      </c>
      <c r="AB187" s="31">
        <f>'mnt Data'!N190</f>
        <v>0</v>
      </c>
      <c r="AC187" s="31">
        <f>'mnt Data'!O190</f>
        <v>0</v>
      </c>
      <c r="AD187" s="31">
        <f>'mnt Data'!P190</f>
        <v>0</v>
      </c>
      <c r="AE187" s="31">
        <f>'mnt Data'!Q190</f>
        <v>0</v>
      </c>
      <c r="AF187" s="31">
        <f>'mnt Data'!R190</f>
        <v>0</v>
      </c>
      <c r="AG187" s="31">
        <f>'mnt Data'!S190</f>
        <v>0</v>
      </c>
      <c r="AH187" s="31">
        <f>'mnt Data'!T190</f>
        <v>0</v>
      </c>
      <c r="AI187" s="31">
        <f>'mnt Data'!U190</f>
        <v>0</v>
      </c>
      <c r="AJ187" s="31">
        <f>'mnt Data'!V190</f>
        <v>0</v>
      </c>
      <c r="AK187" s="31">
        <f>'mnt Data'!W190</f>
        <v>0</v>
      </c>
      <c r="AL187" s="31">
        <f>'mnt Data'!X190</f>
        <v>0</v>
      </c>
      <c r="AM187" s="31">
        <f>'mnt Data'!Y190</f>
        <v>0</v>
      </c>
      <c r="AN187" s="31">
        <f>'mnt Data'!Z190</f>
        <v>0</v>
      </c>
      <c r="AO187" s="31">
        <f>'mnt Data'!AA190</f>
        <v>0</v>
      </c>
      <c r="AP187" s="31">
        <f>'mnt Data'!AB190</f>
        <v>0</v>
      </c>
      <c r="AQ187" s="31">
        <f>'mnt Data'!AC190</f>
        <v>0</v>
      </c>
      <c r="AR187" s="31">
        <f>'mnt Data'!AD190</f>
        <v>0</v>
      </c>
      <c r="AS187" s="31">
        <f>'mnt Data'!AE190</f>
        <v>0</v>
      </c>
      <c r="AT187" s="31">
        <f>'mnt Data'!AF190</f>
        <v>0</v>
      </c>
      <c r="AU187" s="31">
        <f>'mnt Data'!AG190</f>
        <v>0</v>
      </c>
      <c r="AV187" s="31">
        <f>'mnt Data'!AH190</f>
        <v>0</v>
      </c>
      <c r="AW187" s="31">
        <f>'mnt Data'!AI190</f>
        <v>0</v>
      </c>
      <c r="AX187" s="31">
        <f>'mnt Data'!AJ190</f>
        <v>0</v>
      </c>
      <c r="AY187" s="31">
        <f>'mnt Data'!AK190</f>
        <v>0</v>
      </c>
    </row>
    <row r="188" spans="1:51" x14ac:dyDescent="0.25">
      <c r="A188">
        <v>187</v>
      </c>
      <c r="B188" s="32">
        <f t="shared" si="36"/>
        <v>0</v>
      </c>
      <c r="C188" s="32">
        <f t="shared" si="37"/>
        <v>0</v>
      </c>
      <c r="D188" s="32" t="str">
        <f t="shared" si="29"/>
        <v>No Gs</v>
      </c>
      <c r="E188" s="32">
        <f t="shared" si="33"/>
        <v>0</v>
      </c>
      <c r="F188" s="32" t="str">
        <f t="shared" si="34"/>
        <v>No Gs</v>
      </c>
      <c r="G188" s="32" t="str">
        <f t="shared" si="35"/>
        <v>No Gs</v>
      </c>
      <c r="H188" s="32" t="str">
        <f t="shared" si="38"/>
        <v>Gs is needed</v>
      </c>
      <c r="I188" s="32" t="str">
        <f t="shared" si="39"/>
        <v>Gs is needed</v>
      </c>
      <c r="J188" s="32" t="str">
        <f t="shared" si="40"/>
        <v>Gs is needed</v>
      </c>
      <c r="K188" s="32" t="str">
        <f t="shared" si="30"/>
        <v>Need Max and Min</v>
      </c>
      <c r="L188" s="32" t="str">
        <f t="shared" si="31"/>
        <v>Need Max and Min</v>
      </c>
      <c r="M188" s="32" t="str">
        <f t="shared" si="32"/>
        <v>Fail</v>
      </c>
      <c r="N188" s="32"/>
      <c r="O188" s="31">
        <f>'mnt Data'!A191</f>
        <v>0</v>
      </c>
      <c r="P188" s="31">
        <f>'mnt Data'!B191</f>
        <v>0</v>
      </c>
      <c r="Q188" s="31">
        <f>'mnt Data'!C191</f>
        <v>0</v>
      </c>
      <c r="R188" s="31">
        <f>'mnt Data'!D191</f>
        <v>0</v>
      </c>
      <c r="S188" s="31">
        <f>'mnt Data'!E191</f>
        <v>0</v>
      </c>
      <c r="T188" s="31">
        <f>'mnt Data'!F191</f>
        <v>0</v>
      </c>
      <c r="U188" s="31">
        <f>'mnt Data'!G191</f>
        <v>0</v>
      </c>
      <c r="V188" s="31">
        <f>'mnt Data'!H191</f>
        <v>0</v>
      </c>
      <c r="W188" s="31">
        <f>'mnt Data'!I191</f>
        <v>0</v>
      </c>
      <c r="X188" s="31">
        <f>'mnt Data'!J191</f>
        <v>0</v>
      </c>
      <c r="Y188" s="31">
        <f>'mnt Data'!K191</f>
        <v>0</v>
      </c>
      <c r="Z188" s="31">
        <f>'mnt Data'!L191</f>
        <v>0</v>
      </c>
      <c r="AA188" s="31">
        <f>'mnt Data'!M191</f>
        <v>0</v>
      </c>
      <c r="AB188" s="31">
        <f>'mnt Data'!N191</f>
        <v>0</v>
      </c>
      <c r="AC188" s="31">
        <f>'mnt Data'!O191</f>
        <v>0</v>
      </c>
      <c r="AD188" s="31">
        <f>'mnt Data'!P191</f>
        <v>0</v>
      </c>
      <c r="AE188" s="31">
        <f>'mnt Data'!Q191</f>
        <v>0</v>
      </c>
      <c r="AF188" s="31">
        <f>'mnt Data'!R191</f>
        <v>0</v>
      </c>
      <c r="AG188" s="31">
        <f>'mnt Data'!S191</f>
        <v>0</v>
      </c>
      <c r="AH188" s="31">
        <f>'mnt Data'!T191</f>
        <v>0</v>
      </c>
      <c r="AI188" s="31">
        <f>'mnt Data'!U191</f>
        <v>0</v>
      </c>
      <c r="AJ188" s="31">
        <f>'mnt Data'!V191</f>
        <v>0</v>
      </c>
      <c r="AK188" s="31">
        <f>'mnt Data'!W191</f>
        <v>0</v>
      </c>
      <c r="AL188" s="31">
        <f>'mnt Data'!X191</f>
        <v>0</v>
      </c>
      <c r="AM188" s="31">
        <f>'mnt Data'!Y191</f>
        <v>0</v>
      </c>
      <c r="AN188" s="31">
        <f>'mnt Data'!Z191</f>
        <v>0</v>
      </c>
      <c r="AO188" s="31">
        <f>'mnt Data'!AA191</f>
        <v>0</v>
      </c>
      <c r="AP188" s="31">
        <f>'mnt Data'!AB191</f>
        <v>0</v>
      </c>
      <c r="AQ188" s="31">
        <f>'mnt Data'!AC191</f>
        <v>0</v>
      </c>
      <c r="AR188" s="31">
        <f>'mnt Data'!AD191</f>
        <v>0</v>
      </c>
      <c r="AS188" s="31">
        <f>'mnt Data'!AE191</f>
        <v>0</v>
      </c>
      <c r="AT188" s="31">
        <f>'mnt Data'!AF191</f>
        <v>0</v>
      </c>
      <c r="AU188" s="31">
        <f>'mnt Data'!AG191</f>
        <v>0</v>
      </c>
      <c r="AV188" s="31">
        <f>'mnt Data'!AH191</f>
        <v>0</v>
      </c>
      <c r="AW188" s="31">
        <f>'mnt Data'!AI191</f>
        <v>0</v>
      </c>
      <c r="AX188" s="31">
        <f>'mnt Data'!AJ191</f>
        <v>0</v>
      </c>
      <c r="AY188" s="31">
        <f>'mnt Data'!AK191</f>
        <v>0</v>
      </c>
    </row>
    <row r="189" spans="1:51" x14ac:dyDescent="0.25">
      <c r="A189">
        <v>188</v>
      </c>
      <c r="B189" s="32">
        <f t="shared" si="36"/>
        <v>0</v>
      </c>
      <c r="C189" s="32">
        <f t="shared" si="37"/>
        <v>0</v>
      </c>
      <c r="D189" s="32" t="str">
        <f t="shared" si="29"/>
        <v>No Gs</v>
      </c>
      <c r="E189" s="32">
        <f t="shared" si="33"/>
        <v>0</v>
      </c>
      <c r="F189" s="32" t="str">
        <f t="shared" si="34"/>
        <v>No Gs</v>
      </c>
      <c r="G189" s="32" t="str">
        <f t="shared" si="35"/>
        <v>No Gs</v>
      </c>
      <c r="H189" s="32" t="str">
        <f t="shared" si="38"/>
        <v>Gs is needed</v>
      </c>
      <c r="I189" s="32" t="str">
        <f t="shared" si="39"/>
        <v>Gs is needed</v>
      </c>
      <c r="J189" s="32" t="str">
        <f t="shared" si="40"/>
        <v>Gs is needed</v>
      </c>
      <c r="K189" s="32" t="str">
        <f t="shared" si="30"/>
        <v>Need Max and Min</v>
      </c>
      <c r="L189" s="32" t="str">
        <f t="shared" si="31"/>
        <v>Need Max and Min</v>
      </c>
      <c r="M189" s="32" t="str">
        <f t="shared" si="32"/>
        <v>Fail</v>
      </c>
      <c r="N189" s="32"/>
      <c r="O189" s="31">
        <f>'mnt Data'!A192</f>
        <v>0</v>
      </c>
      <c r="P189" s="31">
        <f>'mnt Data'!B192</f>
        <v>0</v>
      </c>
      <c r="Q189" s="31">
        <f>'mnt Data'!C192</f>
        <v>0</v>
      </c>
      <c r="R189" s="31">
        <f>'mnt Data'!D192</f>
        <v>0</v>
      </c>
      <c r="S189" s="31">
        <f>'mnt Data'!E192</f>
        <v>0</v>
      </c>
      <c r="T189" s="31">
        <f>'mnt Data'!F192</f>
        <v>0</v>
      </c>
      <c r="U189" s="31">
        <f>'mnt Data'!G192</f>
        <v>0</v>
      </c>
      <c r="V189" s="31">
        <f>'mnt Data'!H192</f>
        <v>0</v>
      </c>
      <c r="W189" s="31">
        <f>'mnt Data'!I192</f>
        <v>0</v>
      </c>
      <c r="X189" s="31">
        <f>'mnt Data'!J192</f>
        <v>0</v>
      </c>
      <c r="Y189" s="31">
        <f>'mnt Data'!K192</f>
        <v>0</v>
      </c>
      <c r="Z189" s="31">
        <f>'mnt Data'!L192</f>
        <v>0</v>
      </c>
      <c r="AA189" s="31">
        <f>'mnt Data'!M192</f>
        <v>0</v>
      </c>
      <c r="AB189" s="31">
        <f>'mnt Data'!N192</f>
        <v>0</v>
      </c>
      <c r="AC189" s="31">
        <f>'mnt Data'!O192</f>
        <v>0</v>
      </c>
      <c r="AD189" s="31">
        <f>'mnt Data'!P192</f>
        <v>0</v>
      </c>
      <c r="AE189" s="31">
        <f>'mnt Data'!Q192</f>
        <v>0</v>
      </c>
      <c r="AF189" s="31">
        <f>'mnt Data'!R192</f>
        <v>0</v>
      </c>
      <c r="AG189" s="31">
        <f>'mnt Data'!S192</f>
        <v>0</v>
      </c>
      <c r="AH189" s="31">
        <f>'mnt Data'!T192</f>
        <v>0</v>
      </c>
      <c r="AI189" s="31">
        <f>'mnt Data'!U192</f>
        <v>0</v>
      </c>
      <c r="AJ189" s="31">
        <f>'mnt Data'!V192</f>
        <v>0</v>
      </c>
      <c r="AK189" s="31">
        <f>'mnt Data'!W192</f>
        <v>0</v>
      </c>
      <c r="AL189" s="31">
        <f>'mnt Data'!X192</f>
        <v>0</v>
      </c>
      <c r="AM189" s="31">
        <f>'mnt Data'!Y192</f>
        <v>0</v>
      </c>
      <c r="AN189" s="31">
        <f>'mnt Data'!Z192</f>
        <v>0</v>
      </c>
      <c r="AO189" s="31">
        <f>'mnt Data'!AA192</f>
        <v>0</v>
      </c>
      <c r="AP189" s="31">
        <f>'mnt Data'!AB192</f>
        <v>0</v>
      </c>
      <c r="AQ189" s="31">
        <f>'mnt Data'!AC192</f>
        <v>0</v>
      </c>
      <c r="AR189" s="31">
        <f>'mnt Data'!AD192</f>
        <v>0</v>
      </c>
      <c r="AS189" s="31">
        <f>'mnt Data'!AE192</f>
        <v>0</v>
      </c>
      <c r="AT189" s="31">
        <f>'mnt Data'!AF192</f>
        <v>0</v>
      </c>
      <c r="AU189" s="31">
        <f>'mnt Data'!AG192</f>
        <v>0</v>
      </c>
      <c r="AV189" s="31">
        <f>'mnt Data'!AH192</f>
        <v>0</v>
      </c>
      <c r="AW189" s="31">
        <f>'mnt Data'!AI192</f>
        <v>0</v>
      </c>
      <c r="AX189" s="31">
        <f>'mnt Data'!AJ192</f>
        <v>0</v>
      </c>
      <c r="AY189" s="31">
        <f>'mnt Data'!AK192</f>
        <v>0</v>
      </c>
    </row>
    <row r="190" spans="1:51" x14ac:dyDescent="0.25">
      <c r="A190">
        <v>189</v>
      </c>
      <c r="B190" s="32">
        <f t="shared" si="36"/>
        <v>0</v>
      </c>
      <c r="C190" s="32">
        <f t="shared" si="37"/>
        <v>0</v>
      </c>
      <c r="D190" s="32" t="str">
        <f t="shared" si="29"/>
        <v>No Gs</v>
      </c>
      <c r="E190" s="32">
        <f t="shared" si="33"/>
        <v>0</v>
      </c>
      <c r="F190" s="32" t="str">
        <f t="shared" si="34"/>
        <v>No Gs</v>
      </c>
      <c r="G190" s="32" t="str">
        <f t="shared" si="35"/>
        <v>No Gs</v>
      </c>
      <c r="H190" s="32" t="str">
        <f t="shared" si="38"/>
        <v>Gs is needed</v>
      </c>
      <c r="I190" s="32" t="str">
        <f t="shared" si="39"/>
        <v>Gs is needed</v>
      </c>
      <c r="J190" s="32" t="str">
        <f t="shared" si="40"/>
        <v>Gs is needed</v>
      </c>
      <c r="K190" s="32" t="str">
        <f t="shared" si="30"/>
        <v>Need Max and Min</v>
      </c>
      <c r="L190" s="32" t="str">
        <f t="shared" si="31"/>
        <v>Need Max and Min</v>
      </c>
      <c r="M190" s="32" t="str">
        <f t="shared" si="32"/>
        <v>Fail</v>
      </c>
      <c r="N190" s="32"/>
      <c r="O190" s="31">
        <f>'mnt Data'!A193</f>
        <v>0</v>
      </c>
      <c r="P190" s="31">
        <f>'mnt Data'!B193</f>
        <v>0</v>
      </c>
      <c r="Q190" s="31">
        <f>'mnt Data'!C193</f>
        <v>0</v>
      </c>
      <c r="R190" s="31">
        <f>'mnt Data'!D193</f>
        <v>0</v>
      </c>
      <c r="S190" s="31">
        <f>'mnt Data'!E193</f>
        <v>0</v>
      </c>
      <c r="T190" s="31">
        <f>'mnt Data'!F193</f>
        <v>0</v>
      </c>
      <c r="U190" s="31">
        <f>'mnt Data'!G193</f>
        <v>0</v>
      </c>
      <c r="V190" s="31">
        <f>'mnt Data'!H193</f>
        <v>0</v>
      </c>
      <c r="W190" s="31">
        <f>'mnt Data'!I193</f>
        <v>0</v>
      </c>
      <c r="X190" s="31">
        <f>'mnt Data'!J193</f>
        <v>0</v>
      </c>
      <c r="Y190" s="31">
        <f>'mnt Data'!K193</f>
        <v>0</v>
      </c>
      <c r="Z190" s="31">
        <f>'mnt Data'!L193</f>
        <v>0</v>
      </c>
      <c r="AA190" s="31">
        <f>'mnt Data'!M193</f>
        <v>0</v>
      </c>
      <c r="AB190" s="31">
        <f>'mnt Data'!N193</f>
        <v>0</v>
      </c>
      <c r="AC190" s="31">
        <f>'mnt Data'!O193</f>
        <v>0</v>
      </c>
      <c r="AD190" s="31">
        <f>'mnt Data'!P193</f>
        <v>0</v>
      </c>
      <c r="AE190" s="31">
        <f>'mnt Data'!Q193</f>
        <v>0</v>
      </c>
      <c r="AF190" s="31">
        <f>'mnt Data'!R193</f>
        <v>0</v>
      </c>
      <c r="AG190" s="31">
        <f>'mnt Data'!S193</f>
        <v>0</v>
      </c>
      <c r="AH190" s="31">
        <f>'mnt Data'!T193</f>
        <v>0</v>
      </c>
      <c r="AI190" s="31">
        <f>'mnt Data'!U193</f>
        <v>0</v>
      </c>
      <c r="AJ190" s="31">
        <f>'mnt Data'!V193</f>
        <v>0</v>
      </c>
      <c r="AK190" s="31">
        <f>'mnt Data'!W193</f>
        <v>0</v>
      </c>
      <c r="AL190" s="31">
        <f>'mnt Data'!X193</f>
        <v>0</v>
      </c>
      <c r="AM190" s="31">
        <f>'mnt Data'!Y193</f>
        <v>0</v>
      </c>
      <c r="AN190" s="31">
        <f>'mnt Data'!Z193</f>
        <v>0</v>
      </c>
      <c r="AO190" s="31">
        <f>'mnt Data'!AA193</f>
        <v>0</v>
      </c>
      <c r="AP190" s="31">
        <f>'mnt Data'!AB193</f>
        <v>0</v>
      </c>
      <c r="AQ190" s="31">
        <f>'mnt Data'!AC193</f>
        <v>0</v>
      </c>
      <c r="AR190" s="31">
        <f>'mnt Data'!AD193</f>
        <v>0</v>
      </c>
      <c r="AS190" s="31">
        <f>'mnt Data'!AE193</f>
        <v>0</v>
      </c>
      <c r="AT190" s="31">
        <f>'mnt Data'!AF193</f>
        <v>0</v>
      </c>
      <c r="AU190" s="31">
        <f>'mnt Data'!AG193</f>
        <v>0</v>
      </c>
      <c r="AV190" s="31">
        <f>'mnt Data'!AH193</f>
        <v>0</v>
      </c>
      <c r="AW190" s="31">
        <f>'mnt Data'!AI193</f>
        <v>0</v>
      </c>
      <c r="AX190" s="31">
        <f>'mnt Data'!AJ193</f>
        <v>0</v>
      </c>
      <c r="AY190" s="31">
        <f>'mnt Data'!AK193</f>
        <v>0</v>
      </c>
    </row>
    <row r="191" spans="1:51" x14ac:dyDescent="0.25">
      <c r="A191">
        <v>190</v>
      </c>
      <c r="B191" s="32">
        <f t="shared" si="36"/>
        <v>0</v>
      </c>
      <c r="C191" s="32">
        <f t="shared" si="37"/>
        <v>0</v>
      </c>
      <c r="D191" s="32" t="str">
        <f t="shared" si="29"/>
        <v>No Gs</v>
      </c>
      <c r="E191" s="32">
        <f t="shared" si="33"/>
        <v>0</v>
      </c>
      <c r="F191" s="32" t="str">
        <f t="shared" si="34"/>
        <v>No Gs</v>
      </c>
      <c r="G191" s="32" t="str">
        <f t="shared" si="35"/>
        <v>No Gs</v>
      </c>
      <c r="H191" s="32" t="str">
        <f t="shared" si="38"/>
        <v>Gs is needed</v>
      </c>
      <c r="I191" s="32" t="str">
        <f t="shared" si="39"/>
        <v>Gs is needed</v>
      </c>
      <c r="J191" s="32" t="str">
        <f t="shared" si="40"/>
        <v>Gs is needed</v>
      </c>
      <c r="K191" s="32" t="str">
        <f t="shared" si="30"/>
        <v>Need Max and Min</v>
      </c>
      <c r="L191" s="32" t="str">
        <f t="shared" si="31"/>
        <v>Need Max and Min</v>
      </c>
      <c r="M191" s="32" t="str">
        <f t="shared" si="32"/>
        <v>Fail</v>
      </c>
      <c r="N191" s="32"/>
      <c r="O191" s="31">
        <f>'mnt Data'!A194</f>
        <v>0</v>
      </c>
      <c r="P191" s="31">
        <f>'mnt Data'!B194</f>
        <v>0</v>
      </c>
      <c r="Q191" s="31">
        <f>'mnt Data'!C194</f>
        <v>0</v>
      </c>
      <c r="R191" s="31">
        <f>'mnt Data'!D194</f>
        <v>0</v>
      </c>
      <c r="S191" s="31">
        <f>'mnt Data'!E194</f>
        <v>0</v>
      </c>
      <c r="T191" s="31">
        <f>'mnt Data'!F194</f>
        <v>0</v>
      </c>
      <c r="U191" s="31">
        <f>'mnt Data'!G194</f>
        <v>0</v>
      </c>
      <c r="V191" s="31">
        <f>'mnt Data'!H194</f>
        <v>0</v>
      </c>
      <c r="W191" s="31">
        <f>'mnt Data'!I194</f>
        <v>0</v>
      </c>
      <c r="X191" s="31">
        <f>'mnt Data'!J194</f>
        <v>0</v>
      </c>
      <c r="Y191" s="31">
        <f>'mnt Data'!K194</f>
        <v>0</v>
      </c>
      <c r="Z191" s="31">
        <f>'mnt Data'!L194</f>
        <v>0</v>
      </c>
      <c r="AA191" s="31">
        <f>'mnt Data'!M194</f>
        <v>0</v>
      </c>
      <c r="AB191" s="31">
        <f>'mnt Data'!N194</f>
        <v>0</v>
      </c>
      <c r="AC191" s="31">
        <f>'mnt Data'!O194</f>
        <v>0</v>
      </c>
      <c r="AD191" s="31">
        <f>'mnt Data'!P194</f>
        <v>0</v>
      </c>
      <c r="AE191" s="31">
        <f>'mnt Data'!Q194</f>
        <v>0</v>
      </c>
      <c r="AF191" s="31">
        <f>'mnt Data'!R194</f>
        <v>0</v>
      </c>
      <c r="AG191" s="31">
        <f>'mnt Data'!S194</f>
        <v>0</v>
      </c>
      <c r="AH191" s="31">
        <f>'mnt Data'!T194</f>
        <v>0</v>
      </c>
      <c r="AI191" s="31">
        <f>'mnt Data'!U194</f>
        <v>0</v>
      </c>
      <c r="AJ191" s="31">
        <f>'mnt Data'!V194</f>
        <v>0</v>
      </c>
      <c r="AK191" s="31">
        <f>'mnt Data'!W194</f>
        <v>0</v>
      </c>
      <c r="AL191" s="31">
        <f>'mnt Data'!X194</f>
        <v>0</v>
      </c>
      <c r="AM191" s="31">
        <f>'mnt Data'!Y194</f>
        <v>0</v>
      </c>
      <c r="AN191" s="31">
        <f>'mnt Data'!Z194</f>
        <v>0</v>
      </c>
      <c r="AO191" s="31">
        <f>'mnt Data'!AA194</f>
        <v>0</v>
      </c>
      <c r="AP191" s="31">
        <f>'mnt Data'!AB194</f>
        <v>0</v>
      </c>
      <c r="AQ191" s="31">
        <f>'mnt Data'!AC194</f>
        <v>0</v>
      </c>
      <c r="AR191" s="31">
        <f>'mnt Data'!AD194</f>
        <v>0</v>
      </c>
      <c r="AS191" s="31">
        <f>'mnt Data'!AE194</f>
        <v>0</v>
      </c>
      <c r="AT191" s="31">
        <f>'mnt Data'!AF194</f>
        <v>0</v>
      </c>
      <c r="AU191" s="31">
        <f>'mnt Data'!AG194</f>
        <v>0</v>
      </c>
      <c r="AV191" s="31">
        <f>'mnt Data'!AH194</f>
        <v>0</v>
      </c>
      <c r="AW191" s="31">
        <f>'mnt Data'!AI194</f>
        <v>0</v>
      </c>
      <c r="AX191" s="31">
        <f>'mnt Data'!AJ194</f>
        <v>0</v>
      </c>
      <c r="AY191" s="31">
        <f>'mnt Data'!AK194</f>
        <v>0</v>
      </c>
    </row>
    <row r="192" spans="1:51" x14ac:dyDescent="0.25">
      <c r="A192">
        <v>191</v>
      </c>
      <c r="B192" s="32">
        <f t="shared" si="36"/>
        <v>0</v>
      </c>
      <c r="C192" s="32">
        <f t="shared" si="37"/>
        <v>0</v>
      </c>
      <c r="D192" s="32" t="str">
        <f t="shared" si="29"/>
        <v>No Gs</v>
      </c>
      <c r="E192" s="32">
        <f t="shared" si="33"/>
        <v>0</v>
      </c>
      <c r="F192" s="32" t="str">
        <f t="shared" si="34"/>
        <v>No Gs</v>
      </c>
      <c r="G192" s="32" t="str">
        <f t="shared" si="35"/>
        <v>No Gs</v>
      </c>
      <c r="H192" s="32" t="str">
        <f t="shared" si="38"/>
        <v>Gs is needed</v>
      </c>
      <c r="I192" s="32" t="str">
        <f t="shared" si="39"/>
        <v>Gs is needed</v>
      </c>
      <c r="J192" s="32" t="str">
        <f t="shared" si="40"/>
        <v>Gs is needed</v>
      </c>
      <c r="K192" s="32" t="str">
        <f t="shared" si="30"/>
        <v>Need Max and Min</v>
      </c>
      <c r="L192" s="32" t="str">
        <f t="shared" si="31"/>
        <v>Need Max and Min</v>
      </c>
      <c r="M192" s="32" t="str">
        <f t="shared" si="32"/>
        <v>Fail</v>
      </c>
      <c r="N192" s="32"/>
      <c r="O192" s="31">
        <f>'mnt Data'!A195</f>
        <v>0</v>
      </c>
      <c r="P192" s="31">
        <f>'mnt Data'!B195</f>
        <v>0</v>
      </c>
      <c r="Q192" s="31">
        <f>'mnt Data'!C195</f>
        <v>0</v>
      </c>
      <c r="R192" s="31">
        <f>'mnt Data'!D195</f>
        <v>0</v>
      </c>
      <c r="S192" s="31">
        <f>'mnt Data'!E195</f>
        <v>0</v>
      </c>
      <c r="T192" s="31">
        <f>'mnt Data'!F195</f>
        <v>0</v>
      </c>
      <c r="U192" s="31">
        <f>'mnt Data'!G195</f>
        <v>0</v>
      </c>
      <c r="V192" s="31">
        <f>'mnt Data'!H195</f>
        <v>0</v>
      </c>
      <c r="W192" s="31">
        <f>'mnt Data'!I195</f>
        <v>0</v>
      </c>
      <c r="X192" s="31">
        <f>'mnt Data'!J195</f>
        <v>0</v>
      </c>
      <c r="Y192" s="31">
        <f>'mnt Data'!K195</f>
        <v>0</v>
      </c>
      <c r="Z192" s="31">
        <f>'mnt Data'!L195</f>
        <v>0</v>
      </c>
      <c r="AA192" s="31">
        <f>'mnt Data'!M195</f>
        <v>0</v>
      </c>
      <c r="AB192" s="31">
        <f>'mnt Data'!N195</f>
        <v>0</v>
      </c>
      <c r="AC192" s="31">
        <f>'mnt Data'!O195</f>
        <v>0</v>
      </c>
      <c r="AD192" s="31">
        <f>'mnt Data'!P195</f>
        <v>0</v>
      </c>
      <c r="AE192" s="31">
        <f>'mnt Data'!Q195</f>
        <v>0</v>
      </c>
      <c r="AF192" s="31">
        <f>'mnt Data'!R195</f>
        <v>0</v>
      </c>
      <c r="AG192" s="31">
        <f>'mnt Data'!S195</f>
        <v>0</v>
      </c>
      <c r="AH192" s="31">
        <f>'mnt Data'!T195</f>
        <v>0</v>
      </c>
      <c r="AI192" s="31">
        <f>'mnt Data'!U195</f>
        <v>0</v>
      </c>
      <c r="AJ192" s="31">
        <f>'mnt Data'!V195</f>
        <v>0</v>
      </c>
      <c r="AK192" s="31">
        <f>'mnt Data'!W195</f>
        <v>0</v>
      </c>
      <c r="AL192" s="31">
        <f>'mnt Data'!X195</f>
        <v>0</v>
      </c>
      <c r="AM192" s="31">
        <f>'mnt Data'!Y195</f>
        <v>0</v>
      </c>
      <c r="AN192" s="31">
        <f>'mnt Data'!Z195</f>
        <v>0</v>
      </c>
      <c r="AO192" s="31">
        <f>'mnt Data'!AA195</f>
        <v>0</v>
      </c>
      <c r="AP192" s="31">
        <f>'mnt Data'!AB195</f>
        <v>0</v>
      </c>
      <c r="AQ192" s="31">
        <f>'mnt Data'!AC195</f>
        <v>0</v>
      </c>
      <c r="AR192" s="31">
        <f>'mnt Data'!AD195</f>
        <v>0</v>
      </c>
      <c r="AS192" s="31">
        <f>'mnt Data'!AE195</f>
        <v>0</v>
      </c>
      <c r="AT192" s="31">
        <f>'mnt Data'!AF195</f>
        <v>0</v>
      </c>
      <c r="AU192" s="31">
        <f>'mnt Data'!AG195</f>
        <v>0</v>
      </c>
      <c r="AV192" s="31">
        <f>'mnt Data'!AH195</f>
        <v>0</v>
      </c>
      <c r="AW192" s="31">
        <f>'mnt Data'!AI195</f>
        <v>0</v>
      </c>
      <c r="AX192" s="31">
        <f>'mnt Data'!AJ195</f>
        <v>0</v>
      </c>
      <c r="AY192" s="31">
        <f>'mnt Data'!AK195</f>
        <v>0</v>
      </c>
    </row>
    <row r="193" spans="1:51" x14ac:dyDescent="0.25">
      <c r="A193">
        <v>192</v>
      </c>
      <c r="B193" s="32">
        <f t="shared" si="36"/>
        <v>0</v>
      </c>
      <c r="C193" s="32">
        <f t="shared" si="37"/>
        <v>0</v>
      </c>
      <c r="D193" s="32" t="str">
        <f t="shared" si="29"/>
        <v>No Gs</v>
      </c>
      <c r="E193" s="32">
        <f t="shared" si="33"/>
        <v>0</v>
      </c>
      <c r="F193" s="32" t="str">
        <f t="shared" si="34"/>
        <v>No Gs</v>
      </c>
      <c r="G193" s="32" t="str">
        <f t="shared" si="35"/>
        <v>No Gs</v>
      </c>
      <c r="H193" s="32" t="str">
        <f t="shared" si="38"/>
        <v>Gs is needed</v>
      </c>
      <c r="I193" s="32" t="str">
        <f t="shared" si="39"/>
        <v>Gs is needed</v>
      </c>
      <c r="J193" s="32" t="str">
        <f t="shared" si="40"/>
        <v>Gs is needed</v>
      </c>
      <c r="K193" s="32" t="str">
        <f t="shared" si="30"/>
        <v>Need Max and Min</v>
      </c>
      <c r="L193" s="32" t="str">
        <f t="shared" si="31"/>
        <v>Need Max and Min</v>
      </c>
      <c r="M193" s="32" t="str">
        <f t="shared" si="32"/>
        <v>Fail</v>
      </c>
      <c r="N193" s="32"/>
      <c r="O193" s="31">
        <f>'mnt Data'!A196</f>
        <v>0</v>
      </c>
      <c r="P193" s="31">
        <f>'mnt Data'!B196</f>
        <v>0</v>
      </c>
      <c r="Q193" s="31">
        <f>'mnt Data'!C196</f>
        <v>0</v>
      </c>
      <c r="R193" s="31">
        <f>'mnt Data'!D196</f>
        <v>0</v>
      </c>
      <c r="S193" s="31">
        <f>'mnt Data'!E196</f>
        <v>0</v>
      </c>
      <c r="T193" s="31">
        <f>'mnt Data'!F196</f>
        <v>0</v>
      </c>
      <c r="U193" s="31">
        <f>'mnt Data'!G196</f>
        <v>0</v>
      </c>
      <c r="V193" s="31">
        <f>'mnt Data'!H196</f>
        <v>0</v>
      </c>
      <c r="W193" s="31">
        <f>'mnt Data'!I196</f>
        <v>0</v>
      </c>
      <c r="X193" s="31">
        <f>'mnt Data'!J196</f>
        <v>0</v>
      </c>
      <c r="Y193" s="31">
        <f>'mnt Data'!K196</f>
        <v>0</v>
      </c>
      <c r="Z193" s="31">
        <f>'mnt Data'!L196</f>
        <v>0</v>
      </c>
      <c r="AA193" s="31">
        <f>'mnt Data'!M196</f>
        <v>0</v>
      </c>
      <c r="AB193" s="31">
        <f>'mnt Data'!N196</f>
        <v>0</v>
      </c>
      <c r="AC193" s="31">
        <f>'mnt Data'!O196</f>
        <v>0</v>
      </c>
      <c r="AD193" s="31">
        <f>'mnt Data'!P196</f>
        <v>0</v>
      </c>
      <c r="AE193" s="31">
        <f>'mnt Data'!Q196</f>
        <v>0</v>
      </c>
      <c r="AF193" s="31">
        <f>'mnt Data'!R196</f>
        <v>0</v>
      </c>
      <c r="AG193" s="31">
        <f>'mnt Data'!S196</f>
        <v>0</v>
      </c>
      <c r="AH193" s="31">
        <f>'mnt Data'!T196</f>
        <v>0</v>
      </c>
      <c r="AI193" s="31">
        <f>'mnt Data'!U196</f>
        <v>0</v>
      </c>
      <c r="AJ193" s="31">
        <f>'mnt Data'!V196</f>
        <v>0</v>
      </c>
      <c r="AK193" s="31">
        <f>'mnt Data'!W196</f>
        <v>0</v>
      </c>
      <c r="AL193" s="31">
        <f>'mnt Data'!X196</f>
        <v>0</v>
      </c>
      <c r="AM193" s="31">
        <f>'mnt Data'!Y196</f>
        <v>0</v>
      </c>
      <c r="AN193" s="31">
        <f>'mnt Data'!Z196</f>
        <v>0</v>
      </c>
      <c r="AO193" s="31">
        <f>'mnt Data'!AA196</f>
        <v>0</v>
      </c>
      <c r="AP193" s="31">
        <f>'mnt Data'!AB196</f>
        <v>0</v>
      </c>
      <c r="AQ193" s="31">
        <f>'mnt Data'!AC196</f>
        <v>0</v>
      </c>
      <c r="AR193" s="31">
        <f>'mnt Data'!AD196</f>
        <v>0</v>
      </c>
      <c r="AS193" s="31">
        <f>'mnt Data'!AE196</f>
        <v>0</v>
      </c>
      <c r="AT193" s="31">
        <f>'mnt Data'!AF196</f>
        <v>0</v>
      </c>
      <c r="AU193" s="31">
        <f>'mnt Data'!AG196</f>
        <v>0</v>
      </c>
      <c r="AV193" s="31">
        <f>'mnt Data'!AH196</f>
        <v>0</v>
      </c>
      <c r="AW193" s="31">
        <f>'mnt Data'!AI196</f>
        <v>0</v>
      </c>
      <c r="AX193" s="31">
        <f>'mnt Data'!AJ196</f>
        <v>0</v>
      </c>
      <c r="AY193" s="31">
        <f>'mnt Data'!AK196</f>
        <v>0</v>
      </c>
    </row>
    <row r="194" spans="1:51" x14ac:dyDescent="0.25">
      <c r="A194">
        <v>193</v>
      </c>
      <c r="B194" s="32">
        <f t="shared" si="36"/>
        <v>0</v>
      </c>
      <c r="C194" s="32">
        <f t="shared" si="37"/>
        <v>0</v>
      </c>
      <c r="D194" s="32" t="str">
        <f t="shared" ref="D194:D257" si="41">IFERROR(B194/(Gs*(IF(O194&gt;1000,998,62.4))),"No Gs")</f>
        <v>No Gs</v>
      </c>
      <c r="E194" s="32">
        <f t="shared" si="33"/>
        <v>0</v>
      </c>
      <c r="F194" s="32" t="str">
        <f t="shared" si="34"/>
        <v>No Gs</v>
      </c>
      <c r="G194" s="32" t="str">
        <f t="shared" si="35"/>
        <v>No Gs</v>
      </c>
      <c r="H194" s="32" t="str">
        <f t="shared" si="38"/>
        <v>Gs is needed</v>
      </c>
      <c r="I194" s="32" t="str">
        <f t="shared" si="39"/>
        <v>Gs is needed</v>
      </c>
      <c r="J194" s="32" t="str">
        <f t="shared" si="40"/>
        <v>Gs is needed</v>
      </c>
      <c r="K194" s="32" t="str">
        <f t="shared" ref="K194:K257" si="42">IFERROR((100*(DMax*(O194-DMin))/(O194*(DMax-DMin))),"Need Max and Min")</f>
        <v>Need Max and Min</v>
      </c>
      <c r="L194" s="32" t="str">
        <f t="shared" ref="L194:L257" si="43">IF(K194="Need Max and Min",K194,(100*((O194-DMin)/(DMax-DMin))))</f>
        <v>Need Max and Min</v>
      </c>
      <c r="M194" s="32" t="str">
        <f t="shared" ref="M194:M257" si="44">IF((Min+Max)=0,"Need Max and Min Density",IF(AND(S194&gt;Min,S194&lt;Max),"Pass","Fail"))</f>
        <v>Fail</v>
      </c>
      <c r="N194" s="32"/>
      <c r="O194" s="31">
        <f>'mnt Data'!A197</f>
        <v>0</v>
      </c>
      <c r="P194" s="31">
        <f>'mnt Data'!B197</f>
        <v>0</v>
      </c>
      <c r="Q194" s="31">
        <f>'mnt Data'!C197</f>
        <v>0</v>
      </c>
      <c r="R194" s="31">
        <f>'mnt Data'!D197</f>
        <v>0</v>
      </c>
      <c r="S194" s="31">
        <f>'mnt Data'!E197</f>
        <v>0</v>
      </c>
      <c r="T194" s="31">
        <f>'mnt Data'!F197</f>
        <v>0</v>
      </c>
      <c r="U194" s="31">
        <f>'mnt Data'!G197</f>
        <v>0</v>
      </c>
      <c r="V194" s="31">
        <f>'mnt Data'!H197</f>
        <v>0</v>
      </c>
      <c r="W194" s="31">
        <f>'mnt Data'!I197</f>
        <v>0</v>
      </c>
      <c r="X194" s="31">
        <f>'mnt Data'!J197</f>
        <v>0</v>
      </c>
      <c r="Y194" s="31">
        <f>'mnt Data'!K197</f>
        <v>0</v>
      </c>
      <c r="Z194" s="31">
        <f>'mnt Data'!L197</f>
        <v>0</v>
      </c>
      <c r="AA194" s="31">
        <f>'mnt Data'!M197</f>
        <v>0</v>
      </c>
      <c r="AB194" s="31">
        <f>'mnt Data'!N197</f>
        <v>0</v>
      </c>
      <c r="AC194" s="31">
        <f>'mnt Data'!O197</f>
        <v>0</v>
      </c>
      <c r="AD194" s="31">
        <f>'mnt Data'!P197</f>
        <v>0</v>
      </c>
      <c r="AE194" s="31">
        <f>'mnt Data'!Q197</f>
        <v>0</v>
      </c>
      <c r="AF194" s="31">
        <f>'mnt Data'!R197</f>
        <v>0</v>
      </c>
      <c r="AG194" s="31">
        <f>'mnt Data'!S197</f>
        <v>0</v>
      </c>
      <c r="AH194" s="31">
        <f>'mnt Data'!T197</f>
        <v>0</v>
      </c>
      <c r="AI194" s="31">
        <f>'mnt Data'!U197</f>
        <v>0</v>
      </c>
      <c r="AJ194" s="31">
        <f>'mnt Data'!V197</f>
        <v>0</v>
      </c>
      <c r="AK194" s="31">
        <f>'mnt Data'!W197</f>
        <v>0</v>
      </c>
      <c r="AL194" s="31">
        <f>'mnt Data'!X197</f>
        <v>0</v>
      </c>
      <c r="AM194" s="31">
        <f>'mnt Data'!Y197</f>
        <v>0</v>
      </c>
      <c r="AN194" s="31">
        <f>'mnt Data'!Z197</f>
        <v>0</v>
      </c>
      <c r="AO194" s="31">
        <f>'mnt Data'!AA197</f>
        <v>0</v>
      </c>
      <c r="AP194" s="31">
        <f>'mnt Data'!AB197</f>
        <v>0</v>
      </c>
      <c r="AQ194" s="31">
        <f>'mnt Data'!AC197</f>
        <v>0</v>
      </c>
      <c r="AR194" s="31">
        <f>'mnt Data'!AD197</f>
        <v>0</v>
      </c>
      <c r="AS194" s="31">
        <f>'mnt Data'!AE197</f>
        <v>0</v>
      </c>
      <c r="AT194" s="31">
        <f>'mnt Data'!AF197</f>
        <v>0</v>
      </c>
      <c r="AU194" s="31">
        <f>'mnt Data'!AG197</f>
        <v>0</v>
      </c>
      <c r="AV194" s="31">
        <f>'mnt Data'!AH197</f>
        <v>0</v>
      </c>
      <c r="AW194" s="31">
        <f>'mnt Data'!AI197</f>
        <v>0</v>
      </c>
      <c r="AX194" s="31">
        <f>'mnt Data'!AJ197</f>
        <v>0</v>
      </c>
      <c r="AY194" s="31">
        <f>'mnt Data'!AK197</f>
        <v>0</v>
      </c>
    </row>
    <row r="195" spans="1:51" x14ac:dyDescent="0.25">
      <c r="A195">
        <v>194</v>
      </c>
      <c r="B195" s="32">
        <f t="shared" si="36"/>
        <v>0</v>
      </c>
      <c r="C195" s="32">
        <f t="shared" si="37"/>
        <v>0</v>
      </c>
      <c r="D195" s="32" t="str">
        <f t="shared" si="41"/>
        <v>No Gs</v>
      </c>
      <c r="E195" s="32">
        <f t="shared" ref="E195:E258" si="45">C195/(IF(O195&gt;1000,998,62.4))</f>
        <v>0</v>
      </c>
      <c r="F195" s="32" t="str">
        <f t="shared" ref="F195:F258" si="46">IFERROR(1-D195-E195,"No Gs")</f>
        <v>No Gs</v>
      </c>
      <c r="G195" s="32" t="str">
        <f t="shared" ref="G195:G258" si="47">IFERROR(E195+F195,"No Gs")</f>
        <v>No Gs</v>
      </c>
      <c r="H195" s="32" t="str">
        <f t="shared" si="38"/>
        <v>Gs is needed</v>
      </c>
      <c r="I195" s="32" t="str">
        <f t="shared" si="39"/>
        <v>Gs is needed</v>
      </c>
      <c r="J195" s="32" t="str">
        <f t="shared" si="40"/>
        <v>Gs is needed</v>
      </c>
      <c r="K195" s="32" t="str">
        <f t="shared" si="42"/>
        <v>Need Max and Min</v>
      </c>
      <c r="L195" s="32" t="str">
        <f t="shared" si="43"/>
        <v>Need Max and Min</v>
      </c>
      <c r="M195" s="32" t="str">
        <f t="shared" si="44"/>
        <v>Fail</v>
      </c>
      <c r="N195" s="32"/>
      <c r="O195" s="31">
        <f>'mnt Data'!A198</f>
        <v>0</v>
      </c>
      <c r="P195" s="31">
        <f>'mnt Data'!B198</f>
        <v>0</v>
      </c>
      <c r="Q195" s="31">
        <f>'mnt Data'!C198</f>
        <v>0</v>
      </c>
      <c r="R195" s="31">
        <f>'mnt Data'!D198</f>
        <v>0</v>
      </c>
      <c r="S195" s="31">
        <f>'mnt Data'!E198</f>
        <v>0</v>
      </c>
      <c r="T195" s="31">
        <f>'mnt Data'!F198</f>
        <v>0</v>
      </c>
      <c r="U195" s="31">
        <f>'mnt Data'!G198</f>
        <v>0</v>
      </c>
      <c r="V195" s="31">
        <f>'mnt Data'!H198</f>
        <v>0</v>
      </c>
      <c r="W195" s="31">
        <f>'mnt Data'!I198</f>
        <v>0</v>
      </c>
      <c r="X195" s="31">
        <f>'mnt Data'!J198</f>
        <v>0</v>
      </c>
      <c r="Y195" s="31">
        <f>'mnt Data'!K198</f>
        <v>0</v>
      </c>
      <c r="Z195" s="31">
        <f>'mnt Data'!L198</f>
        <v>0</v>
      </c>
      <c r="AA195" s="31">
        <f>'mnt Data'!M198</f>
        <v>0</v>
      </c>
      <c r="AB195" s="31">
        <f>'mnt Data'!N198</f>
        <v>0</v>
      </c>
      <c r="AC195" s="31">
        <f>'mnt Data'!O198</f>
        <v>0</v>
      </c>
      <c r="AD195" s="31">
        <f>'mnt Data'!P198</f>
        <v>0</v>
      </c>
      <c r="AE195" s="31">
        <f>'mnt Data'!Q198</f>
        <v>0</v>
      </c>
      <c r="AF195" s="31">
        <f>'mnt Data'!R198</f>
        <v>0</v>
      </c>
      <c r="AG195" s="31">
        <f>'mnt Data'!S198</f>
        <v>0</v>
      </c>
      <c r="AH195" s="31">
        <f>'mnt Data'!T198</f>
        <v>0</v>
      </c>
      <c r="AI195" s="31">
        <f>'mnt Data'!U198</f>
        <v>0</v>
      </c>
      <c r="AJ195" s="31">
        <f>'mnt Data'!V198</f>
        <v>0</v>
      </c>
      <c r="AK195" s="31">
        <f>'mnt Data'!W198</f>
        <v>0</v>
      </c>
      <c r="AL195" s="31">
        <f>'mnt Data'!X198</f>
        <v>0</v>
      </c>
      <c r="AM195" s="31">
        <f>'mnt Data'!Y198</f>
        <v>0</v>
      </c>
      <c r="AN195" s="31">
        <f>'mnt Data'!Z198</f>
        <v>0</v>
      </c>
      <c r="AO195" s="31">
        <f>'mnt Data'!AA198</f>
        <v>0</v>
      </c>
      <c r="AP195" s="31">
        <f>'mnt Data'!AB198</f>
        <v>0</v>
      </c>
      <c r="AQ195" s="31">
        <f>'mnt Data'!AC198</f>
        <v>0</v>
      </c>
      <c r="AR195" s="31">
        <f>'mnt Data'!AD198</f>
        <v>0</v>
      </c>
      <c r="AS195" s="31">
        <f>'mnt Data'!AE198</f>
        <v>0</v>
      </c>
      <c r="AT195" s="31">
        <f>'mnt Data'!AF198</f>
        <v>0</v>
      </c>
      <c r="AU195" s="31">
        <f>'mnt Data'!AG198</f>
        <v>0</v>
      </c>
      <c r="AV195" s="31">
        <f>'mnt Data'!AH198</f>
        <v>0</v>
      </c>
      <c r="AW195" s="31">
        <f>'mnt Data'!AI198</f>
        <v>0</v>
      </c>
      <c r="AX195" s="31">
        <f>'mnt Data'!AJ198</f>
        <v>0</v>
      </c>
      <c r="AY195" s="31">
        <f>'mnt Data'!AK198</f>
        <v>0</v>
      </c>
    </row>
    <row r="196" spans="1:51" x14ac:dyDescent="0.25">
      <c r="A196">
        <v>195</v>
      </c>
      <c r="B196" s="32">
        <f t="shared" si="36"/>
        <v>0</v>
      </c>
      <c r="C196" s="32">
        <f t="shared" si="37"/>
        <v>0</v>
      </c>
      <c r="D196" s="32" t="str">
        <f t="shared" si="41"/>
        <v>No Gs</v>
      </c>
      <c r="E196" s="32">
        <f t="shared" si="45"/>
        <v>0</v>
      </c>
      <c r="F196" s="32" t="str">
        <f t="shared" si="46"/>
        <v>No Gs</v>
      </c>
      <c r="G196" s="32" t="str">
        <f t="shared" si="47"/>
        <v>No Gs</v>
      </c>
      <c r="H196" s="32" t="str">
        <f t="shared" si="38"/>
        <v>Gs is needed</v>
      </c>
      <c r="I196" s="32" t="str">
        <f t="shared" si="39"/>
        <v>Gs is needed</v>
      </c>
      <c r="J196" s="32" t="str">
        <f t="shared" si="40"/>
        <v>Gs is needed</v>
      </c>
      <c r="K196" s="32" t="str">
        <f t="shared" si="42"/>
        <v>Need Max and Min</v>
      </c>
      <c r="L196" s="32" t="str">
        <f t="shared" si="43"/>
        <v>Need Max and Min</v>
      </c>
      <c r="M196" s="32" t="str">
        <f t="shared" si="44"/>
        <v>Fail</v>
      </c>
      <c r="N196" s="32"/>
      <c r="O196" s="31">
        <f>'mnt Data'!A199</f>
        <v>0</v>
      </c>
      <c r="P196" s="31">
        <f>'mnt Data'!B199</f>
        <v>0</v>
      </c>
      <c r="Q196" s="31">
        <f>'mnt Data'!C199</f>
        <v>0</v>
      </c>
      <c r="R196" s="31">
        <f>'mnt Data'!D199</f>
        <v>0</v>
      </c>
      <c r="S196" s="31">
        <f>'mnt Data'!E199</f>
        <v>0</v>
      </c>
      <c r="T196" s="31">
        <f>'mnt Data'!F199</f>
        <v>0</v>
      </c>
      <c r="U196" s="31">
        <f>'mnt Data'!G199</f>
        <v>0</v>
      </c>
      <c r="V196" s="31">
        <f>'mnt Data'!H199</f>
        <v>0</v>
      </c>
      <c r="W196" s="31">
        <f>'mnt Data'!I199</f>
        <v>0</v>
      </c>
      <c r="X196" s="31">
        <f>'mnt Data'!J199</f>
        <v>0</v>
      </c>
      <c r="Y196" s="31">
        <f>'mnt Data'!K199</f>
        <v>0</v>
      </c>
      <c r="Z196" s="31">
        <f>'mnt Data'!L199</f>
        <v>0</v>
      </c>
      <c r="AA196" s="31">
        <f>'mnt Data'!M199</f>
        <v>0</v>
      </c>
      <c r="AB196" s="31">
        <f>'mnt Data'!N199</f>
        <v>0</v>
      </c>
      <c r="AC196" s="31">
        <f>'mnt Data'!O199</f>
        <v>0</v>
      </c>
      <c r="AD196" s="31">
        <f>'mnt Data'!P199</f>
        <v>0</v>
      </c>
      <c r="AE196" s="31">
        <f>'mnt Data'!Q199</f>
        <v>0</v>
      </c>
      <c r="AF196" s="31">
        <f>'mnt Data'!R199</f>
        <v>0</v>
      </c>
      <c r="AG196" s="31">
        <f>'mnt Data'!S199</f>
        <v>0</v>
      </c>
      <c r="AH196" s="31">
        <f>'mnt Data'!T199</f>
        <v>0</v>
      </c>
      <c r="AI196" s="31">
        <f>'mnt Data'!U199</f>
        <v>0</v>
      </c>
      <c r="AJ196" s="31">
        <f>'mnt Data'!V199</f>
        <v>0</v>
      </c>
      <c r="AK196" s="31">
        <f>'mnt Data'!W199</f>
        <v>0</v>
      </c>
      <c r="AL196" s="31">
        <f>'mnt Data'!X199</f>
        <v>0</v>
      </c>
      <c r="AM196" s="31">
        <f>'mnt Data'!Y199</f>
        <v>0</v>
      </c>
      <c r="AN196" s="31">
        <f>'mnt Data'!Z199</f>
        <v>0</v>
      </c>
      <c r="AO196" s="31">
        <f>'mnt Data'!AA199</f>
        <v>0</v>
      </c>
      <c r="AP196" s="31">
        <f>'mnt Data'!AB199</f>
        <v>0</v>
      </c>
      <c r="AQ196" s="31">
        <f>'mnt Data'!AC199</f>
        <v>0</v>
      </c>
      <c r="AR196" s="31">
        <f>'mnt Data'!AD199</f>
        <v>0</v>
      </c>
      <c r="AS196" s="31">
        <f>'mnt Data'!AE199</f>
        <v>0</v>
      </c>
      <c r="AT196" s="31">
        <f>'mnt Data'!AF199</f>
        <v>0</v>
      </c>
      <c r="AU196" s="31">
        <f>'mnt Data'!AG199</f>
        <v>0</v>
      </c>
      <c r="AV196" s="31">
        <f>'mnt Data'!AH199</f>
        <v>0</v>
      </c>
      <c r="AW196" s="31">
        <f>'mnt Data'!AI199</f>
        <v>0</v>
      </c>
      <c r="AX196" s="31">
        <f>'mnt Data'!AJ199</f>
        <v>0</v>
      </c>
      <c r="AY196" s="31">
        <f>'mnt Data'!AK199</f>
        <v>0</v>
      </c>
    </row>
    <row r="197" spans="1:51" x14ac:dyDescent="0.25">
      <c r="A197">
        <v>196</v>
      </c>
      <c r="B197" s="32">
        <f t="shared" si="36"/>
        <v>0</v>
      </c>
      <c r="C197" s="32">
        <f t="shared" si="37"/>
        <v>0</v>
      </c>
      <c r="D197" s="32" t="str">
        <f t="shared" si="41"/>
        <v>No Gs</v>
      </c>
      <c r="E197" s="32">
        <f t="shared" si="45"/>
        <v>0</v>
      </c>
      <c r="F197" s="32" t="str">
        <f t="shared" si="46"/>
        <v>No Gs</v>
      </c>
      <c r="G197" s="32" t="str">
        <f t="shared" si="47"/>
        <v>No Gs</v>
      </c>
      <c r="H197" s="32" t="str">
        <f t="shared" si="38"/>
        <v>Gs is needed</v>
      </c>
      <c r="I197" s="32" t="str">
        <f t="shared" si="39"/>
        <v>Gs is needed</v>
      </c>
      <c r="J197" s="32" t="str">
        <f t="shared" si="40"/>
        <v>Gs is needed</v>
      </c>
      <c r="K197" s="32" t="str">
        <f t="shared" si="42"/>
        <v>Need Max and Min</v>
      </c>
      <c r="L197" s="32" t="str">
        <f t="shared" si="43"/>
        <v>Need Max and Min</v>
      </c>
      <c r="M197" s="32" t="str">
        <f t="shared" si="44"/>
        <v>Fail</v>
      </c>
      <c r="N197" s="32"/>
      <c r="O197" s="31">
        <f>'mnt Data'!A200</f>
        <v>0</v>
      </c>
      <c r="P197" s="31">
        <f>'mnt Data'!B200</f>
        <v>0</v>
      </c>
      <c r="Q197" s="31">
        <f>'mnt Data'!C200</f>
        <v>0</v>
      </c>
      <c r="R197" s="31">
        <f>'mnt Data'!D200</f>
        <v>0</v>
      </c>
      <c r="S197" s="31">
        <f>'mnt Data'!E200</f>
        <v>0</v>
      </c>
      <c r="T197" s="31">
        <f>'mnt Data'!F200</f>
        <v>0</v>
      </c>
      <c r="U197" s="31">
        <f>'mnt Data'!G200</f>
        <v>0</v>
      </c>
      <c r="V197" s="31">
        <f>'mnt Data'!H200</f>
        <v>0</v>
      </c>
      <c r="W197" s="31">
        <f>'mnt Data'!I200</f>
        <v>0</v>
      </c>
      <c r="X197" s="31">
        <f>'mnt Data'!J200</f>
        <v>0</v>
      </c>
      <c r="Y197" s="31">
        <f>'mnt Data'!K200</f>
        <v>0</v>
      </c>
      <c r="Z197" s="31">
        <f>'mnt Data'!L200</f>
        <v>0</v>
      </c>
      <c r="AA197" s="31">
        <f>'mnt Data'!M200</f>
        <v>0</v>
      </c>
      <c r="AB197" s="31">
        <f>'mnt Data'!N200</f>
        <v>0</v>
      </c>
      <c r="AC197" s="31">
        <f>'mnt Data'!O200</f>
        <v>0</v>
      </c>
      <c r="AD197" s="31">
        <f>'mnt Data'!P200</f>
        <v>0</v>
      </c>
      <c r="AE197" s="31">
        <f>'mnt Data'!Q200</f>
        <v>0</v>
      </c>
      <c r="AF197" s="31">
        <f>'mnt Data'!R200</f>
        <v>0</v>
      </c>
      <c r="AG197" s="31">
        <f>'mnt Data'!S200</f>
        <v>0</v>
      </c>
      <c r="AH197" s="31">
        <f>'mnt Data'!T200</f>
        <v>0</v>
      </c>
      <c r="AI197" s="31">
        <f>'mnt Data'!U200</f>
        <v>0</v>
      </c>
      <c r="AJ197" s="31">
        <f>'mnt Data'!V200</f>
        <v>0</v>
      </c>
      <c r="AK197" s="31">
        <f>'mnt Data'!W200</f>
        <v>0</v>
      </c>
      <c r="AL197" s="31">
        <f>'mnt Data'!X200</f>
        <v>0</v>
      </c>
      <c r="AM197" s="31">
        <f>'mnt Data'!Y200</f>
        <v>0</v>
      </c>
      <c r="AN197" s="31">
        <f>'mnt Data'!Z200</f>
        <v>0</v>
      </c>
      <c r="AO197" s="31">
        <f>'mnt Data'!AA200</f>
        <v>0</v>
      </c>
      <c r="AP197" s="31">
        <f>'mnt Data'!AB200</f>
        <v>0</v>
      </c>
      <c r="AQ197" s="31">
        <f>'mnt Data'!AC200</f>
        <v>0</v>
      </c>
      <c r="AR197" s="31">
        <f>'mnt Data'!AD200</f>
        <v>0</v>
      </c>
      <c r="AS197" s="31">
        <f>'mnt Data'!AE200</f>
        <v>0</v>
      </c>
      <c r="AT197" s="31">
        <f>'mnt Data'!AF200</f>
        <v>0</v>
      </c>
      <c r="AU197" s="31">
        <f>'mnt Data'!AG200</f>
        <v>0</v>
      </c>
      <c r="AV197" s="31">
        <f>'mnt Data'!AH200</f>
        <v>0</v>
      </c>
      <c r="AW197" s="31">
        <f>'mnt Data'!AI200</f>
        <v>0</v>
      </c>
      <c r="AX197" s="31">
        <f>'mnt Data'!AJ200</f>
        <v>0</v>
      </c>
      <c r="AY197" s="31">
        <f>'mnt Data'!AK200</f>
        <v>0</v>
      </c>
    </row>
    <row r="198" spans="1:51" x14ac:dyDescent="0.25">
      <c r="A198">
        <v>197</v>
      </c>
      <c r="B198" s="32">
        <f t="shared" si="36"/>
        <v>0</v>
      </c>
      <c r="C198" s="32">
        <f t="shared" si="37"/>
        <v>0</v>
      </c>
      <c r="D198" s="32" t="str">
        <f t="shared" si="41"/>
        <v>No Gs</v>
      </c>
      <c r="E198" s="32">
        <f t="shared" si="45"/>
        <v>0</v>
      </c>
      <c r="F198" s="32" t="str">
        <f t="shared" si="46"/>
        <v>No Gs</v>
      </c>
      <c r="G198" s="32" t="str">
        <f t="shared" si="47"/>
        <v>No Gs</v>
      </c>
      <c r="H198" s="32" t="str">
        <f t="shared" si="38"/>
        <v>Gs is needed</v>
      </c>
      <c r="I198" s="32" t="str">
        <f t="shared" si="39"/>
        <v>Gs is needed</v>
      </c>
      <c r="J198" s="32" t="str">
        <f t="shared" si="40"/>
        <v>Gs is needed</v>
      </c>
      <c r="K198" s="32" t="str">
        <f t="shared" si="42"/>
        <v>Need Max and Min</v>
      </c>
      <c r="L198" s="32" t="str">
        <f t="shared" si="43"/>
        <v>Need Max and Min</v>
      </c>
      <c r="M198" s="32" t="str">
        <f t="shared" si="44"/>
        <v>Fail</v>
      </c>
      <c r="N198" s="32"/>
      <c r="O198" s="31">
        <f>'mnt Data'!A201</f>
        <v>0</v>
      </c>
      <c r="P198" s="31">
        <f>'mnt Data'!B201</f>
        <v>0</v>
      </c>
      <c r="Q198" s="31">
        <f>'mnt Data'!C201</f>
        <v>0</v>
      </c>
      <c r="R198" s="31">
        <f>'mnt Data'!D201</f>
        <v>0</v>
      </c>
      <c r="S198" s="31">
        <f>'mnt Data'!E201</f>
        <v>0</v>
      </c>
      <c r="T198" s="31">
        <f>'mnt Data'!F201</f>
        <v>0</v>
      </c>
      <c r="U198" s="31">
        <f>'mnt Data'!G201</f>
        <v>0</v>
      </c>
      <c r="V198" s="31">
        <f>'mnt Data'!H201</f>
        <v>0</v>
      </c>
      <c r="W198" s="31">
        <f>'mnt Data'!I201</f>
        <v>0</v>
      </c>
      <c r="X198" s="31">
        <f>'mnt Data'!J201</f>
        <v>0</v>
      </c>
      <c r="Y198" s="31">
        <f>'mnt Data'!K201</f>
        <v>0</v>
      </c>
      <c r="Z198" s="31">
        <f>'mnt Data'!L201</f>
        <v>0</v>
      </c>
      <c r="AA198" s="31">
        <f>'mnt Data'!M201</f>
        <v>0</v>
      </c>
      <c r="AB198" s="31">
        <f>'mnt Data'!N201</f>
        <v>0</v>
      </c>
      <c r="AC198" s="31">
        <f>'mnt Data'!O201</f>
        <v>0</v>
      </c>
      <c r="AD198" s="31">
        <f>'mnt Data'!P201</f>
        <v>0</v>
      </c>
      <c r="AE198" s="31">
        <f>'mnt Data'!Q201</f>
        <v>0</v>
      </c>
      <c r="AF198" s="31">
        <f>'mnt Data'!R201</f>
        <v>0</v>
      </c>
      <c r="AG198" s="31">
        <f>'mnt Data'!S201</f>
        <v>0</v>
      </c>
      <c r="AH198" s="31">
        <f>'mnt Data'!T201</f>
        <v>0</v>
      </c>
      <c r="AI198" s="31">
        <f>'mnt Data'!U201</f>
        <v>0</v>
      </c>
      <c r="AJ198" s="31">
        <f>'mnt Data'!V201</f>
        <v>0</v>
      </c>
      <c r="AK198" s="31">
        <f>'mnt Data'!W201</f>
        <v>0</v>
      </c>
      <c r="AL198" s="31">
        <f>'mnt Data'!X201</f>
        <v>0</v>
      </c>
      <c r="AM198" s="31">
        <f>'mnt Data'!Y201</f>
        <v>0</v>
      </c>
      <c r="AN198" s="31">
        <f>'mnt Data'!Z201</f>
        <v>0</v>
      </c>
      <c r="AO198" s="31">
        <f>'mnt Data'!AA201</f>
        <v>0</v>
      </c>
      <c r="AP198" s="31">
        <f>'mnt Data'!AB201</f>
        <v>0</v>
      </c>
      <c r="AQ198" s="31">
        <f>'mnt Data'!AC201</f>
        <v>0</v>
      </c>
      <c r="AR198" s="31">
        <f>'mnt Data'!AD201</f>
        <v>0</v>
      </c>
      <c r="AS198" s="31">
        <f>'mnt Data'!AE201</f>
        <v>0</v>
      </c>
      <c r="AT198" s="31">
        <f>'mnt Data'!AF201</f>
        <v>0</v>
      </c>
      <c r="AU198" s="31">
        <f>'mnt Data'!AG201</f>
        <v>0</v>
      </c>
      <c r="AV198" s="31">
        <f>'mnt Data'!AH201</f>
        <v>0</v>
      </c>
      <c r="AW198" s="31">
        <f>'mnt Data'!AI201</f>
        <v>0</v>
      </c>
      <c r="AX198" s="31">
        <f>'mnt Data'!AJ201</f>
        <v>0</v>
      </c>
      <c r="AY198" s="31">
        <f>'mnt Data'!AK201</f>
        <v>0</v>
      </c>
    </row>
    <row r="199" spans="1:51" x14ac:dyDescent="0.25">
      <c r="A199">
        <v>198</v>
      </c>
      <c r="B199" s="32">
        <f t="shared" si="36"/>
        <v>0</v>
      </c>
      <c r="C199" s="32">
        <f t="shared" si="37"/>
        <v>0</v>
      </c>
      <c r="D199" s="32" t="str">
        <f t="shared" si="41"/>
        <v>No Gs</v>
      </c>
      <c r="E199" s="32">
        <f t="shared" si="45"/>
        <v>0</v>
      </c>
      <c r="F199" s="32" t="str">
        <f t="shared" si="46"/>
        <v>No Gs</v>
      </c>
      <c r="G199" s="32" t="str">
        <f t="shared" si="47"/>
        <v>No Gs</v>
      </c>
      <c r="H199" s="32" t="str">
        <f t="shared" si="38"/>
        <v>Gs is needed</v>
      </c>
      <c r="I199" s="32" t="str">
        <f t="shared" si="39"/>
        <v>Gs is needed</v>
      </c>
      <c r="J199" s="32" t="str">
        <f t="shared" si="40"/>
        <v>Gs is needed</v>
      </c>
      <c r="K199" s="32" t="str">
        <f t="shared" si="42"/>
        <v>Need Max and Min</v>
      </c>
      <c r="L199" s="32" t="str">
        <f t="shared" si="43"/>
        <v>Need Max and Min</v>
      </c>
      <c r="M199" s="32" t="str">
        <f t="shared" si="44"/>
        <v>Fail</v>
      </c>
      <c r="N199" s="32"/>
      <c r="O199" s="31">
        <f>'mnt Data'!A202</f>
        <v>0</v>
      </c>
      <c r="P199" s="31">
        <f>'mnt Data'!B202</f>
        <v>0</v>
      </c>
      <c r="Q199" s="31">
        <f>'mnt Data'!C202</f>
        <v>0</v>
      </c>
      <c r="R199" s="31">
        <f>'mnt Data'!D202</f>
        <v>0</v>
      </c>
      <c r="S199" s="31">
        <f>'mnt Data'!E202</f>
        <v>0</v>
      </c>
      <c r="T199" s="31">
        <f>'mnt Data'!F202</f>
        <v>0</v>
      </c>
      <c r="U199" s="31">
        <f>'mnt Data'!G202</f>
        <v>0</v>
      </c>
      <c r="V199" s="31">
        <f>'mnt Data'!H202</f>
        <v>0</v>
      </c>
      <c r="W199" s="31">
        <f>'mnt Data'!I202</f>
        <v>0</v>
      </c>
      <c r="X199" s="31">
        <f>'mnt Data'!J202</f>
        <v>0</v>
      </c>
      <c r="Y199" s="31">
        <f>'mnt Data'!K202</f>
        <v>0</v>
      </c>
      <c r="Z199" s="31">
        <f>'mnt Data'!L202</f>
        <v>0</v>
      </c>
      <c r="AA199" s="31">
        <f>'mnt Data'!M202</f>
        <v>0</v>
      </c>
      <c r="AB199" s="31">
        <f>'mnt Data'!N202</f>
        <v>0</v>
      </c>
      <c r="AC199" s="31">
        <f>'mnt Data'!O202</f>
        <v>0</v>
      </c>
      <c r="AD199" s="31">
        <f>'mnt Data'!P202</f>
        <v>0</v>
      </c>
      <c r="AE199" s="31">
        <f>'mnt Data'!Q202</f>
        <v>0</v>
      </c>
      <c r="AF199" s="31">
        <f>'mnt Data'!R202</f>
        <v>0</v>
      </c>
      <c r="AG199" s="31">
        <f>'mnt Data'!S202</f>
        <v>0</v>
      </c>
      <c r="AH199" s="31">
        <f>'mnt Data'!T202</f>
        <v>0</v>
      </c>
      <c r="AI199" s="31">
        <f>'mnt Data'!U202</f>
        <v>0</v>
      </c>
      <c r="AJ199" s="31">
        <f>'mnt Data'!V202</f>
        <v>0</v>
      </c>
      <c r="AK199" s="31">
        <f>'mnt Data'!W202</f>
        <v>0</v>
      </c>
      <c r="AL199" s="31">
        <f>'mnt Data'!X202</f>
        <v>0</v>
      </c>
      <c r="AM199" s="31">
        <f>'mnt Data'!Y202</f>
        <v>0</v>
      </c>
      <c r="AN199" s="31">
        <f>'mnt Data'!Z202</f>
        <v>0</v>
      </c>
      <c r="AO199" s="31">
        <f>'mnt Data'!AA202</f>
        <v>0</v>
      </c>
      <c r="AP199" s="31">
        <f>'mnt Data'!AB202</f>
        <v>0</v>
      </c>
      <c r="AQ199" s="31">
        <f>'mnt Data'!AC202</f>
        <v>0</v>
      </c>
      <c r="AR199" s="31">
        <f>'mnt Data'!AD202</f>
        <v>0</v>
      </c>
      <c r="AS199" s="31">
        <f>'mnt Data'!AE202</f>
        <v>0</v>
      </c>
      <c r="AT199" s="31">
        <f>'mnt Data'!AF202</f>
        <v>0</v>
      </c>
      <c r="AU199" s="31">
        <f>'mnt Data'!AG202</f>
        <v>0</v>
      </c>
      <c r="AV199" s="31">
        <f>'mnt Data'!AH202</f>
        <v>0</v>
      </c>
      <c r="AW199" s="31">
        <f>'mnt Data'!AI202</f>
        <v>0</v>
      </c>
      <c r="AX199" s="31">
        <f>'mnt Data'!AJ202</f>
        <v>0</v>
      </c>
      <c r="AY199" s="31">
        <f>'mnt Data'!AK202</f>
        <v>0</v>
      </c>
    </row>
    <row r="200" spans="1:51" x14ac:dyDescent="0.25">
      <c r="A200">
        <v>199</v>
      </c>
      <c r="B200" s="32">
        <f t="shared" si="36"/>
        <v>0</v>
      </c>
      <c r="C200" s="32">
        <f t="shared" si="37"/>
        <v>0</v>
      </c>
      <c r="D200" s="32" t="str">
        <f t="shared" si="41"/>
        <v>No Gs</v>
      </c>
      <c r="E200" s="32">
        <f t="shared" si="45"/>
        <v>0</v>
      </c>
      <c r="F200" s="32" t="str">
        <f t="shared" si="46"/>
        <v>No Gs</v>
      </c>
      <c r="G200" s="32" t="str">
        <f t="shared" si="47"/>
        <v>No Gs</v>
      </c>
      <c r="H200" s="32" t="str">
        <f t="shared" si="38"/>
        <v>Gs is needed</v>
      </c>
      <c r="I200" s="32" t="str">
        <f t="shared" si="39"/>
        <v>Gs is needed</v>
      </c>
      <c r="J200" s="32" t="str">
        <f t="shared" si="40"/>
        <v>Gs is needed</v>
      </c>
      <c r="K200" s="32" t="str">
        <f t="shared" si="42"/>
        <v>Need Max and Min</v>
      </c>
      <c r="L200" s="32" t="str">
        <f t="shared" si="43"/>
        <v>Need Max and Min</v>
      </c>
      <c r="M200" s="32" t="str">
        <f t="shared" si="44"/>
        <v>Fail</v>
      </c>
      <c r="N200" s="32"/>
      <c r="O200" s="31">
        <f>'mnt Data'!A203</f>
        <v>0</v>
      </c>
      <c r="P200" s="31">
        <f>'mnt Data'!B203</f>
        <v>0</v>
      </c>
      <c r="Q200" s="31">
        <f>'mnt Data'!C203</f>
        <v>0</v>
      </c>
      <c r="R200" s="31">
        <f>'mnt Data'!D203</f>
        <v>0</v>
      </c>
      <c r="S200" s="31">
        <f>'mnt Data'!E203</f>
        <v>0</v>
      </c>
      <c r="T200" s="31">
        <f>'mnt Data'!F203</f>
        <v>0</v>
      </c>
      <c r="U200" s="31">
        <f>'mnt Data'!G203</f>
        <v>0</v>
      </c>
      <c r="V200" s="31">
        <f>'mnt Data'!H203</f>
        <v>0</v>
      </c>
      <c r="W200" s="31">
        <f>'mnt Data'!I203</f>
        <v>0</v>
      </c>
      <c r="X200" s="31">
        <f>'mnt Data'!J203</f>
        <v>0</v>
      </c>
      <c r="Y200" s="31">
        <f>'mnt Data'!K203</f>
        <v>0</v>
      </c>
      <c r="Z200" s="31">
        <f>'mnt Data'!L203</f>
        <v>0</v>
      </c>
      <c r="AA200" s="31">
        <f>'mnt Data'!M203</f>
        <v>0</v>
      </c>
      <c r="AB200" s="31">
        <f>'mnt Data'!N203</f>
        <v>0</v>
      </c>
      <c r="AC200" s="31">
        <f>'mnt Data'!O203</f>
        <v>0</v>
      </c>
      <c r="AD200" s="31">
        <f>'mnt Data'!P203</f>
        <v>0</v>
      </c>
      <c r="AE200" s="31">
        <f>'mnt Data'!Q203</f>
        <v>0</v>
      </c>
      <c r="AF200" s="31">
        <f>'mnt Data'!R203</f>
        <v>0</v>
      </c>
      <c r="AG200" s="31">
        <f>'mnt Data'!S203</f>
        <v>0</v>
      </c>
      <c r="AH200" s="31">
        <f>'mnt Data'!T203</f>
        <v>0</v>
      </c>
      <c r="AI200" s="31">
        <f>'mnt Data'!U203</f>
        <v>0</v>
      </c>
      <c r="AJ200" s="31">
        <f>'mnt Data'!V203</f>
        <v>0</v>
      </c>
      <c r="AK200" s="31">
        <f>'mnt Data'!W203</f>
        <v>0</v>
      </c>
      <c r="AL200" s="31">
        <f>'mnt Data'!X203</f>
        <v>0</v>
      </c>
      <c r="AM200" s="31">
        <f>'mnt Data'!Y203</f>
        <v>0</v>
      </c>
      <c r="AN200" s="31">
        <f>'mnt Data'!Z203</f>
        <v>0</v>
      </c>
      <c r="AO200" s="31">
        <f>'mnt Data'!AA203</f>
        <v>0</v>
      </c>
      <c r="AP200" s="31">
        <f>'mnt Data'!AB203</f>
        <v>0</v>
      </c>
      <c r="AQ200" s="31">
        <f>'mnt Data'!AC203</f>
        <v>0</v>
      </c>
      <c r="AR200" s="31">
        <f>'mnt Data'!AD203</f>
        <v>0</v>
      </c>
      <c r="AS200" s="31">
        <f>'mnt Data'!AE203</f>
        <v>0</v>
      </c>
      <c r="AT200" s="31">
        <f>'mnt Data'!AF203</f>
        <v>0</v>
      </c>
      <c r="AU200" s="31">
        <f>'mnt Data'!AG203</f>
        <v>0</v>
      </c>
      <c r="AV200" s="31">
        <f>'mnt Data'!AH203</f>
        <v>0</v>
      </c>
      <c r="AW200" s="31">
        <f>'mnt Data'!AI203</f>
        <v>0</v>
      </c>
      <c r="AX200" s="31">
        <f>'mnt Data'!AJ203</f>
        <v>0</v>
      </c>
      <c r="AY200" s="31">
        <f>'mnt Data'!AK203</f>
        <v>0</v>
      </c>
    </row>
    <row r="201" spans="1:51" x14ac:dyDescent="0.25">
      <c r="A201">
        <v>200</v>
      </c>
      <c r="B201" s="32">
        <f t="shared" si="36"/>
        <v>0</v>
      </c>
      <c r="C201" s="32">
        <f t="shared" si="37"/>
        <v>0</v>
      </c>
      <c r="D201" s="32" t="str">
        <f t="shared" si="41"/>
        <v>No Gs</v>
      </c>
      <c r="E201" s="32">
        <f t="shared" si="45"/>
        <v>0</v>
      </c>
      <c r="F201" s="32" t="str">
        <f t="shared" si="46"/>
        <v>No Gs</v>
      </c>
      <c r="G201" s="32" t="str">
        <f t="shared" si="47"/>
        <v>No Gs</v>
      </c>
      <c r="H201" s="32" t="str">
        <f t="shared" si="38"/>
        <v>Gs is needed</v>
      </c>
      <c r="I201" s="32" t="str">
        <f t="shared" si="39"/>
        <v>Gs is needed</v>
      </c>
      <c r="J201" s="32" t="str">
        <f t="shared" si="40"/>
        <v>Gs is needed</v>
      </c>
      <c r="K201" s="32" t="str">
        <f t="shared" si="42"/>
        <v>Need Max and Min</v>
      </c>
      <c r="L201" s="32" t="str">
        <f t="shared" si="43"/>
        <v>Need Max and Min</v>
      </c>
      <c r="M201" s="32" t="str">
        <f t="shared" si="44"/>
        <v>Fail</v>
      </c>
      <c r="N201" s="32"/>
      <c r="O201" s="31">
        <f>'mnt Data'!A204</f>
        <v>0</v>
      </c>
      <c r="P201" s="31">
        <f>'mnt Data'!B204</f>
        <v>0</v>
      </c>
      <c r="Q201" s="31">
        <f>'mnt Data'!C204</f>
        <v>0</v>
      </c>
      <c r="R201" s="31">
        <f>'mnt Data'!D204</f>
        <v>0</v>
      </c>
      <c r="S201" s="31">
        <f>'mnt Data'!E204</f>
        <v>0</v>
      </c>
      <c r="T201" s="31">
        <f>'mnt Data'!F204</f>
        <v>0</v>
      </c>
      <c r="U201" s="31">
        <f>'mnt Data'!G204</f>
        <v>0</v>
      </c>
      <c r="V201" s="31">
        <f>'mnt Data'!H204</f>
        <v>0</v>
      </c>
      <c r="W201" s="31">
        <f>'mnt Data'!I204</f>
        <v>0</v>
      </c>
      <c r="X201" s="31">
        <f>'mnt Data'!J204</f>
        <v>0</v>
      </c>
      <c r="Y201" s="31">
        <f>'mnt Data'!K204</f>
        <v>0</v>
      </c>
      <c r="Z201" s="31">
        <f>'mnt Data'!L204</f>
        <v>0</v>
      </c>
      <c r="AA201" s="31">
        <f>'mnt Data'!M204</f>
        <v>0</v>
      </c>
      <c r="AB201" s="31">
        <f>'mnt Data'!N204</f>
        <v>0</v>
      </c>
      <c r="AC201" s="31">
        <f>'mnt Data'!O204</f>
        <v>0</v>
      </c>
      <c r="AD201" s="31">
        <f>'mnt Data'!P204</f>
        <v>0</v>
      </c>
      <c r="AE201" s="31">
        <f>'mnt Data'!Q204</f>
        <v>0</v>
      </c>
      <c r="AF201" s="31">
        <f>'mnt Data'!R204</f>
        <v>0</v>
      </c>
      <c r="AG201" s="31">
        <f>'mnt Data'!S204</f>
        <v>0</v>
      </c>
      <c r="AH201" s="31">
        <f>'mnt Data'!T204</f>
        <v>0</v>
      </c>
      <c r="AI201" s="31">
        <f>'mnt Data'!U204</f>
        <v>0</v>
      </c>
      <c r="AJ201" s="31">
        <f>'mnt Data'!V204</f>
        <v>0</v>
      </c>
      <c r="AK201" s="31">
        <f>'mnt Data'!W204</f>
        <v>0</v>
      </c>
      <c r="AL201" s="31">
        <f>'mnt Data'!X204</f>
        <v>0</v>
      </c>
      <c r="AM201" s="31">
        <f>'mnt Data'!Y204</f>
        <v>0</v>
      </c>
      <c r="AN201" s="31">
        <f>'mnt Data'!Z204</f>
        <v>0</v>
      </c>
      <c r="AO201" s="31">
        <f>'mnt Data'!AA204</f>
        <v>0</v>
      </c>
      <c r="AP201" s="31">
        <f>'mnt Data'!AB204</f>
        <v>0</v>
      </c>
      <c r="AQ201" s="31">
        <f>'mnt Data'!AC204</f>
        <v>0</v>
      </c>
      <c r="AR201" s="31">
        <f>'mnt Data'!AD204</f>
        <v>0</v>
      </c>
      <c r="AS201" s="31">
        <f>'mnt Data'!AE204</f>
        <v>0</v>
      </c>
      <c r="AT201" s="31">
        <f>'mnt Data'!AF204</f>
        <v>0</v>
      </c>
      <c r="AU201" s="31">
        <f>'mnt Data'!AG204</f>
        <v>0</v>
      </c>
      <c r="AV201" s="31">
        <f>'mnt Data'!AH204</f>
        <v>0</v>
      </c>
      <c r="AW201" s="31">
        <f>'mnt Data'!AI204</f>
        <v>0</v>
      </c>
      <c r="AX201" s="31">
        <f>'mnt Data'!AJ204</f>
        <v>0</v>
      </c>
      <c r="AY201" s="31">
        <f>'mnt Data'!AK204</f>
        <v>0</v>
      </c>
    </row>
    <row r="202" spans="1:51" x14ac:dyDescent="0.25">
      <c r="A202">
        <v>201</v>
      </c>
      <c r="B202" s="32">
        <f t="shared" si="36"/>
        <v>0</v>
      </c>
      <c r="C202" s="32">
        <f t="shared" si="37"/>
        <v>0</v>
      </c>
      <c r="D202" s="32" t="str">
        <f t="shared" si="41"/>
        <v>No Gs</v>
      </c>
      <c r="E202" s="32">
        <f t="shared" si="45"/>
        <v>0</v>
      </c>
      <c r="F202" s="32" t="str">
        <f t="shared" si="46"/>
        <v>No Gs</v>
      </c>
      <c r="G202" s="32" t="str">
        <f t="shared" si="47"/>
        <v>No Gs</v>
      </c>
      <c r="H202" s="32" t="str">
        <f t="shared" si="38"/>
        <v>Gs is needed</v>
      </c>
      <c r="I202" s="32" t="str">
        <f t="shared" si="39"/>
        <v>Gs is needed</v>
      </c>
      <c r="J202" s="32" t="str">
        <f t="shared" si="40"/>
        <v>Gs is needed</v>
      </c>
      <c r="K202" s="32" t="str">
        <f t="shared" si="42"/>
        <v>Need Max and Min</v>
      </c>
      <c r="L202" s="32" t="str">
        <f t="shared" si="43"/>
        <v>Need Max and Min</v>
      </c>
      <c r="M202" s="32" t="str">
        <f t="shared" si="44"/>
        <v>Fail</v>
      </c>
      <c r="N202" s="32"/>
      <c r="O202" s="31">
        <f>'mnt Data'!A205</f>
        <v>0</v>
      </c>
      <c r="P202" s="31">
        <f>'mnt Data'!B205</f>
        <v>0</v>
      </c>
      <c r="Q202" s="31">
        <f>'mnt Data'!C205</f>
        <v>0</v>
      </c>
      <c r="R202" s="31">
        <f>'mnt Data'!D205</f>
        <v>0</v>
      </c>
      <c r="S202" s="31">
        <f>'mnt Data'!E205</f>
        <v>0</v>
      </c>
      <c r="T202" s="31">
        <f>'mnt Data'!F205</f>
        <v>0</v>
      </c>
      <c r="U202" s="31">
        <f>'mnt Data'!G205</f>
        <v>0</v>
      </c>
      <c r="V202" s="31">
        <f>'mnt Data'!H205</f>
        <v>0</v>
      </c>
      <c r="W202" s="31">
        <f>'mnt Data'!I205</f>
        <v>0</v>
      </c>
      <c r="X202" s="31">
        <f>'mnt Data'!J205</f>
        <v>0</v>
      </c>
      <c r="Y202" s="31">
        <f>'mnt Data'!K205</f>
        <v>0</v>
      </c>
      <c r="Z202" s="31">
        <f>'mnt Data'!L205</f>
        <v>0</v>
      </c>
      <c r="AA202" s="31">
        <f>'mnt Data'!M205</f>
        <v>0</v>
      </c>
      <c r="AB202" s="31">
        <f>'mnt Data'!N205</f>
        <v>0</v>
      </c>
      <c r="AC202" s="31">
        <f>'mnt Data'!O205</f>
        <v>0</v>
      </c>
      <c r="AD202" s="31">
        <f>'mnt Data'!P205</f>
        <v>0</v>
      </c>
      <c r="AE202" s="31">
        <f>'mnt Data'!Q205</f>
        <v>0</v>
      </c>
      <c r="AF202" s="31">
        <f>'mnt Data'!R205</f>
        <v>0</v>
      </c>
      <c r="AG202" s="31">
        <f>'mnt Data'!S205</f>
        <v>0</v>
      </c>
      <c r="AH202" s="31">
        <f>'mnt Data'!T205</f>
        <v>0</v>
      </c>
      <c r="AI202" s="31">
        <f>'mnt Data'!U205</f>
        <v>0</v>
      </c>
      <c r="AJ202" s="31">
        <f>'mnt Data'!V205</f>
        <v>0</v>
      </c>
      <c r="AK202" s="31">
        <f>'mnt Data'!W205</f>
        <v>0</v>
      </c>
      <c r="AL202" s="31">
        <f>'mnt Data'!X205</f>
        <v>0</v>
      </c>
      <c r="AM202" s="31">
        <f>'mnt Data'!Y205</f>
        <v>0</v>
      </c>
      <c r="AN202" s="31">
        <f>'mnt Data'!Z205</f>
        <v>0</v>
      </c>
      <c r="AO202" s="31">
        <f>'mnt Data'!AA205</f>
        <v>0</v>
      </c>
      <c r="AP202" s="31">
        <f>'mnt Data'!AB205</f>
        <v>0</v>
      </c>
      <c r="AQ202" s="31">
        <f>'mnt Data'!AC205</f>
        <v>0</v>
      </c>
      <c r="AR202" s="31">
        <f>'mnt Data'!AD205</f>
        <v>0</v>
      </c>
      <c r="AS202" s="31">
        <f>'mnt Data'!AE205</f>
        <v>0</v>
      </c>
      <c r="AT202" s="31">
        <f>'mnt Data'!AF205</f>
        <v>0</v>
      </c>
      <c r="AU202" s="31">
        <f>'mnt Data'!AG205</f>
        <v>0</v>
      </c>
      <c r="AV202" s="31">
        <f>'mnt Data'!AH205</f>
        <v>0</v>
      </c>
      <c r="AW202" s="31">
        <f>'mnt Data'!AI205</f>
        <v>0</v>
      </c>
      <c r="AX202" s="31">
        <f>'mnt Data'!AJ205</f>
        <v>0</v>
      </c>
      <c r="AY202" s="31">
        <f>'mnt Data'!AK205</f>
        <v>0</v>
      </c>
    </row>
    <row r="203" spans="1:51" x14ac:dyDescent="0.25">
      <c r="A203">
        <v>202</v>
      </c>
      <c r="B203" s="32">
        <f t="shared" si="36"/>
        <v>0</v>
      </c>
      <c r="C203" s="32">
        <f t="shared" si="37"/>
        <v>0</v>
      </c>
      <c r="D203" s="32" t="str">
        <f t="shared" si="41"/>
        <v>No Gs</v>
      </c>
      <c r="E203" s="32">
        <f t="shared" si="45"/>
        <v>0</v>
      </c>
      <c r="F203" s="32" t="str">
        <f t="shared" si="46"/>
        <v>No Gs</v>
      </c>
      <c r="G203" s="32" t="str">
        <f t="shared" si="47"/>
        <v>No Gs</v>
      </c>
      <c r="H203" s="32" t="str">
        <f t="shared" si="38"/>
        <v>Gs is needed</v>
      </c>
      <c r="I203" s="32" t="str">
        <f t="shared" si="39"/>
        <v>Gs is needed</v>
      </c>
      <c r="J203" s="32" t="str">
        <f t="shared" si="40"/>
        <v>Gs is needed</v>
      </c>
      <c r="K203" s="32" t="str">
        <f t="shared" si="42"/>
        <v>Need Max and Min</v>
      </c>
      <c r="L203" s="32" t="str">
        <f t="shared" si="43"/>
        <v>Need Max and Min</v>
      </c>
      <c r="M203" s="32" t="str">
        <f t="shared" si="44"/>
        <v>Fail</v>
      </c>
      <c r="N203" s="32"/>
      <c r="O203" s="31">
        <f>'mnt Data'!A206</f>
        <v>0</v>
      </c>
      <c r="P203" s="31">
        <f>'mnt Data'!B206</f>
        <v>0</v>
      </c>
      <c r="Q203" s="31">
        <f>'mnt Data'!C206</f>
        <v>0</v>
      </c>
      <c r="R203" s="31">
        <f>'mnt Data'!D206</f>
        <v>0</v>
      </c>
      <c r="S203" s="31">
        <f>'mnt Data'!E206</f>
        <v>0</v>
      </c>
      <c r="T203" s="31">
        <f>'mnt Data'!F206</f>
        <v>0</v>
      </c>
      <c r="U203" s="31">
        <f>'mnt Data'!G206</f>
        <v>0</v>
      </c>
      <c r="V203" s="31">
        <f>'mnt Data'!H206</f>
        <v>0</v>
      </c>
      <c r="W203" s="31">
        <f>'mnt Data'!I206</f>
        <v>0</v>
      </c>
      <c r="X203" s="31">
        <f>'mnt Data'!J206</f>
        <v>0</v>
      </c>
      <c r="Y203" s="31">
        <f>'mnt Data'!K206</f>
        <v>0</v>
      </c>
      <c r="Z203" s="31">
        <f>'mnt Data'!L206</f>
        <v>0</v>
      </c>
      <c r="AA203" s="31">
        <f>'mnt Data'!M206</f>
        <v>0</v>
      </c>
      <c r="AB203" s="31">
        <f>'mnt Data'!N206</f>
        <v>0</v>
      </c>
      <c r="AC203" s="31">
        <f>'mnt Data'!O206</f>
        <v>0</v>
      </c>
      <c r="AD203" s="31">
        <f>'mnt Data'!P206</f>
        <v>0</v>
      </c>
      <c r="AE203" s="31">
        <f>'mnt Data'!Q206</f>
        <v>0</v>
      </c>
      <c r="AF203" s="31">
        <f>'mnt Data'!R206</f>
        <v>0</v>
      </c>
      <c r="AG203" s="31">
        <f>'mnt Data'!S206</f>
        <v>0</v>
      </c>
      <c r="AH203" s="31">
        <f>'mnt Data'!T206</f>
        <v>0</v>
      </c>
      <c r="AI203" s="31">
        <f>'mnt Data'!U206</f>
        <v>0</v>
      </c>
      <c r="AJ203" s="31">
        <f>'mnt Data'!V206</f>
        <v>0</v>
      </c>
      <c r="AK203" s="31">
        <f>'mnt Data'!W206</f>
        <v>0</v>
      </c>
      <c r="AL203" s="31">
        <f>'mnt Data'!X206</f>
        <v>0</v>
      </c>
      <c r="AM203" s="31">
        <f>'mnt Data'!Y206</f>
        <v>0</v>
      </c>
      <c r="AN203" s="31">
        <f>'mnt Data'!Z206</f>
        <v>0</v>
      </c>
      <c r="AO203" s="31">
        <f>'mnt Data'!AA206</f>
        <v>0</v>
      </c>
      <c r="AP203" s="31">
        <f>'mnt Data'!AB206</f>
        <v>0</v>
      </c>
      <c r="AQ203" s="31">
        <f>'mnt Data'!AC206</f>
        <v>0</v>
      </c>
      <c r="AR203" s="31">
        <f>'mnt Data'!AD206</f>
        <v>0</v>
      </c>
      <c r="AS203" s="31">
        <f>'mnt Data'!AE206</f>
        <v>0</v>
      </c>
      <c r="AT203" s="31">
        <f>'mnt Data'!AF206</f>
        <v>0</v>
      </c>
      <c r="AU203" s="31">
        <f>'mnt Data'!AG206</f>
        <v>0</v>
      </c>
      <c r="AV203" s="31">
        <f>'mnt Data'!AH206</f>
        <v>0</v>
      </c>
      <c r="AW203" s="31">
        <f>'mnt Data'!AI206</f>
        <v>0</v>
      </c>
      <c r="AX203" s="31">
        <f>'mnt Data'!AJ206</f>
        <v>0</v>
      </c>
      <c r="AY203" s="31">
        <f>'mnt Data'!AK206</f>
        <v>0</v>
      </c>
    </row>
    <row r="204" spans="1:51" x14ac:dyDescent="0.25">
      <c r="A204">
        <v>203</v>
      </c>
      <c r="B204" s="32">
        <f t="shared" si="36"/>
        <v>0</v>
      </c>
      <c r="C204" s="32">
        <f t="shared" si="37"/>
        <v>0</v>
      </c>
      <c r="D204" s="32" t="str">
        <f t="shared" si="41"/>
        <v>No Gs</v>
      </c>
      <c r="E204" s="32">
        <f t="shared" si="45"/>
        <v>0</v>
      </c>
      <c r="F204" s="32" t="str">
        <f t="shared" si="46"/>
        <v>No Gs</v>
      </c>
      <c r="G204" s="32" t="str">
        <f t="shared" si="47"/>
        <v>No Gs</v>
      </c>
      <c r="H204" s="32" t="str">
        <f t="shared" si="38"/>
        <v>Gs is needed</v>
      </c>
      <c r="I204" s="32" t="str">
        <f t="shared" si="39"/>
        <v>Gs is needed</v>
      </c>
      <c r="J204" s="32" t="str">
        <f t="shared" si="40"/>
        <v>Gs is needed</v>
      </c>
      <c r="K204" s="32" t="str">
        <f t="shared" si="42"/>
        <v>Need Max and Min</v>
      </c>
      <c r="L204" s="32" t="str">
        <f t="shared" si="43"/>
        <v>Need Max and Min</v>
      </c>
      <c r="M204" s="32" t="str">
        <f t="shared" si="44"/>
        <v>Fail</v>
      </c>
      <c r="N204" s="32"/>
      <c r="O204" s="31">
        <f>'mnt Data'!A207</f>
        <v>0</v>
      </c>
      <c r="P204" s="31">
        <f>'mnt Data'!B207</f>
        <v>0</v>
      </c>
      <c r="Q204" s="31">
        <f>'mnt Data'!C207</f>
        <v>0</v>
      </c>
      <c r="R204" s="31">
        <f>'mnt Data'!D207</f>
        <v>0</v>
      </c>
      <c r="S204" s="31">
        <f>'mnt Data'!E207</f>
        <v>0</v>
      </c>
      <c r="T204" s="31">
        <f>'mnt Data'!F207</f>
        <v>0</v>
      </c>
      <c r="U204" s="31">
        <f>'mnt Data'!G207</f>
        <v>0</v>
      </c>
      <c r="V204" s="31">
        <f>'mnt Data'!H207</f>
        <v>0</v>
      </c>
      <c r="W204" s="31">
        <f>'mnt Data'!I207</f>
        <v>0</v>
      </c>
      <c r="X204" s="31">
        <f>'mnt Data'!J207</f>
        <v>0</v>
      </c>
      <c r="Y204" s="31">
        <f>'mnt Data'!K207</f>
        <v>0</v>
      </c>
      <c r="Z204" s="31">
        <f>'mnt Data'!L207</f>
        <v>0</v>
      </c>
      <c r="AA204" s="31">
        <f>'mnt Data'!M207</f>
        <v>0</v>
      </c>
      <c r="AB204" s="31">
        <f>'mnt Data'!N207</f>
        <v>0</v>
      </c>
      <c r="AC204" s="31">
        <f>'mnt Data'!O207</f>
        <v>0</v>
      </c>
      <c r="AD204" s="31">
        <f>'mnt Data'!P207</f>
        <v>0</v>
      </c>
      <c r="AE204" s="31">
        <f>'mnt Data'!Q207</f>
        <v>0</v>
      </c>
      <c r="AF204" s="31">
        <f>'mnt Data'!R207</f>
        <v>0</v>
      </c>
      <c r="AG204" s="31">
        <f>'mnt Data'!S207</f>
        <v>0</v>
      </c>
      <c r="AH204" s="31">
        <f>'mnt Data'!T207</f>
        <v>0</v>
      </c>
      <c r="AI204" s="31">
        <f>'mnt Data'!U207</f>
        <v>0</v>
      </c>
      <c r="AJ204" s="31">
        <f>'mnt Data'!V207</f>
        <v>0</v>
      </c>
      <c r="AK204" s="31">
        <f>'mnt Data'!W207</f>
        <v>0</v>
      </c>
      <c r="AL204" s="31">
        <f>'mnt Data'!X207</f>
        <v>0</v>
      </c>
      <c r="AM204" s="31">
        <f>'mnt Data'!Y207</f>
        <v>0</v>
      </c>
      <c r="AN204" s="31">
        <f>'mnt Data'!Z207</f>
        <v>0</v>
      </c>
      <c r="AO204" s="31">
        <f>'mnt Data'!AA207</f>
        <v>0</v>
      </c>
      <c r="AP204" s="31">
        <f>'mnt Data'!AB207</f>
        <v>0</v>
      </c>
      <c r="AQ204" s="31">
        <f>'mnt Data'!AC207</f>
        <v>0</v>
      </c>
      <c r="AR204" s="31">
        <f>'mnt Data'!AD207</f>
        <v>0</v>
      </c>
      <c r="AS204" s="31">
        <f>'mnt Data'!AE207</f>
        <v>0</v>
      </c>
      <c r="AT204" s="31">
        <f>'mnt Data'!AF207</f>
        <v>0</v>
      </c>
      <c r="AU204" s="31">
        <f>'mnt Data'!AG207</f>
        <v>0</v>
      </c>
      <c r="AV204" s="31">
        <f>'mnt Data'!AH207</f>
        <v>0</v>
      </c>
      <c r="AW204" s="31">
        <f>'mnt Data'!AI207</f>
        <v>0</v>
      </c>
      <c r="AX204" s="31">
        <f>'mnt Data'!AJ207</f>
        <v>0</v>
      </c>
      <c r="AY204" s="31">
        <f>'mnt Data'!AK207</f>
        <v>0</v>
      </c>
    </row>
    <row r="205" spans="1:51" x14ac:dyDescent="0.25">
      <c r="A205">
        <v>204</v>
      </c>
      <c r="B205" s="32">
        <f t="shared" si="36"/>
        <v>0</v>
      </c>
      <c r="C205" s="32">
        <f t="shared" si="37"/>
        <v>0</v>
      </c>
      <c r="D205" s="32" t="str">
        <f t="shared" si="41"/>
        <v>No Gs</v>
      </c>
      <c r="E205" s="32">
        <f t="shared" si="45"/>
        <v>0</v>
      </c>
      <c r="F205" s="32" t="str">
        <f t="shared" si="46"/>
        <v>No Gs</v>
      </c>
      <c r="G205" s="32" t="str">
        <f t="shared" si="47"/>
        <v>No Gs</v>
      </c>
      <c r="H205" s="32" t="str">
        <f t="shared" si="38"/>
        <v>Gs is needed</v>
      </c>
      <c r="I205" s="32" t="str">
        <f t="shared" si="39"/>
        <v>Gs is needed</v>
      </c>
      <c r="J205" s="32" t="str">
        <f t="shared" si="40"/>
        <v>Gs is needed</v>
      </c>
      <c r="K205" s="32" t="str">
        <f t="shared" si="42"/>
        <v>Need Max and Min</v>
      </c>
      <c r="L205" s="32" t="str">
        <f t="shared" si="43"/>
        <v>Need Max and Min</v>
      </c>
      <c r="M205" s="32" t="str">
        <f t="shared" si="44"/>
        <v>Fail</v>
      </c>
      <c r="N205" s="32"/>
      <c r="O205" s="31">
        <f>'mnt Data'!A208</f>
        <v>0</v>
      </c>
      <c r="P205" s="31">
        <f>'mnt Data'!B208</f>
        <v>0</v>
      </c>
      <c r="Q205" s="31">
        <f>'mnt Data'!C208</f>
        <v>0</v>
      </c>
      <c r="R205" s="31">
        <f>'mnt Data'!D208</f>
        <v>0</v>
      </c>
      <c r="S205" s="31">
        <f>'mnt Data'!E208</f>
        <v>0</v>
      </c>
      <c r="T205" s="31">
        <f>'mnt Data'!F208</f>
        <v>0</v>
      </c>
      <c r="U205" s="31">
        <f>'mnt Data'!G208</f>
        <v>0</v>
      </c>
      <c r="V205" s="31">
        <f>'mnt Data'!H208</f>
        <v>0</v>
      </c>
      <c r="W205" s="31">
        <f>'mnt Data'!I208</f>
        <v>0</v>
      </c>
      <c r="X205" s="31">
        <f>'mnt Data'!J208</f>
        <v>0</v>
      </c>
      <c r="Y205" s="31">
        <f>'mnt Data'!K208</f>
        <v>0</v>
      </c>
      <c r="Z205" s="31">
        <f>'mnt Data'!L208</f>
        <v>0</v>
      </c>
      <c r="AA205" s="31">
        <f>'mnt Data'!M208</f>
        <v>0</v>
      </c>
      <c r="AB205" s="31">
        <f>'mnt Data'!N208</f>
        <v>0</v>
      </c>
      <c r="AC205" s="31">
        <f>'mnt Data'!O208</f>
        <v>0</v>
      </c>
      <c r="AD205" s="31">
        <f>'mnt Data'!P208</f>
        <v>0</v>
      </c>
      <c r="AE205" s="31">
        <f>'mnt Data'!Q208</f>
        <v>0</v>
      </c>
      <c r="AF205" s="31">
        <f>'mnt Data'!R208</f>
        <v>0</v>
      </c>
      <c r="AG205" s="31">
        <f>'mnt Data'!S208</f>
        <v>0</v>
      </c>
      <c r="AH205" s="31">
        <f>'mnt Data'!T208</f>
        <v>0</v>
      </c>
      <c r="AI205" s="31">
        <f>'mnt Data'!U208</f>
        <v>0</v>
      </c>
      <c r="AJ205" s="31">
        <f>'mnt Data'!V208</f>
        <v>0</v>
      </c>
      <c r="AK205" s="31">
        <f>'mnt Data'!W208</f>
        <v>0</v>
      </c>
      <c r="AL205" s="31">
        <f>'mnt Data'!X208</f>
        <v>0</v>
      </c>
      <c r="AM205" s="31">
        <f>'mnt Data'!Y208</f>
        <v>0</v>
      </c>
      <c r="AN205" s="31">
        <f>'mnt Data'!Z208</f>
        <v>0</v>
      </c>
      <c r="AO205" s="31">
        <f>'mnt Data'!AA208</f>
        <v>0</v>
      </c>
      <c r="AP205" s="31">
        <f>'mnt Data'!AB208</f>
        <v>0</v>
      </c>
      <c r="AQ205" s="31">
        <f>'mnt Data'!AC208</f>
        <v>0</v>
      </c>
      <c r="AR205" s="31">
        <f>'mnt Data'!AD208</f>
        <v>0</v>
      </c>
      <c r="AS205" s="31">
        <f>'mnt Data'!AE208</f>
        <v>0</v>
      </c>
      <c r="AT205" s="31">
        <f>'mnt Data'!AF208</f>
        <v>0</v>
      </c>
      <c r="AU205" s="31">
        <f>'mnt Data'!AG208</f>
        <v>0</v>
      </c>
      <c r="AV205" s="31">
        <f>'mnt Data'!AH208</f>
        <v>0</v>
      </c>
      <c r="AW205" s="31">
        <f>'mnt Data'!AI208</f>
        <v>0</v>
      </c>
      <c r="AX205" s="31">
        <f>'mnt Data'!AJ208</f>
        <v>0</v>
      </c>
      <c r="AY205" s="31">
        <f>'mnt Data'!AK208</f>
        <v>0</v>
      </c>
    </row>
    <row r="206" spans="1:51" x14ac:dyDescent="0.25">
      <c r="A206">
        <v>205</v>
      </c>
      <c r="B206" s="32">
        <f t="shared" si="36"/>
        <v>0</v>
      </c>
      <c r="C206" s="32">
        <f t="shared" si="37"/>
        <v>0</v>
      </c>
      <c r="D206" s="32" t="str">
        <f t="shared" si="41"/>
        <v>No Gs</v>
      </c>
      <c r="E206" s="32">
        <f t="shared" si="45"/>
        <v>0</v>
      </c>
      <c r="F206" s="32" t="str">
        <f t="shared" si="46"/>
        <v>No Gs</v>
      </c>
      <c r="G206" s="32" t="str">
        <f t="shared" si="47"/>
        <v>No Gs</v>
      </c>
      <c r="H206" s="32" t="str">
        <f t="shared" si="38"/>
        <v>Gs is needed</v>
      </c>
      <c r="I206" s="32" t="str">
        <f t="shared" si="39"/>
        <v>Gs is needed</v>
      </c>
      <c r="J206" s="32" t="str">
        <f t="shared" si="40"/>
        <v>Gs is needed</v>
      </c>
      <c r="K206" s="32" t="str">
        <f t="shared" si="42"/>
        <v>Need Max and Min</v>
      </c>
      <c r="L206" s="32" t="str">
        <f t="shared" si="43"/>
        <v>Need Max and Min</v>
      </c>
      <c r="M206" s="32" t="str">
        <f t="shared" si="44"/>
        <v>Fail</v>
      </c>
      <c r="N206" s="32"/>
      <c r="O206" s="31">
        <f>'mnt Data'!A209</f>
        <v>0</v>
      </c>
      <c r="P206" s="31">
        <f>'mnt Data'!B209</f>
        <v>0</v>
      </c>
      <c r="Q206" s="31">
        <f>'mnt Data'!C209</f>
        <v>0</v>
      </c>
      <c r="R206" s="31">
        <f>'mnt Data'!D209</f>
        <v>0</v>
      </c>
      <c r="S206" s="31">
        <f>'mnt Data'!E209</f>
        <v>0</v>
      </c>
      <c r="T206" s="31">
        <f>'mnt Data'!F209</f>
        <v>0</v>
      </c>
      <c r="U206" s="31">
        <f>'mnt Data'!G209</f>
        <v>0</v>
      </c>
      <c r="V206" s="31">
        <f>'mnt Data'!H209</f>
        <v>0</v>
      </c>
      <c r="W206" s="31">
        <f>'mnt Data'!I209</f>
        <v>0</v>
      </c>
      <c r="X206" s="31">
        <f>'mnt Data'!J209</f>
        <v>0</v>
      </c>
      <c r="Y206" s="31">
        <f>'mnt Data'!K209</f>
        <v>0</v>
      </c>
      <c r="Z206" s="31">
        <f>'mnt Data'!L209</f>
        <v>0</v>
      </c>
      <c r="AA206" s="31">
        <f>'mnt Data'!M209</f>
        <v>0</v>
      </c>
      <c r="AB206" s="31">
        <f>'mnt Data'!N209</f>
        <v>0</v>
      </c>
      <c r="AC206" s="31">
        <f>'mnt Data'!O209</f>
        <v>0</v>
      </c>
      <c r="AD206" s="31">
        <f>'mnt Data'!P209</f>
        <v>0</v>
      </c>
      <c r="AE206" s="31">
        <f>'mnt Data'!Q209</f>
        <v>0</v>
      </c>
      <c r="AF206" s="31">
        <f>'mnt Data'!R209</f>
        <v>0</v>
      </c>
      <c r="AG206" s="31">
        <f>'mnt Data'!S209</f>
        <v>0</v>
      </c>
      <c r="AH206" s="31">
        <f>'mnt Data'!T209</f>
        <v>0</v>
      </c>
      <c r="AI206" s="31">
        <f>'mnt Data'!U209</f>
        <v>0</v>
      </c>
      <c r="AJ206" s="31">
        <f>'mnt Data'!V209</f>
        <v>0</v>
      </c>
      <c r="AK206" s="31">
        <f>'mnt Data'!W209</f>
        <v>0</v>
      </c>
      <c r="AL206" s="31">
        <f>'mnt Data'!X209</f>
        <v>0</v>
      </c>
      <c r="AM206" s="31">
        <f>'mnt Data'!Y209</f>
        <v>0</v>
      </c>
      <c r="AN206" s="31">
        <f>'mnt Data'!Z209</f>
        <v>0</v>
      </c>
      <c r="AO206" s="31">
        <f>'mnt Data'!AA209</f>
        <v>0</v>
      </c>
      <c r="AP206" s="31">
        <f>'mnt Data'!AB209</f>
        <v>0</v>
      </c>
      <c r="AQ206" s="31">
        <f>'mnt Data'!AC209</f>
        <v>0</v>
      </c>
      <c r="AR206" s="31">
        <f>'mnt Data'!AD209</f>
        <v>0</v>
      </c>
      <c r="AS206" s="31">
        <f>'mnt Data'!AE209</f>
        <v>0</v>
      </c>
      <c r="AT206" s="31">
        <f>'mnt Data'!AF209</f>
        <v>0</v>
      </c>
      <c r="AU206" s="31">
        <f>'mnt Data'!AG209</f>
        <v>0</v>
      </c>
      <c r="AV206" s="31">
        <f>'mnt Data'!AH209</f>
        <v>0</v>
      </c>
      <c r="AW206" s="31">
        <f>'mnt Data'!AI209</f>
        <v>0</v>
      </c>
      <c r="AX206" s="31">
        <f>'mnt Data'!AJ209</f>
        <v>0</v>
      </c>
      <c r="AY206" s="31">
        <f>'mnt Data'!AK209</f>
        <v>0</v>
      </c>
    </row>
    <row r="207" spans="1:51" x14ac:dyDescent="0.25">
      <c r="A207">
        <v>206</v>
      </c>
      <c r="B207" s="32">
        <f t="shared" si="36"/>
        <v>0</v>
      </c>
      <c r="C207" s="32">
        <f t="shared" si="37"/>
        <v>0</v>
      </c>
      <c r="D207" s="32" t="str">
        <f t="shared" si="41"/>
        <v>No Gs</v>
      </c>
      <c r="E207" s="32">
        <f t="shared" si="45"/>
        <v>0</v>
      </c>
      <c r="F207" s="32" t="str">
        <f t="shared" si="46"/>
        <v>No Gs</v>
      </c>
      <c r="G207" s="32" t="str">
        <f t="shared" si="47"/>
        <v>No Gs</v>
      </c>
      <c r="H207" s="32" t="str">
        <f t="shared" si="38"/>
        <v>Gs is needed</v>
      </c>
      <c r="I207" s="32" t="str">
        <f t="shared" si="39"/>
        <v>Gs is needed</v>
      </c>
      <c r="J207" s="32" t="str">
        <f t="shared" si="40"/>
        <v>Gs is needed</v>
      </c>
      <c r="K207" s="32" t="str">
        <f t="shared" si="42"/>
        <v>Need Max and Min</v>
      </c>
      <c r="L207" s="32" t="str">
        <f t="shared" si="43"/>
        <v>Need Max and Min</v>
      </c>
      <c r="M207" s="32" t="str">
        <f t="shared" si="44"/>
        <v>Fail</v>
      </c>
      <c r="N207" s="32"/>
      <c r="O207" s="31">
        <f>'mnt Data'!A210</f>
        <v>0</v>
      </c>
      <c r="P207" s="31">
        <f>'mnt Data'!B210</f>
        <v>0</v>
      </c>
      <c r="Q207" s="31">
        <f>'mnt Data'!C210</f>
        <v>0</v>
      </c>
      <c r="R207" s="31">
        <f>'mnt Data'!D210</f>
        <v>0</v>
      </c>
      <c r="S207" s="31">
        <f>'mnt Data'!E210</f>
        <v>0</v>
      </c>
      <c r="T207" s="31">
        <f>'mnt Data'!F210</f>
        <v>0</v>
      </c>
      <c r="U207" s="31">
        <f>'mnt Data'!G210</f>
        <v>0</v>
      </c>
      <c r="V207" s="31">
        <f>'mnt Data'!H210</f>
        <v>0</v>
      </c>
      <c r="W207" s="31">
        <f>'mnt Data'!I210</f>
        <v>0</v>
      </c>
      <c r="X207" s="31">
        <f>'mnt Data'!J210</f>
        <v>0</v>
      </c>
      <c r="Y207" s="31">
        <f>'mnt Data'!K210</f>
        <v>0</v>
      </c>
      <c r="Z207" s="31">
        <f>'mnt Data'!L210</f>
        <v>0</v>
      </c>
      <c r="AA207" s="31">
        <f>'mnt Data'!M210</f>
        <v>0</v>
      </c>
      <c r="AB207" s="31">
        <f>'mnt Data'!N210</f>
        <v>0</v>
      </c>
      <c r="AC207" s="31">
        <f>'mnt Data'!O210</f>
        <v>0</v>
      </c>
      <c r="AD207" s="31">
        <f>'mnt Data'!P210</f>
        <v>0</v>
      </c>
      <c r="AE207" s="31">
        <f>'mnt Data'!Q210</f>
        <v>0</v>
      </c>
      <c r="AF207" s="31">
        <f>'mnt Data'!R210</f>
        <v>0</v>
      </c>
      <c r="AG207" s="31">
        <f>'mnt Data'!S210</f>
        <v>0</v>
      </c>
      <c r="AH207" s="31">
        <f>'mnt Data'!T210</f>
        <v>0</v>
      </c>
      <c r="AI207" s="31">
        <f>'mnt Data'!U210</f>
        <v>0</v>
      </c>
      <c r="AJ207" s="31">
        <f>'mnt Data'!V210</f>
        <v>0</v>
      </c>
      <c r="AK207" s="31">
        <f>'mnt Data'!W210</f>
        <v>0</v>
      </c>
      <c r="AL207" s="31">
        <f>'mnt Data'!X210</f>
        <v>0</v>
      </c>
      <c r="AM207" s="31">
        <f>'mnt Data'!Y210</f>
        <v>0</v>
      </c>
      <c r="AN207" s="31">
        <f>'mnt Data'!Z210</f>
        <v>0</v>
      </c>
      <c r="AO207" s="31">
        <f>'mnt Data'!AA210</f>
        <v>0</v>
      </c>
      <c r="AP207" s="31">
        <f>'mnt Data'!AB210</f>
        <v>0</v>
      </c>
      <c r="AQ207" s="31">
        <f>'mnt Data'!AC210</f>
        <v>0</v>
      </c>
      <c r="AR207" s="31">
        <f>'mnt Data'!AD210</f>
        <v>0</v>
      </c>
      <c r="AS207" s="31">
        <f>'mnt Data'!AE210</f>
        <v>0</v>
      </c>
      <c r="AT207" s="31">
        <f>'mnt Data'!AF210</f>
        <v>0</v>
      </c>
      <c r="AU207" s="31">
        <f>'mnt Data'!AG210</f>
        <v>0</v>
      </c>
      <c r="AV207" s="31">
        <f>'mnt Data'!AH210</f>
        <v>0</v>
      </c>
      <c r="AW207" s="31">
        <f>'mnt Data'!AI210</f>
        <v>0</v>
      </c>
      <c r="AX207" s="31">
        <f>'mnt Data'!AJ210</f>
        <v>0</v>
      </c>
      <c r="AY207" s="31">
        <f>'mnt Data'!AK210</f>
        <v>0</v>
      </c>
    </row>
    <row r="208" spans="1:51" x14ac:dyDescent="0.25">
      <c r="A208">
        <v>207</v>
      </c>
      <c r="B208" s="32">
        <f t="shared" si="36"/>
        <v>0</v>
      </c>
      <c r="C208" s="32">
        <f t="shared" si="37"/>
        <v>0</v>
      </c>
      <c r="D208" s="32" t="str">
        <f t="shared" si="41"/>
        <v>No Gs</v>
      </c>
      <c r="E208" s="32">
        <f t="shared" si="45"/>
        <v>0</v>
      </c>
      <c r="F208" s="32" t="str">
        <f t="shared" si="46"/>
        <v>No Gs</v>
      </c>
      <c r="G208" s="32" t="str">
        <f t="shared" si="47"/>
        <v>No Gs</v>
      </c>
      <c r="H208" s="32" t="str">
        <f t="shared" si="38"/>
        <v>Gs is needed</v>
      </c>
      <c r="I208" s="32" t="str">
        <f t="shared" si="39"/>
        <v>Gs is needed</v>
      </c>
      <c r="J208" s="32" t="str">
        <f t="shared" si="40"/>
        <v>Gs is needed</v>
      </c>
      <c r="K208" s="32" t="str">
        <f t="shared" si="42"/>
        <v>Need Max and Min</v>
      </c>
      <c r="L208" s="32" t="str">
        <f t="shared" si="43"/>
        <v>Need Max and Min</v>
      </c>
      <c r="M208" s="32" t="str">
        <f t="shared" si="44"/>
        <v>Fail</v>
      </c>
      <c r="N208" s="32"/>
      <c r="O208" s="31">
        <f>'mnt Data'!A211</f>
        <v>0</v>
      </c>
      <c r="P208" s="31">
        <f>'mnt Data'!B211</f>
        <v>0</v>
      </c>
      <c r="Q208" s="31">
        <f>'mnt Data'!C211</f>
        <v>0</v>
      </c>
      <c r="R208" s="31">
        <f>'mnt Data'!D211</f>
        <v>0</v>
      </c>
      <c r="S208" s="31">
        <f>'mnt Data'!E211</f>
        <v>0</v>
      </c>
      <c r="T208" s="31">
        <f>'mnt Data'!F211</f>
        <v>0</v>
      </c>
      <c r="U208" s="31">
        <f>'mnt Data'!G211</f>
        <v>0</v>
      </c>
      <c r="V208" s="31">
        <f>'mnt Data'!H211</f>
        <v>0</v>
      </c>
      <c r="W208" s="31">
        <f>'mnt Data'!I211</f>
        <v>0</v>
      </c>
      <c r="X208" s="31">
        <f>'mnt Data'!J211</f>
        <v>0</v>
      </c>
      <c r="Y208" s="31">
        <f>'mnt Data'!K211</f>
        <v>0</v>
      </c>
      <c r="Z208" s="31">
        <f>'mnt Data'!L211</f>
        <v>0</v>
      </c>
      <c r="AA208" s="31">
        <f>'mnt Data'!M211</f>
        <v>0</v>
      </c>
      <c r="AB208" s="31">
        <f>'mnt Data'!N211</f>
        <v>0</v>
      </c>
      <c r="AC208" s="31">
        <f>'mnt Data'!O211</f>
        <v>0</v>
      </c>
      <c r="AD208" s="31">
        <f>'mnt Data'!P211</f>
        <v>0</v>
      </c>
      <c r="AE208" s="31">
        <f>'mnt Data'!Q211</f>
        <v>0</v>
      </c>
      <c r="AF208" s="31">
        <f>'mnt Data'!R211</f>
        <v>0</v>
      </c>
      <c r="AG208" s="31">
        <f>'mnt Data'!S211</f>
        <v>0</v>
      </c>
      <c r="AH208" s="31">
        <f>'mnt Data'!T211</f>
        <v>0</v>
      </c>
      <c r="AI208" s="31">
        <f>'mnt Data'!U211</f>
        <v>0</v>
      </c>
      <c r="AJ208" s="31">
        <f>'mnt Data'!V211</f>
        <v>0</v>
      </c>
      <c r="AK208" s="31">
        <f>'mnt Data'!W211</f>
        <v>0</v>
      </c>
      <c r="AL208" s="31">
        <f>'mnt Data'!X211</f>
        <v>0</v>
      </c>
      <c r="AM208" s="31">
        <f>'mnt Data'!Y211</f>
        <v>0</v>
      </c>
      <c r="AN208" s="31">
        <f>'mnt Data'!Z211</f>
        <v>0</v>
      </c>
      <c r="AO208" s="31">
        <f>'mnt Data'!AA211</f>
        <v>0</v>
      </c>
      <c r="AP208" s="31">
        <f>'mnt Data'!AB211</f>
        <v>0</v>
      </c>
      <c r="AQ208" s="31">
        <f>'mnt Data'!AC211</f>
        <v>0</v>
      </c>
      <c r="AR208" s="31">
        <f>'mnt Data'!AD211</f>
        <v>0</v>
      </c>
      <c r="AS208" s="31">
        <f>'mnt Data'!AE211</f>
        <v>0</v>
      </c>
      <c r="AT208" s="31">
        <f>'mnt Data'!AF211</f>
        <v>0</v>
      </c>
      <c r="AU208" s="31">
        <f>'mnt Data'!AG211</f>
        <v>0</v>
      </c>
      <c r="AV208" s="31">
        <f>'mnt Data'!AH211</f>
        <v>0</v>
      </c>
      <c r="AW208" s="31">
        <f>'mnt Data'!AI211</f>
        <v>0</v>
      </c>
      <c r="AX208" s="31">
        <f>'mnt Data'!AJ211</f>
        <v>0</v>
      </c>
      <c r="AY208" s="31">
        <f>'mnt Data'!AK211</f>
        <v>0</v>
      </c>
    </row>
    <row r="209" spans="1:51" x14ac:dyDescent="0.25">
      <c r="A209">
        <v>208</v>
      </c>
      <c r="B209" s="32">
        <f t="shared" si="36"/>
        <v>0</v>
      </c>
      <c r="C209" s="32">
        <f t="shared" si="37"/>
        <v>0</v>
      </c>
      <c r="D209" s="32" t="str">
        <f t="shared" si="41"/>
        <v>No Gs</v>
      </c>
      <c r="E209" s="32">
        <f t="shared" si="45"/>
        <v>0</v>
      </c>
      <c r="F209" s="32" t="str">
        <f t="shared" si="46"/>
        <v>No Gs</v>
      </c>
      <c r="G209" s="32" t="str">
        <f t="shared" si="47"/>
        <v>No Gs</v>
      </c>
      <c r="H209" s="32" t="str">
        <f t="shared" si="38"/>
        <v>Gs is needed</v>
      </c>
      <c r="I209" s="32" t="str">
        <f t="shared" si="39"/>
        <v>Gs is needed</v>
      </c>
      <c r="J209" s="32" t="str">
        <f t="shared" si="40"/>
        <v>Gs is needed</v>
      </c>
      <c r="K209" s="32" t="str">
        <f t="shared" si="42"/>
        <v>Need Max and Min</v>
      </c>
      <c r="L209" s="32" t="str">
        <f t="shared" si="43"/>
        <v>Need Max and Min</v>
      </c>
      <c r="M209" s="32" t="str">
        <f t="shared" si="44"/>
        <v>Fail</v>
      </c>
      <c r="N209" s="32"/>
      <c r="O209" s="31">
        <f>'mnt Data'!A212</f>
        <v>0</v>
      </c>
      <c r="P209" s="31">
        <f>'mnt Data'!B212</f>
        <v>0</v>
      </c>
      <c r="Q209" s="31">
        <f>'mnt Data'!C212</f>
        <v>0</v>
      </c>
      <c r="R209" s="31">
        <f>'mnt Data'!D212</f>
        <v>0</v>
      </c>
      <c r="S209" s="31">
        <f>'mnt Data'!E212</f>
        <v>0</v>
      </c>
      <c r="T209" s="31">
        <f>'mnt Data'!F212</f>
        <v>0</v>
      </c>
      <c r="U209" s="31">
        <f>'mnt Data'!G212</f>
        <v>0</v>
      </c>
      <c r="V209" s="31">
        <f>'mnt Data'!H212</f>
        <v>0</v>
      </c>
      <c r="W209" s="31">
        <f>'mnt Data'!I212</f>
        <v>0</v>
      </c>
      <c r="X209" s="31">
        <f>'mnt Data'!J212</f>
        <v>0</v>
      </c>
      <c r="Y209" s="31">
        <f>'mnt Data'!K212</f>
        <v>0</v>
      </c>
      <c r="Z209" s="31">
        <f>'mnt Data'!L212</f>
        <v>0</v>
      </c>
      <c r="AA209" s="31">
        <f>'mnt Data'!M212</f>
        <v>0</v>
      </c>
      <c r="AB209" s="31">
        <f>'mnt Data'!N212</f>
        <v>0</v>
      </c>
      <c r="AC209" s="31">
        <f>'mnt Data'!O212</f>
        <v>0</v>
      </c>
      <c r="AD209" s="31">
        <f>'mnt Data'!P212</f>
        <v>0</v>
      </c>
      <c r="AE209" s="31">
        <f>'mnt Data'!Q212</f>
        <v>0</v>
      </c>
      <c r="AF209" s="31">
        <f>'mnt Data'!R212</f>
        <v>0</v>
      </c>
      <c r="AG209" s="31">
        <f>'mnt Data'!S212</f>
        <v>0</v>
      </c>
      <c r="AH209" s="31">
        <f>'mnt Data'!T212</f>
        <v>0</v>
      </c>
      <c r="AI209" s="31">
        <f>'mnt Data'!U212</f>
        <v>0</v>
      </c>
      <c r="AJ209" s="31">
        <f>'mnt Data'!V212</f>
        <v>0</v>
      </c>
      <c r="AK209" s="31">
        <f>'mnt Data'!W212</f>
        <v>0</v>
      </c>
      <c r="AL209" s="31">
        <f>'mnt Data'!X212</f>
        <v>0</v>
      </c>
      <c r="AM209" s="31">
        <f>'mnt Data'!Y212</f>
        <v>0</v>
      </c>
      <c r="AN209" s="31">
        <f>'mnt Data'!Z212</f>
        <v>0</v>
      </c>
      <c r="AO209" s="31">
        <f>'mnt Data'!AA212</f>
        <v>0</v>
      </c>
      <c r="AP209" s="31">
        <f>'mnt Data'!AB212</f>
        <v>0</v>
      </c>
      <c r="AQ209" s="31">
        <f>'mnt Data'!AC212</f>
        <v>0</v>
      </c>
      <c r="AR209" s="31">
        <f>'mnt Data'!AD212</f>
        <v>0</v>
      </c>
      <c r="AS209" s="31">
        <f>'mnt Data'!AE212</f>
        <v>0</v>
      </c>
      <c r="AT209" s="31">
        <f>'mnt Data'!AF212</f>
        <v>0</v>
      </c>
      <c r="AU209" s="31">
        <f>'mnt Data'!AG212</f>
        <v>0</v>
      </c>
      <c r="AV209" s="31">
        <f>'mnt Data'!AH212</f>
        <v>0</v>
      </c>
      <c r="AW209" s="31">
        <f>'mnt Data'!AI212</f>
        <v>0</v>
      </c>
      <c r="AX209" s="31">
        <f>'mnt Data'!AJ212</f>
        <v>0</v>
      </c>
      <c r="AY209" s="31">
        <f>'mnt Data'!AK212</f>
        <v>0</v>
      </c>
    </row>
    <row r="210" spans="1:51" x14ac:dyDescent="0.25">
      <c r="A210">
        <v>209</v>
      </c>
      <c r="B210" s="32">
        <f t="shared" si="36"/>
        <v>0</v>
      </c>
      <c r="C210" s="32">
        <f t="shared" si="37"/>
        <v>0</v>
      </c>
      <c r="D210" s="32" t="str">
        <f t="shared" si="41"/>
        <v>No Gs</v>
      </c>
      <c r="E210" s="32">
        <f t="shared" si="45"/>
        <v>0</v>
      </c>
      <c r="F210" s="32" t="str">
        <f t="shared" si="46"/>
        <v>No Gs</v>
      </c>
      <c r="G210" s="32" t="str">
        <f t="shared" si="47"/>
        <v>No Gs</v>
      </c>
      <c r="H210" s="32" t="str">
        <f t="shared" si="38"/>
        <v>Gs is needed</v>
      </c>
      <c r="I210" s="32" t="str">
        <f t="shared" si="39"/>
        <v>Gs is needed</v>
      </c>
      <c r="J210" s="32" t="str">
        <f t="shared" si="40"/>
        <v>Gs is needed</v>
      </c>
      <c r="K210" s="32" t="str">
        <f t="shared" si="42"/>
        <v>Need Max and Min</v>
      </c>
      <c r="L210" s="32" t="str">
        <f t="shared" si="43"/>
        <v>Need Max and Min</v>
      </c>
      <c r="M210" s="32" t="str">
        <f t="shared" si="44"/>
        <v>Fail</v>
      </c>
      <c r="N210" s="32"/>
      <c r="O210" s="31">
        <f>'mnt Data'!A213</f>
        <v>0</v>
      </c>
      <c r="P210" s="31">
        <f>'mnt Data'!B213</f>
        <v>0</v>
      </c>
      <c r="Q210" s="31">
        <f>'mnt Data'!C213</f>
        <v>0</v>
      </c>
      <c r="R210" s="31">
        <f>'mnt Data'!D213</f>
        <v>0</v>
      </c>
      <c r="S210" s="31">
        <f>'mnt Data'!E213</f>
        <v>0</v>
      </c>
      <c r="T210" s="31">
        <f>'mnt Data'!F213</f>
        <v>0</v>
      </c>
      <c r="U210" s="31">
        <f>'mnt Data'!G213</f>
        <v>0</v>
      </c>
      <c r="V210" s="31">
        <f>'mnt Data'!H213</f>
        <v>0</v>
      </c>
      <c r="W210" s="31">
        <f>'mnt Data'!I213</f>
        <v>0</v>
      </c>
      <c r="X210" s="31">
        <f>'mnt Data'!J213</f>
        <v>0</v>
      </c>
      <c r="Y210" s="31">
        <f>'mnt Data'!K213</f>
        <v>0</v>
      </c>
      <c r="Z210" s="31">
        <f>'mnt Data'!L213</f>
        <v>0</v>
      </c>
      <c r="AA210" s="31">
        <f>'mnt Data'!M213</f>
        <v>0</v>
      </c>
      <c r="AB210" s="31">
        <f>'mnt Data'!N213</f>
        <v>0</v>
      </c>
      <c r="AC210" s="31">
        <f>'mnt Data'!O213</f>
        <v>0</v>
      </c>
      <c r="AD210" s="31">
        <f>'mnt Data'!P213</f>
        <v>0</v>
      </c>
      <c r="AE210" s="31">
        <f>'mnt Data'!Q213</f>
        <v>0</v>
      </c>
      <c r="AF210" s="31">
        <f>'mnt Data'!R213</f>
        <v>0</v>
      </c>
      <c r="AG210" s="31">
        <f>'mnt Data'!S213</f>
        <v>0</v>
      </c>
      <c r="AH210" s="31">
        <f>'mnt Data'!T213</f>
        <v>0</v>
      </c>
      <c r="AI210" s="31">
        <f>'mnt Data'!U213</f>
        <v>0</v>
      </c>
      <c r="AJ210" s="31">
        <f>'mnt Data'!V213</f>
        <v>0</v>
      </c>
      <c r="AK210" s="31">
        <f>'mnt Data'!W213</f>
        <v>0</v>
      </c>
      <c r="AL210" s="31">
        <f>'mnt Data'!X213</f>
        <v>0</v>
      </c>
      <c r="AM210" s="31">
        <f>'mnt Data'!Y213</f>
        <v>0</v>
      </c>
      <c r="AN210" s="31">
        <f>'mnt Data'!Z213</f>
        <v>0</v>
      </c>
      <c r="AO210" s="31">
        <f>'mnt Data'!AA213</f>
        <v>0</v>
      </c>
      <c r="AP210" s="31">
        <f>'mnt Data'!AB213</f>
        <v>0</v>
      </c>
      <c r="AQ210" s="31">
        <f>'mnt Data'!AC213</f>
        <v>0</v>
      </c>
      <c r="AR210" s="31">
        <f>'mnt Data'!AD213</f>
        <v>0</v>
      </c>
      <c r="AS210" s="31">
        <f>'mnt Data'!AE213</f>
        <v>0</v>
      </c>
      <c r="AT210" s="31">
        <f>'mnt Data'!AF213</f>
        <v>0</v>
      </c>
      <c r="AU210" s="31">
        <f>'mnt Data'!AG213</f>
        <v>0</v>
      </c>
      <c r="AV210" s="31">
        <f>'mnt Data'!AH213</f>
        <v>0</v>
      </c>
      <c r="AW210" s="31">
        <f>'mnt Data'!AI213</f>
        <v>0</v>
      </c>
      <c r="AX210" s="31">
        <f>'mnt Data'!AJ213</f>
        <v>0</v>
      </c>
      <c r="AY210" s="31">
        <f>'mnt Data'!AK213</f>
        <v>0</v>
      </c>
    </row>
    <row r="211" spans="1:51" x14ac:dyDescent="0.25">
      <c r="A211">
        <v>210</v>
      </c>
      <c r="B211" s="32">
        <f t="shared" si="36"/>
        <v>0</v>
      </c>
      <c r="C211" s="32">
        <f t="shared" si="37"/>
        <v>0</v>
      </c>
      <c r="D211" s="32" t="str">
        <f t="shared" si="41"/>
        <v>No Gs</v>
      </c>
      <c r="E211" s="32">
        <f t="shared" si="45"/>
        <v>0</v>
      </c>
      <c r="F211" s="32" t="str">
        <f t="shared" si="46"/>
        <v>No Gs</v>
      </c>
      <c r="G211" s="32" t="str">
        <f t="shared" si="47"/>
        <v>No Gs</v>
      </c>
      <c r="H211" s="32" t="str">
        <f t="shared" si="38"/>
        <v>Gs is needed</v>
      </c>
      <c r="I211" s="32" t="str">
        <f t="shared" si="39"/>
        <v>Gs is needed</v>
      </c>
      <c r="J211" s="32" t="str">
        <f t="shared" si="40"/>
        <v>Gs is needed</v>
      </c>
      <c r="K211" s="32" t="str">
        <f t="shared" si="42"/>
        <v>Need Max and Min</v>
      </c>
      <c r="L211" s="32" t="str">
        <f t="shared" si="43"/>
        <v>Need Max and Min</v>
      </c>
      <c r="M211" s="32" t="str">
        <f t="shared" si="44"/>
        <v>Fail</v>
      </c>
      <c r="N211" s="32"/>
      <c r="O211" s="31">
        <f>'mnt Data'!A214</f>
        <v>0</v>
      </c>
      <c r="P211" s="31">
        <f>'mnt Data'!B214</f>
        <v>0</v>
      </c>
      <c r="Q211" s="31">
        <f>'mnt Data'!C214</f>
        <v>0</v>
      </c>
      <c r="R211" s="31">
        <f>'mnt Data'!D214</f>
        <v>0</v>
      </c>
      <c r="S211" s="31">
        <f>'mnt Data'!E214</f>
        <v>0</v>
      </c>
      <c r="T211" s="31">
        <f>'mnt Data'!F214</f>
        <v>0</v>
      </c>
      <c r="U211" s="31">
        <f>'mnt Data'!G214</f>
        <v>0</v>
      </c>
      <c r="V211" s="31">
        <f>'mnt Data'!H214</f>
        <v>0</v>
      </c>
      <c r="W211" s="31">
        <f>'mnt Data'!I214</f>
        <v>0</v>
      </c>
      <c r="X211" s="31">
        <f>'mnt Data'!J214</f>
        <v>0</v>
      </c>
      <c r="Y211" s="31">
        <f>'mnt Data'!K214</f>
        <v>0</v>
      </c>
      <c r="Z211" s="31">
        <f>'mnt Data'!L214</f>
        <v>0</v>
      </c>
      <c r="AA211" s="31">
        <f>'mnt Data'!M214</f>
        <v>0</v>
      </c>
      <c r="AB211" s="31">
        <f>'mnt Data'!N214</f>
        <v>0</v>
      </c>
      <c r="AC211" s="31">
        <f>'mnt Data'!O214</f>
        <v>0</v>
      </c>
      <c r="AD211" s="31">
        <f>'mnt Data'!P214</f>
        <v>0</v>
      </c>
      <c r="AE211" s="31">
        <f>'mnt Data'!Q214</f>
        <v>0</v>
      </c>
      <c r="AF211" s="31">
        <f>'mnt Data'!R214</f>
        <v>0</v>
      </c>
      <c r="AG211" s="31">
        <f>'mnt Data'!S214</f>
        <v>0</v>
      </c>
      <c r="AH211" s="31">
        <f>'mnt Data'!T214</f>
        <v>0</v>
      </c>
      <c r="AI211" s="31">
        <f>'mnt Data'!U214</f>
        <v>0</v>
      </c>
      <c r="AJ211" s="31">
        <f>'mnt Data'!V214</f>
        <v>0</v>
      </c>
      <c r="AK211" s="31">
        <f>'mnt Data'!W214</f>
        <v>0</v>
      </c>
      <c r="AL211" s="31">
        <f>'mnt Data'!X214</f>
        <v>0</v>
      </c>
      <c r="AM211" s="31">
        <f>'mnt Data'!Y214</f>
        <v>0</v>
      </c>
      <c r="AN211" s="31">
        <f>'mnt Data'!Z214</f>
        <v>0</v>
      </c>
      <c r="AO211" s="31">
        <f>'mnt Data'!AA214</f>
        <v>0</v>
      </c>
      <c r="AP211" s="31">
        <f>'mnt Data'!AB214</f>
        <v>0</v>
      </c>
      <c r="AQ211" s="31">
        <f>'mnt Data'!AC214</f>
        <v>0</v>
      </c>
      <c r="AR211" s="31">
        <f>'mnt Data'!AD214</f>
        <v>0</v>
      </c>
      <c r="AS211" s="31">
        <f>'mnt Data'!AE214</f>
        <v>0</v>
      </c>
      <c r="AT211" s="31">
        <f>'mnt Data'!AF214</f>
        <v>0</v>
      </c>
      <c r="AU211" s="31">
        <f>'mnt Data'!AG214</f>
        <v>0</v>
      </c>
      <c r="AV211" s="31">
        <f>'mnt Data'!AH214</f>
        <v>0</v>
      </c>
      <c r="AW211" s="31">
        <f>'mnt Data'!AI214</f>
        <v>0</v>
      </c>
      <c r="AX211" s="31">
        <f>'mnt Data'!AJ214</f>
        <v>0</v>
      </c>
      <c r="AY211" s="31">
        <f>'mnt Data'!AK214</f>
        <v>0</v>
      </c>
    </row>
    <row r="212" spans="1:51" x14ac:dyDescent="0.25">
      <c r="A212">
        <v>211</v>
      </c>
      <c r="B212" s="32">
        <f t="shared" si="36"/>
        <v>0</v>
      </c>
      <c r="C212" s="32">
        <f t="shared" si="37"/>
        <v>0</v>
      </c>
      <c r="D212" s="32" t="str">
        <f t="shared" si="41"/>
        <v>No Gs</v>
      </c>
      <c r="E212" s="32">
        <f t="shared" si="45"/>
        <v>0</v>
      </c>
      <c r="F212" s="32" t="str">
        <f t="shared" si="46"/>
        <v>No Gs</v>
      </c>
      <c r="G212" s="32" t="str">
        <f t="shared" si="47"/>
        <v>No Gs</v>
      </c>
      <c r="H212" s="32" t="str">
        <f t="shared" si="38"/>
        <v>Gs is needed</v>
      </c>
      <c r="I212" s="32" t="str">
        <f t="shared" si="39"/>
        <v>Gs is needed</v>
      </c>
      <c r="J212" s="32" t="str">
        <f t="shared" si="40"/>
        <v>Gs is needed</v>
      </c>
      <c r="K212" s="32" t="str">
        <f t="shared" si="42"/>
        <v>Need Max and Min</v>
      </c>
      <c r="L212" s="32" t="str">
        <f t="shared" si="43"/>
        <v>Need Max and Min</v>
      </c>
      <c r="M212" s="32" t="str">
        <f t="shared" si="44"/>
        <v>Fail</v>
      </c>
      <c r="N212" s="32"/>
      <c r="O212" s="31">
        <f>'mnt Data'!A215</f>
        <v>0</v>
      </c>
      <c r="P212" s="31">
        <f>'mnt Data'!B215</f>
        <v>0</v>
      </c>
      <c r="Q212" s="31">
        <f>'mnt Data'!C215</f>
        <v>0</v>
      </c>
      <c r="R212" s="31">
        <f>'mnt Data'!D215</f>
        <v>0</v>
      </c>
      <c r="S212" s="31">
        <f>'mnt Data'!E215</f>
        <v>0</v>
      </c>
      <c r="T212" s="31">
        <f>'mnt Data'!F215</f>
        <v>0</v>
      </c>
      <c r="U212" s="31">
        <f>'mnt Data'!G215</f>
        <v>0</v>
      </c>
      <c r="V212" s="31">
        <f>'mnt Data'!H215</f>
        <v>0</v>
      </c>
      <c r="W212" s="31">
        <f>'mnt Data'!I215</f>
        <v>0</v>
      </c>
      <c r="X212" s="31">
        <f>'mnt Data'!J215</f>
        <v>0</v>
      </c>
      <c r="Y212" s="31">
        <f>'mnt Data'!K215</f>
        <v>0</v>
      </c>
      <c r="Z212" s="31">
        <f>'mnt Data'!L215</f>
        <v>0</v>
      </c>
      <c r="AA212" s="31">
        <f>'mnt Data'!M215</f>
        <v>0</v>
      </c>
      <c r="AB212" s="31">
        <f>'mnt Data'!N215</f>
        <v>0</v>
      </c>
      <c r="AC212" s="31">
        <f>'mnt Data'!O215</f>
        <v>0</v>
      </c>
      <c r="AD212" s="31">
        <f>'mnt Data'!P215</f>
        <v>0</v>
      </c>
      <c r="AE212" s="31">
        <f>'mnt Data'!Q215</f>
        <v>0</v>
      </c>
      <c r="AF212" s="31">
        <f>'mnt Data'!R215</f>
        <v>0</v>
      </c>
      <c r="AG212" s="31">
        <f>'mnt Data'!S215</f>
        <v>0</v>
      </c>
      <c r="AH212" s="31">
        <f>'mnt Data'!T215</f>
        <v>0</v>
      </c>
      <c r="AI212" s="31">
        <f>'mnt Data'!U215</f>
        <v>0</v>
      </c>
      <c r="AJ212" s="31">
        <f>'mnt Data'!V215</f>
        <v>0</v>
      </c>
      <c r="AK212" s="31">
        <f>'mnt Data'!W215</f>
        <v>0</v>
      </c>
      <c r="AL212" s="31">
        <f>'mnt Data'!X215</f>
        <v>0</v>
      </c>
      <c r="AM212" s="31">
        <f>'mnt Data'!Y215</f>
        <v>0</v>
      </c>
      <c r="AN212" s="31">
        <f>'mnt Data'!Z215</f>
        <v>0</v>
      </c>
      <c r="AO212" s="31">
        <f>'mnt Data'!AA215</f>
        <v>0</v>
      </c>
      <c r="AP212" s="31">
        <f>'mnt Data'!AB215</f>
        <v>0</v>
      </c>
      <c r="AQ212" s="31">
        <f>'mnt Data'!AC215</f>
        <v>0</v>
      </c>
      <c r="AR212" s="31">
        <f>'mnt Data'!AD215</f>
        <v>0</v>
      </c>
      <c r="AS212" s="31">
        <f>'mnt Data'!AE215</f>
        <v>0</v>
      </c>
      <c r="AT212" s="31">
        <f>'mnt Data'!AF215</f>
        <v>0</v>
      </c>
      <c r="AU212" s="31">
        <f>'mnt Data'!AG215</f>
        <v>0</v>
      </c>
      <c r="AV212" s="31">
        <f>'mnt Data'!AH215</f>
        <v>0</v>
      </c>
      <c r="AW212" s="31">
        <f>'mnt Data'!AI215</f>
        <v>0</v>
      </c>
      <c r="AX212" s="31">
        <f>'mnt Data'!AJ215</f>
        <v>0</v>
      </c>
      <c r="AY212" s="31">
        <f>'mnt Data'!AK215</f>
        <v>0</v>
      </c>
    </row>
    <row r="213" spans="1:51" x14ac:dyDescent="0.25">
      <c r="A213">
        <v>212</v>
      </c>
      <c r="B213" s="32">
        <f t="shared" si="36"/>
        <v>0</v>
      </c>
      <c r="C213" s="32">
        <f t="shared" si="37"/>
        <v>0</v>
      </c>
      <c r="D213" s="32" t="str">
        <f t="shared" si="41"/>
        <v>No Gs</v>
      </c>
      <c r="E213" s="32">
        <f t="shared" si="45"/>
        <v>0</v>
      </c>
      <c r="F213" s="32" t="str">
        <f t="shared" si="46"/>
        <v>No Gs</v>
      </c>
      <c r="G213" s="32" t="str">
        <f t="shared" si="47"/>
        <v>No Gs</v>
      </c>
      <c r="H213" s="32" t="str">
        <f t="shared" si="38"/>
        <v>Gs is needed</v>
      </c>
      <c r="I213" s="32" t="str">
        <f t="shared" si="39"/>
        <v>Gs is needed</v>
      </c>
      <c r="J213" s="32" t="str">
        <f t="shared" si="40"/>
        <v>Gs is needed</v>
      </c>
      <c r="K213" s="32" t="str">
        <f t="shared" si="42"/>
        <v>Need Max and Min</v>
      </c>
      <c r="L213" s="32" t="str">
        <f t="shared" si="43"/>
        <v>Need Max and Min</v>
      </c>
      <c r="M213" s="32" t="str">
        <f t="shared" si="44"/>
        <v>Fail</v>
      </c>
      <c r="N213" s="32"/>
      <c r="O213" s="31">
        <f>'mnt Data'!A216</f>
        <v>0</v>
      </c>
      <c r="P213" s="31">
        <f>'mnt Data'!B216</f>
        <v>0</v>
      </c>
      <c r="Q213" s="31">
        <f>'mnt Data'!C216</f>
        <v>0</v>
      </c>
      <c r="R213" s="31">
        <f>'mnt Data'!D216</f>
        <v>0</v>
      </c>
      <c r="S213" s="31">
        <f>'mnt Data'!E216</f>
        <v>0</v>
      </c>
      <c r="T213" s="31">
        <f>'mnt Data'!F216</f>
        <v>0</v>
      </c>
      <c r="U213" s="31">
        <f>'mnt Data'!G216</f>
        <v>0</v>
      </c>
      <c r="V213" s="31">
        <f>'mnt Data'!H216</f>
        <v>0</v>
      </c>
      <c r="W213" s="31">
        <f>'mnt Data'!I216</f>
        <v>0</v>
      </c>
      <c r="X213" s="31">
        <f>'mnt Data'!J216</f>
        <v>0</v>
      </c>
      <c r="Y213" s="31">
        <f>'mnt Data'!K216</f>
        <v>0</v>
      </c>
      <c r="Z213" s="31">
        <f>'mnt Data'!L216</f>
        <v>0</v>
      </c>
      <c r="AA213" s="31">
        <f>'mnt Data'!M216</f>
        <v>0</v>
      </c>
      <c r="AB213" s="31">
        <f>'mnt Data'!N216</f>
        <v>0</v>
      </c>
      <c r="AC213" s="31">
        <f>'mnt Data'!O216</f>
        <v>0</v>
      </c>
      <c r="AD213" s="31">
        <f>'mnt Data'!P216</f>
        <v>0</v>
      </c>
      <c r="AE213" s="31">
        <f>'mnt Data'!Q216</f>
        <v>0</v>
      </c>
      <c r="AF213" s="31">
        <f>'mnt Data'!R216</f>
        <v>0</v>
      </c>
      <c r="AG213" s="31">
        <f>'mnt Data'!S216</f>
        <v>0</v>
      </c>
      <c r="AH213" s="31">
        <f>'mnt Data'!T216</f>
        <v>0</v>
      </c>
      <c r="AI213" s="31">
        <f>'mnt Data'!U216</f>
        <v>0</v>
      </c>
      <c r="AJ213" s="31">
        <f>'mnt Data'!V216</f>
        <v>0</v>
      </c>
      <c r="AK213" s="31">
        <f>'mnt Data'!W216</f>
        <v>0</v>
      </c>
      <c r="AL213" s="31">
        <f>'mnt Data'!X216</f>
        <v>0</v>
      </c>
      <c r="AM213" s="31">
        <f>'mnt Data'!Y216</f>
        <v>0</v>
      </c>
      <c r="AN213" s="31">
        <f>'mnt Data'!Z216</f>
        <v>0</v>
      </c>
      <c r="AO213" s="31">
        <f>'mnt Data'!AA216</f>
        <v>0</v>
      </c>
      <c r="AP213" s="31">
        <f>'mnt Data'!AB216</f>
        <v>0</v>
      </c>
      <c r="AQ213" s="31">
        <f>'mnt Data'!AC216</f>
        <v>0</v>
      </c>
      <c r="AR213" s="31">
        <f>'mnt Data'!AD216</f>
        <v>0</v>
      </c>
      <c r="AS213" s="31">
        <f>'mnt Data'!AE216</f>
        <v>0</v>
      </c>
      <c r="AT213" s="31">
        <f>'mnt Data'!AF216</f>
        <v>0</v>
      </c>
      <c r="AU213" s="31">
        <f>'mnt Data'!AG216</f>
        <v>0</v>
      </c>
      <c r="AV213" s="31">
        <f>'mnt Data'!AH216</f>
        <v>0</v>
      </c>
      <c r="AW213" s="31">
        <f>'mnt Data'!AI216</f>
        <v>0</v>
      </c>
      <c r="AX213" s="31">
        <f>'mnt Data'!AJ216</f>
        <v>0</v>
      </c>
      <c r="AY213" s="31">
        <f>'mnt Data'!AK216</f>
        <v>0</v>
      </c>
    </row>
    <row r="214" spans="1:51" x14ac:dyDescent="0.25">
      <c r="A214">
        <v>213</v>
      </c>
      <c r="B214" s="32">
        <f t="shared" si="36"/>
        <v>0</v>
      </c>
      <c r="C214" s="32">
        <f t="shared" si="37"/>
        <v>0</v>
      </c>
      <c r="D214" s="32" t="str">
        <f t="shared" si="41"/>
        <v>No Gs</v>
      </c>
      <c r="E214" s="32">
        <f t="shared" si="45"/>
        <v>0</v>
      </c>
      <c r="F214" s="32" t="str">
        <f t="shared" si="46"/>
        <v>No Gs</v>
      </c>
      <c r="G214" s="32" t="str">
        <f t="shared" si="47"/>
        <v>No Gs</v>
      </c>
      <c r="H214" s="32" t="str">
        <f t="shared" si="38"/>
        <v>Gs is needed</v>
      </c>
      <c r="I214" s="32" t="str">
        <f t="shared" si="39"/>
        <v>Gs is needed</v>
      </c>
      <c r="J214" s="32" t="str">
        <f t="shared" si="40"/>
        <v>Gs is needed</v>
      </c>
      <c r="K214" s="32" t="str">
        <f t="shared" si="42"/>
        <v>Need Max and Min</v>
      </c>
      <c r="L214" s="32" t="str">
        <f t="shared" si="43"/>
        <v>Need Max and Min</v>
      </c>
      <c r="M214" s="32" t="str">
        <f t="shared" si="44"/>
        <v>Fail</v>
      </c>
      <c r="N214" s="32"/>
      <c r="O214" s="31">
        <f>'mnt Data'!A217</f>
        <v>0</v>
      </c>
      <c r="P214" s="31">
        <f>'mnt Data'!B217</f>
        <v>0</v>
      </c>
      <c r="Q214" s="31">
        <f>'mnt Data'!C217</f>
        <v>0</v>
      </c>
      <c r="R214" s="31">
        <f>'mnt Data'!D217</f>
        <v>0</v>
      </c>
      <c r="S214" s="31">
        <f>'mnt Data'!E217</f>
        <v>0</v>
      </c>
      <c r="T214" s="31">
        <f>'mnt Data'!F217</f>
        <v>0</v>
      </c>
      <c r="U214" s="31">
        <f>'mnt Data'!G217</f>
        <v>0</v>
      </c>
      <c r="V214" s="31">
        <f>'mnt Data'!H217</f>
        <v>0</v>
      </c>
      <c r="W214" s="31">
        <f>'mnt Data'!I217</f>
        <v>0</v>
      </c>
      <c r="X214" s="31">
        <f>'mnt Data'!J217</f>
        <v>0</v>
      </c>
      <c r="Y214" s="31">
        <f>'mnt Data'!K217</f>
        <v>0</v>
      </c>
      <c r="Z214" s="31">
        <f>'mnt Data'!L217</f>
        <v>0</v>
      </c>
      <c r="AA214" s="31">
        <f>'mnt Data'!M217</f>
        <v>0</v>
      </c>
      <c r="AB214" s="31">
        <f>'mnt Data'!N217</f>
        <v>0</v>
      </c>
      <c r="AC214" s="31">
        <f>'mnt Data'!O217</f>
        <v>0</v>
      </c>
      <c r="AD214" s="31">
        <f>'mnt Data'!P217</f>
        <v>0</v>
      </c>
      <c r="AE214" s="31">
        <f>'mnt Data'!Q217</f>
        <v>0</v>
      </c>
      <c r="AF214" s="31">
        <f>'mnt Data'!R217</f>
        <v>0</v>
      </c>
      <c r="AG214" s="31">
        <f>'mnt Data'!S217</f>
        <v>0</v>
      </c>
      <c r="AH214" s="31">
        <f>'mnt Data'!T217</f>
        <v>0</v>
      </c>
      <c r="AI214" s="31">
        <f>'mnt Data'!U217</f>
        <v>0</v>
      </c>
      <c r="AJ214" s="31">
        <f>'mnt Data'!V217</f>
        <v>0</v>
      </c>
      <c r="AK214" s="31">
        <f>'mnt Data'!W217</f>
        <v>0</v>
      </c>
      <c r="AL214" s="31">
        <f>'mnt Data'!X217</f>
        <v>0</v>
      </c>
      <c r="AM214" s="31">
        <f>'mnt Data'!Y217</f>
        <v>0</v>
      </c>
      <c r="AN214" s="31">
        <f>'mnt Data'!Z217</f>
        <v>0</v>
      </c>
      <c r="AO214" s="31">
        <f>'mnt Data'!AA217</f>
        <v>0</v>
      </c>
      <c r="AP214" s="31">
        <f>'mnt Data'!AB217</f>
        <v>0</v>
      </c>
      <c r="AQ214" s="31">
        <f>'mnt Data'!AC217</f>
        <v>0</v>
      </c>
      <c r="AR214" s="31">
        <f>'mnt Data'!AD217</f>
        <v>0</v>
      </c>
      <c r="AS214" s="31">
        <f>'mnt Data'!AE217</f>
        <v>0</v>
      </c>
      <c r="AT214" s="31">
        <f>'mnt Data'!AF217</f>
        <v>0</v>
      </c>
      <c r="AU214" s="31">
        <f>'mnt Data'!AG217</f>
        <v>0</v>
      </c>
      <c r="AV214" s="31">
        <f>'mnt Data'!AH217</f>
        <v>0</v>
      </c>
      <c r="AW214" s="31">
        <f>'mnt Data'!AI217</f>
        <v>0</v>
      </c>
      <c r="AX214" s="31">
        <f>'mnt Data'!AJ217</f>
        <v>0</v>
      </c>
      <c r="AY214" s="31">
        <f>'mnt Data'!AK217</f>
        <v>0</v>
      </c>
    </row>
    <row r="215" spans="1:51" x14ac:dyDescent="0.25">
      <c r="A215">
        <v>214</v>
      </c>
      <c r="B215" s="32">
        <f t="shared" si="36"/>
        <v>0</v>
      </c>
      <c r="C215" s="32">
        <f t="shared" si="37"/>
        <v>0</v>
      </c>
      <c r="D215" s="32" t="str">
        <f t="shared" si="41"/>
        <v>No Gs</v>
      </c>
      <c r="E215" s="32">
        <f t="shared" si="45"/>
        <v>0</v>
      </c>
      <c r="F215" s="32" t="str">
        <f t="shared" si="46"/>
        <v>No Gs</v>
      </c>
      <c r="G215" s="32" t="str">
        <f t="shared" si="47"/>
        <v>No Gs</v>
      </c>
      <c r="H215" s="32" t="str">
        <f t="shared" si="38"/>
        <v>Gs is needed</v>
      </c>
      <c r="I215" s="32" t="str">
        <f t="shared" si="39"/>
        <v>Gs is needed</v>
      </c>
      <c r="J215" s="32" t="str">
        <f t="shared" si="40"/>
        <v>Gs is needed</v>
      </c>
      <c r="K215" s="32" t="str">
        <f t="shared" si="42"/>
        <v>Need Max and Min</v>
      </c>
      <c r="L215" s="32" t="str">
        <f t="shared" si="43"/>
        <v>Need Max and Min</v>
      </c>
      <c r="M215" s="32" t="str">
        <f t="shared" si="44"/>
        <v>Fail</v>
      </c>
      <c r="N215" s="32"/>
      <c r="O215" s="31">
        <f>'mnt Data'!A218</f>
        <v>0</v>
      </c>
      <c r="P215" s="31">
        <f>'mnt Data'!B218</f>
        <v>0</v>
      </c>
      <c r="Q215" s="31">
        <f>'mnt Data'!C218</f>
        <v>0</v>
      </c>
      <c r="R215" s="31">
        <f>'mnt Data'!D218</f>
        <v>0</v>
      </c>
      <c r="S215" s="31">
        <f>'mnt Data'!E218</f>
        <v>0</v>
      </c>
      <c r="T215" s="31">
        <f>'mnt Data'!F218</f>
        <v>0</v>
      </c>
      <c r="U215" s="31">
        <f>'mnt Data'!G218</f>
        <v>0</v>
      </c>
      <c r="V215" s="31">
        <f>'mnt Data'!H218</f>
        <v>0</v>
      </c>
      <c r="W215" s="31">
        <f>'mnt Data'!I218</f>
        <v>0</v>
      </c>
      <c r="X215" s="31">
        <f>'mnt Data'!J218</f>
        <v>0</v>
      </c>
      <c r="Y215" s="31">
        <f>'mnt Data'!K218</f>
        <v>0</v>
      </c>
      <c r="Z215" s="31">
        <f>'mnt Data'!L218</f>
        <v>0</v>
      </c>
      <c r="AA215" s="31">
        <f>'mnt Data'!M218</f>
        <v>0</v>
      </c>
      <c r="AB215" s="31">
        <f>'mnt Data'!N218</f>
        <v>0</v>
      </c>
      <c r="AC215" s="31">
        <f>'mnt Data'!O218</f>
        <v>0</v>
      </c>
      <c r="AD215" s="31">
        <f>'mnt Data'!P218</f>
        <v>0</v>
      </c>
      <c r="AE215" s="31">
        <f>'mnt Data'!Q218</f>
        <v>0</v>
      </c>
      <c r="AF215" s="31">
        <f>'mnt Data'!R218</f>
        <v>0</v>
      </c>
      <c r="AG215" s="31">
        <f>'mnt Data'!S218</f>
        <v>0</v>
      </c>
      <c r="AH215" s="31">
        <f>'mnt Data'!T218</f>
        <v>0</v>
      </c>
      <c r="AI215" s="31">
        <f>'mnt Data'!U218</f>
        <v>0</v>
      </c>
      <c r="AJ215" s="31">
        <f>'mnt Data'!V218</f>
        <v>0</v>
      </c>
      <c r="AK215" s="31">
        <f>'mnt Data'!W218</f>
        <v>0</v>
      </c>
      <c r="AL215" s="31">
        <f>'mnt Data'!X218</f>
        <v>0</v>
      </c>
      <c r="AM215" s="31">
        <f>'mnt Data'!Y218</f>
        <v>0</v>
      </c>
      <c r="AN215" s="31">
        <f>'mnt Data'!Z218</f>
        <v>0</v>
      </c>
      <c r="AO215" s="31">
        <f>'mnt Data'!AA218</f>
        <v>0</v>
      </c>
      <c r="AP215" s="31">
        <f>'mnt Data'!AB218</f>
        <v>0</v>
      </c>
      <c r="AQ215" s="31">
        <f>'mnt Data'!AC218</f>
        <v>0</v>
      </c>
      <c r="AR215" s="31">
        <f>'mnt Data'!AD218</f>
        <v>0</v>
      </c>
      <c r="AS215" s="31">
        <f>'mnt Data'!AE218</f>
        <v>0</v>
      </c>
      <c r="AT215" s="31">
        <f>'mnt Data'!AF218</f>
        <v>0</v>
      </c>
      <c r="AU215" s="31">
        <f>'mnt Data'!AG218</f>
        <v>0</v>
      </c>
      <c r="AV215" s="31">
        <f>'mnt Data'!AH218</f>
        <v>0</v>
      </c>
      <c r="AW215" s="31">
        <f>'mnt Data'!AI218</f>
        <v>0</v>
      </c>
      <c r="AX215" s="31">
        <f>'mnt Data'!AJ218</f>
        <v>0</v>
      </c>
      <c r="AY215" s="31">
        <f>'mnt Data'!AK218</f>
        <v>0</v>
      </c>
    </row>
    <row r="216" spans="1:51" x14ac:dyDescent="0.25">
      <c r="A216">
        <v>215</v>
      </c>
      <c r="B216" s="32">
        <f t="shared" si="36"/>
        <v>0</v>
      </c>
      <c r="C216" s="32">
        <f t="shared" si="37"/>
        <v>0</v>
      </c>
      <c r="D216" s="32" t="str">
        <f t="shared" si="41"/>
        <v>No Gs</v>
      </c>
      <c r="E216" s="32">
        <f t="shared" si="45"/>
        <v>0</v>
      </c>
      <c r="F216" s="32" t="str">
        <f t="shared" si="46"/>
        <v>No Gs</v>
      </c>
      <c r="G216" s="32" t="str">
        <f t="shared" si="47"/>
        <v>No Gs</v>
      </c>
      <c r="H216" s="32" t="str">
        <f t="shared" si="38"/>
        <v>Gs is needed</v>
      </c>
      <c r="I216" s="32" t="str">
        <f t="shared" si="39"/>
        <v>Gs is needed</v>
      </c>
      <c r="J216" s="32" t="str">
        <f t="shared" si="40"/>
        <v>Gs is needed</v>
      </c>
      <c r="K216" s="32" t="str">
        <f t="shared" si="42"/>
        <v>Need Max and Min</v>
      </c>
      <c r="L216" s="32" t="str">
        <f t="shared" si="43"/>
        <v>Need Max and Min</v>
      </c>
      <c r="M216" s="32" t="str">
        <f t="shared" si="44"/>
        <v>Fail</v>
      </c>
      <c r="N216" s="32"/>
      <c r="O216" s="31">
        <f>'mnt Data'!A219</f>
        <v>0</v>
      </c>
      <c r="P216" s="31">
        <f>'mnt Data'!B219</f>
        <v>0</v>
      </c>
      <c r="Q216" s="31">
        <f>'mnt Data'!C219</f>
        <v>0</v>
      </c>
      <c r="R216" s="31">
        <f>'mnt Data'!D219</f>
        <v>0</v>
      </c>
      <c r="S216" s="31">
        <f>'mnt Data'!E219</f>
        <v>0</v>
      </c>
      <c r="T216" s="31">
        <f>'mnt Data'!F219</f>
        <v>0</v>
      </c>
      <c r="U216" s="31">
        <f>'mnt Data'!G219</f>
        <v>0</v>
      </c>
      <c r="V216" s="31">
        <f>'mnt Data'!H219</f>
        <v>0</v>
      </c>
      <c r="W216" s="31">
        <f>'mnt Data'!I219</f>
        <v>0</v>
      </c>
      <c r="X216" s="31">
        <f>'mnt Data'!J219</f>
        <v>0</v>
      </c>
      <c r="Y216" s="31">
        <f>'mnt Data'!K219</f>
        <v>0</v>
      </c>
      <c r="Z216" s="31">
        <f>'mnt Data'!L219</f>
        <v>0</v>
      </c>
      <c r="AA216" s="31">
        <f>'mnt Data'!M219</f>
        <v>0</v>
      </c>
      <c r="AB216" s="31">
        <f>'mnt Data'!N219</f>
        <v>0</v>
      </c>
      <c r="AC216" s="31">
        <f>'mnt Data'!O219</f>
        <v>0</v>
      </c>
      <c r="AD216" s="31">
        <f>'mnt Data'!P219</f>
        <v>0</v>
      </c>
      <c r="AE216" s="31">
        <f>'mnt Data'!Q219</f>
        <v>0</v>
      </c>
      <c r="AF216" s="31">
        <f>'mnt Data'!R219</f>
        <v>0</v>
      </c>
      <c r="AG216" s="31">
        <f>'mnt Data'!S219</f>
        <v>0</v>
      </c>
      <c r="AH216" s="31">
        <f>'mnt Data'!T219</f>
        <v>0</v>
      </c>
      <c r="AI216" s="31">
        <f>'mnt Data'!U219</f>
        <v>0</v>
      </c>
      <c r="AJ216" s="31">
        <f>'mnt Data'!V219</f>
        <v>0</v>
      </c>
      <c r="AK216" s="31">
        <f>'mnt Data'!W219</f>
        <v>0</v>
      </c>
      <c r="AL216" s="31">
        <f>'mnt Data'!X219</f>
        <v>0</v>
      </c>
      <c r="AM216" s="31">
        <f>'mnt Data'!Y219</f>
        <v>0</v>
      </c>
      <c r="AN216" s="31">
        <f>'mnt Data'!Z219</f>
        <v>0</v>
      </c>
      <c r="AO216" s="31">
        <f>'mnt Data'!AA219</f>
        <v>0</v>
      </c>
      <c r="AP216" s="31">
        <f>'mnt Data'!AB219</f>
        <v>0</v>
      </c>
      <c r="AQ216" s="31">
        <f>'mnt Data'!AC219</f>
        <v>0</v>
      </c>
      <c r="AR216" s="31">
        <f>'mnt Data'!AD219</f>
        <v>0</v>
      </c>
      <c r="AS216" s="31">
        <f>'mnt Data'!AE219</f>
        <v>0</v>
      </c>
      <c r="AT216" s="31">
        <f>'mnt Data'!AF219</f>
        <v>0</v>
      </c>
      <c r="AU216" s="31">
        <f>'mnt Data'!AG219</f>
        <v>0</v>
      </c>
      <c r="AV216" s="31">
        <f>'mnt Data'!AH219</f>
        <v>0</v>
      </c>
      <c r="AW216" s="31">
        <f>'mnt Data'!AI219</f>
        <v>0</v>
      </c>
      <c r="AX216" s="31">
        <f>'mnt Data'!AJ219</f>
        <v>0</v>
      </c>
      <c r="AY216" s="31">
        <f>'mnt Data'!AK219</f>
        <v>0</v>
      </c>
    </row>
    <row r="217" spans="1:51" x14ac:dyDescent="0.25">
      <c r="A217">
        <v>216</v>
      </c>
      <c r="B217" s="32">
        <f t="shared" si="36"/>
        <v>0</v>
      </c>
      <c r="C217" s="32">
        <f t="shared" si="37"/>
        <v>0</v>
      </c>
      <c r="D217" s="32" t="str">
        <f t="shared" si="41"/>
        <v>No Gs</v>
      </c>
      <c r="E217" s="32">
        <f t="shared" si="45"/>
        <v>0</v>
      </c>
      <c r="F217" s="32" t="str">
        <f t="shared" si="46"/>
        <v>No Gs</v>
      </c>
      <c r="G217" s="32" t="str">
        <f t="shared" si="47"/>
        <v>No Gs</v>
      </c>
      <c r="H217" s="32" t="str">
        <f t="shared" si="38"/>
        <v>Gs is needed</v>
      </c>
      <c r="I217" s="32" t="str">
        <f t="shared" si="39"/>
        <v>Gs is needed</v>
      </c>
      <c r="J217" s="32" t="str">
        <f t="shared" si="40"/>
        <v>Gs is needed</v>
      </c>
      <c r="K217" s="32" t="str">
        <f t="shared" si="42"/>
        <v>Need Max and Min</v>
      </c>
      <c r="L217" s="32" t="str">
        <f t="shared" si="43"/>
        <v>Need Max and Min</v>
      </c>
      <c r="M217" s="32" t="str">
        <f t="shared" si="44"/>
        <v>Fail</v>
      </c>
      <c r="N217" s="32"/>
      <c r="O217" s="31">
        <f>'mnt Data'!A220</f>
        <v>0</v>
      </c>
      <c r="P217" s="31">
        <f>'mnt Data'!B220</f>
        <v>0</v>
      </c>
      <c r="Q217" s="31">
        <f>'mnt Data'!C220</f>
        <v>0</v>
      </c>
      <c r="R217" s="31">
        <f>'mnt Data'!D220</f>
        <v>0</v>
      </c>
      <c r="S217" s="31">
        <f>'mnt Data'!E220</f>
        <v>0</v>
      </c>
      <c r="T217" s="31">
        <f>'mnt Data'!F220</f>
        <v>0</v>
      </c>
      <c r="U217" s="31">
        <f>'mnt Data'!G220</f>
        <v>0</v>
      </c>
      <c r="V217" s="31">
        <f>'mnt Data'!H220</f>
        <v>0</v>
      </c>
      <c r="W217" s="31">
        <f>'mnt Data'!I220</f>
        <v>0</v>
      </c>
      <c r="X217" s="31">
        <f>'mnt Data'!J220</f>
        <v>0</v>
      </c>
      <c r="Y217" s="31">
        <f>'mnt Data'!K220</f>
        <v>0</v>
      </c>
      <c r="Z217" s="31">
        <f>'mnt Data'!L220</f>
        <v>0</v>
      </c>
      <c r="AA217" s="31">
        <f>'mnt Data'!M220</f>
        <v>0</v>
      </c>
      <c r="AB217" s="31">
        <f>'mnt Data'!N220</f>
        <v>0</v>
      </c>
      <c r="AC217" s="31">
        <f>'mnt Data'!O220</f>
        <v>0</v>
      </c>
      <c r="AD217" s="31">
        <f>'mnt Data'!P220</f>
        <v>0</v>
      </c>
      <c r="AE217" s="31">
        <f>'mnt Data'!Q220</f>
        <v>0</v>
      </c>
      <c r="AF217" s="31">
        <f>'mnt Data'!R220</f>
        <v>0</v>
      </c>
      <c r="AG217" s="31">
        <f>'mnt Data'!S220</f>
        <v>0</v>
      </c>
      <c r="AH217" s="31">
        <f>'mnt Data'!T220</f>
        <v>0</v>
      </c>
      <c r="AI217" s="31">
        <f>'mnt Data'!U220</f>
        <v>0</v>
      </c>
      <c r="AJ217" s="31">
        <f>'mnt Data'!V220</f>
        <v>0</v>
      </c>
      <c r="AK217" s="31">
        <f>'mnt Data'!W220</f>
        <v>0</v>
      </c>
      <c r="AL217" s="31">
        <f>'mnt Data'!X220</f>
        <v>0</v>
      </c>
      <c r="AM217" s="31">
        <f>'mnt Data'!Y220</f>
        <v>0</v>
      </c>
      <c r="AN217" s="31">
        <f>'mnt Data'!Z220</f>
        <v>0</v>
      </c>
      <c r="AO217" s="31">
        <f>'mnt Data'!AA220</f>
        <v>0</v>
      </c>
      <c r="AP217" s="31">
        <f>'mnt Data'!AB220</f>
        <v>0</v>
      </c>
      <c r="AQ217" s="31">
        <f>'mnt Data'!AC220</f>
        <v>0</v>
      </c>
      <c r="AR217" s="31">
        <f>'mnt Data'!AD220</f>
        <v>0</v>
      </c>
      <c r="AS217" s="31">
        <f>'mnt Data'!AE220</f>
        <v>0</v>
      </c>
      <c r="AT217" s="31">
        <f>'mnt Data'!AF220</f>
        <v>0</v>
      </c>
      <c r="AU217" s="31">
        <f>'mnt Data'!AG220</f>
        <v>0</v>
      </c>
      <c r="AV217" s="31">
        <f>'mnt Data'!AH220</f>
        <v>0</v>
      </c>
      <c r="AW217" s="31">
        <f>'mnt Data'!AI220</f>
        <v>0</v>
      </c>
      <c r="AX217" s="31">
        <f>'mnt Data'!AJ220</f>
        <v>0</v>
      </c>
      <c r="AY217" s="31">
        <f>'mnt Data'!AK220</f>
        <v>0</v>
      </c>
    </row>
    <row r="218" spans="1:51" x14ac:dyDescent="0.25">
      <c r="A218">
        <v>217</v>
      </c>
      <c r="B218" s="32">
        <f t="shared" si="36"/>
        <v>0</v>
      </c>
      <c r="C218" s="32">
        <f t="shared" si="37"/>
        <v>0</v>
      </c>
      <c r="D218" s="32" t="str">
        <f t="shared" si="41"/>
        <v>No Gs</v>
      </c>
      <c r="E218" s="32">
        <f t="shared" si="45"/>
        <v>0</v>
      </c>
      <c r="F218" s="32" t="str">
        <f t="shared" si="46"/>
        <v>No Gs</v>
      </c>
      <c r="G218" s="32" t="str">
        <f t="shared" si="47"/>
        <v>No Gs</v>
      </c>
      <c r="H218" s="32" t="str">
        <f t="shared" si="38"/>
        <v>Gs is needed</v>
      </c>
      <c r="I218" s="32" t="str">
        <f t="shared" si="39"/>
        <v>Gs is needed</v>
      </c>
      <c r="J218" s="32" t="str">
        <f t="shared" si="40"/>
        <v>Gs is needed</v>
      </c>
      <c r="K218" s="32" t="str">
        <f t="shared" si="42"/>
        <v>Need Max and Min</v>
      </c>
      <c r="L218" s="32" t="str">
        <f t="shared" si="43"/>
        <v>Need Max and Min</v>
      </c>
      <c r="M218" s="32" t="str">
        <f t="shared" si="44"/>
        <v>Fail</v>
      </c>
      <c r="N218" s="32"/>
      <c r="O218" s="31">
        <f>'mnt Data'!A221</f>
        <v>0</v>
      </c>
      <c r="P218" s="31">
        <f>'mnt Data'!B221</f>
        <v>0</v>
      </c>
      <c r="Q218" s="31">
        <f>'mnt Data'!C221</f>
        <v>0</v>
      </c>
      <c r="R218" s="31">
        <f>'mnt Data'!D221</f>
        <v>0</v>
      </c>
      <c r="S218" s="31">
        <f>'mnt Data'!E221</f>
        <v>0</v>
      </c>
      <c r="T218" s="31">
        <f>'mnt Data'!F221</f>
        <v>0</v>
      </c>
      <c r="U218" s="31">
        <f>'mnt Data'!G221</f>
        <v>0</v>
      </c>
      <c r="V218" s="31">
        <f>'mnt Data'!H221</f>
        <v>0</v>
      </c>
      <c r="W218" s="31">
        <f>'mnt Data'!I221</f>
        <v>0</v>
      </c>
      <c r="X218" s="31">
        <f>'mnt Data'!J221</f>
        <v>0</v>
      </c>
      <c r="Y218" s="31">
        <f>'mnt Data'!K221</f>
        <v>0</v>
      </c>
      <c r="Z218" s="31">
        <f>'mnt Data'!L221</f>
        <v>0</v>
      </c>
      <c r="AA218" s="31">
        <f>'mnt Data'!M221</f>
        <v>0</v>
      </c>
      <c r="AB218" s="31">
        <f>'mnt Data'!N221</f>
        <v>0</v>
      </c>
      <c r="AC218" s="31">
        <f>'mnt Data'!O221</f>
        <v>0</v>
      </c>
      <c r="AD218" s="31">
        <f>'mnt Data'!P221</f>
        <v>0</v>
      </c>
      <c r="AE218" s="31">
        <f>'mnt Data'!Q221</f>
        <v>0</v>
      </c>
      <c r="AF218" s="31">
        <f>'mnt Data'!R221</f>
        <v>0</v>
      </c>
      <c r="AG218" s="31">
        <f>'mnt Data'!S221</f>
        <v>0</v>
      </c>
      <c r="AH218" s="31">
        <f>'mnt Data'!T221</f>
        <v>0</v>
      </c>
      <c r="AI218" s="31">
        <f>'mnt Data'!U221</f>
        <v>0</v>
      </c>
      <c r="AJ218" s="31">
        <f>'mnt Data'!V221</f>
        <v>0</v>
      </c>
      <c r="AK218" s="31">
        <f>'mnt Data'!W221</f>
        <v>0</v>
      </c>
      <c r="AL218" s="31">
        <f>'mnt Data'!X221</f>
        <v>0</v>
      </c>
      <c r="AM218" s="31">
        <f>'mnt Data'!Y221</f>
        <v>0</v>
      </c>
      <c r="AN218" s="31">
        <f>'mnt Data'!Z221</f>
        <v>0</v>
      </c>
      <c r="AO218" s="31">
        <f>'mnt Data'!AA221</f>
        <v>0</v>
      </c>
      <c r="AP218" s="31">
        <f>'mnt Data'!AB221</f>
        <v>0</v>
      </c>
      <c r="AQ218" s="31">
        <f>'mnt Data'!AC221</f>
        <v>0</v>
      </c>
      <c r="AR218" s="31">
        <f>'mnt Data'!AD221</f>
        <v>0</v>
      </c>
      <c r="AS218" s="31">
        <f>'mnt Data'!AE221</f>
        <v>0</v>
      </c>
      <c r="AT218" s="31">
        <f>'mnt Data'!AF221</f>
        <v>0</v>
      </c>
      <c r="AU218" s="31">
        <f>'mnt Data'!AG221</f>
        <v>0</v>
      </c>
      <c r="AV218" s="31">
        <f>'mnt Data'!AH221</f>
        <v>0</v>
      </c>
      <c r="AW218" s="31">
        <f>'mnt Data'!AI221</f>
        <v>0</v>
      </c>
      <c r="AX218" s="31">
        <f>'mnt Data'!AJ221</f>
        <v>0</v>
      </c>
      <c r="AY218" s="31">
        <f>'mnt Data'!AK221</f>
        <v>0</v>
      </c>
    </row>
    <row r="219" spans="1:51" x14ac:dyDescent="0.25">
      <c r="A219">
        <v>218</v>
      </c>
      <c r="B219" s="32">
        <f t="shared" si="36"/>
        <v>0</v>
      </c>
      <c r="C219" s="32">
        <f t="shared" si="37"/>
        <v>0</v>
      </c>
      <c r="D219" s="32" t="str">
        <f t="shared" si="41"/>
        <v>No Gs</v>
      </c>
      <c r="E219" s="32">
        <f t="shared" si="45"/>
        <v>0</v>
      </c>
      <c r="F219" s="32" t="str">
        <f t="shared" si="46"/>
        <v>No Gs</v>
      </c>
      <c r="G219" s="32" t="str">
        <f t="shared" si="47"/>
        <v>No Gs</v>
      </c>
      <c r="H219" s="32" t="str">
        <f t="shared" si="38"/>
        <v>Gs is needed</v>
      </c>
      <c r="I219" s="32" t="str">
        <f t="shared" si="39"/>
        <v>Gs is needed</v>
      </c>
      <c r="J219" s="32" t="str">
        <f t="shared" si="40"/>
        <v>Gs is needed</v>
      </c>
      <c r="K219" s="32" t="str">
        <f t="shared" si="42"/>
        <v>Need Max and Min</v>
      </c>
      <c r="L219" s="32" t="str">
        <f t="shared" si="43"/>
        <v>Need Max and Min</v>
      </c>
      <c r="M219" s="32" t="str">
        <f t="shared" si="44"/>
        <v>Fail</v>
      </c>
      <c r="N219" s="32"/>
      <c r="O219" s="31">
        <f>'mnt Data'!A222</f>
        <v>0</v>
      </c>
      <c r="P219" s="31">
        <f>'mnt Data'!B222</f>
        <v>0</v>
      </c>
      <c r="Q219" s="31">
        <f>'mnt Data'!C222</f>
        <v>0</v>
      </c>
      <c r="R219" s="31">
        <f>'mnt Data'!D222</f>
        <v>0</v>
      </c>
      <c r="S219" s="31">
        <f>'mnt Data'!E222</f>
        <v>0</v>
      </c>
      <c r="T219" s="31">
        <f>'mnt Data'!F222</f>
        <v>0</v>
      </c>
      <c r="U219" s="31">
        <f>'mnt Data'!G222</f>
        <v>0</v>
      </c>
      <c r="V219" s="31">
        <f>'mnt Data'!H222</f>
        <v>0</v>
      </c>
      <c r="W219" s="31">
        <f>'mnt Data'!I222</f>
        <v>0</v>
      </c>
      <c r="X219" s="31">
        <f>'mnt Data'!J222</f>
        <v>0</v>
      </c>
      <c r="Y219" s="31">
        <f>'mnt Data'!K222</f>
        <v>0</v>
      </c>
      <c r="Z219" s="31">
        <f>'mnt Data'!L222</f>
        <v>0</v>
      </c>
      <c r="AA219" s="31">
        <f>'mnt Data'!M222</f>
        <v>0</v>
      </c>
      <c r="AB219" s="31">
        <f>'mnt Data'!N222</f>
        <v>0</v>
      </c>
      <c r="AC219" s="31">
        <f>'mnt Data'!O222</f>
        <v>0</v>
      </c>
      <c r="AD219" s="31">
        <f>'mnt Data'!P222</f>
        <v>0</v>
      </c>
      <c r="AE219" s="31">
        <f>'mnt Data'!Q222</f>
        <v>0</v>
      </c>
      <c r="AF219" s="31">
        <f>'mnt Data'!R222</f>
        <v>0</v>
      </c>
      <c r="AG219" s="31">
        <f>'mnt Data'!S222</f>
        <v>0</v>
      </c>
      <c r="AH219" s="31">
        <f>'mnt Data'!T222</f>
        <v>0</v>
      </c>
      <c r="AI219" s="31">
        <f>'mnt Data'!U222</f>
        <v>0</v>
      </c>
      <c r="AJ219" s="31">
        <f>'mnt Data'!V222</f>
        <v>0</v>
      </c>
      <c r="AK219" s="31">
        <f>'mnt Data'!W222</f>
        <v>0</v>
      </c>
      <c r="AL219" s="31">
        <f>'mnt Data'!X222</f>
        <v>0</v>
      </c>
      <c r="AM219" s="31">
        <f>'mnt Data'!Y222</f>
        <v>0</v>
      </c>
      <c r="AN219" s="31">
        <f>'mnt Data'!Z222</f>
        <v>0</v>
      </c>
      <c r="AO219" s="31">
        <f>'mnt Data'!AA222</f>
        <v>0</v>
      </c>
      <c r="AP219" s="31">
        <f>'mnt Data'!AB222</f>
        <v>0</v>
      </c>
      <c r="AQ219" s="31">
        <f>'mnt Data'!AC222</f>
        <v>0</v>
      </c>
      <c r="AR219" s="31">
        <f>'mnt Data'!AD222</f>
        <v>0</v>
      </c>
      <c r="AS219" s="31">
        <f>'mnt Data'!AE222</f>
        <v>0</v>
      </c>
      <c r="AT219" s="31">
        <f>'mnt Data'!AF222</f>
        <v>0</v>
      </c>
      <c r="AU219" s="31">
        <f>'mnt Data'!AG222</f>
        <v>0</v>
      </c>
      <c r="AV219" s="31">
        <f>'mnt Data'!AH222</f>
        <v>0</v>
      </c>
      <c r="AW219" s="31">
        <f>'mnt Data'!AI222</f>
        <v>0</v>
      </c>
      <c r="AX219" s="31">
        <f>'mnt Data'!AJ222</f>
        <v>0</v>
      </c>
      <c r="AY219" s="31">
        <f>'mnt Data'!AK222</f>
        <v>0</v>
      </c>
    </row>
    <row r="220" spans="1:51" x14ac:dyDescent="0.25">
      <c r="A220">
        <v>219</v>
      </c>
      <c r="B220" s="32">
        <f t="shared" si="36"/>
        <v>0</v>
      </c>
      <c r="C220" s="32">
        <f t="shared" si="37"/>
        <v>0</v>
      </c>
      <c r="D220" s="32" t="str">
        <f t="shared" si="41"/>
        <v>No Gs</v>
      </c>
      <c r="E220" s="32">
        <f t="shared" si="45"/>
        <v>0</v>
      </c>
      <c r="F220" s="32" t="str">
        <f t="shared" si="46"/>
        <v>No Gs</v>
      </c>
      <c r="G220" s="32" t="str">
        <f t="shared" si="47"/>
        <v>No Gs</v>
      </c>
      <c r="H220" s="32" t="str">
        <f t="shared" si="38"/>
        <v>Gs is needed</v>
      </c>
      <c r="I220" s="32" t="str">
        <f t="shared" si="39"/>
        <v>Gs is needed</v>
      </c>
      <c r="J220" s="32" t="str">
        <f t="shared" si="40"/>
        <v>Gs is needed</v>
      </c>
      <c r="K220" s="32" t="str">
        <f t="shared" si="42"/>
        <v>Need Max and Min</v>
      </c>
      <c r="L220" s="32" t="str">
        <f t="shared" si="43"/>
        <v>Need Max and Min</v>
      </c>
      <c r="M220" s="32" t="str">
        <f t="shared" si="44"/>
        <v>Fail</v>
      </c>
      <c r="N220" s="32"/>
      <c r="O220" s="31">
        <f>'mnt Data'!A223</f>
        <v>0</v>
      </c>
      <c r="P220" s="31">
        <f>'mnt Data'!B223</f>
        <v>0</v>
      </c>
      <c r="Q220" s="31">
        <f>'mnt Data'!C223</f>
        <v>0</v>
      </c>
      <c r="R220" s="31">
        <f>'mnt Data'!D223</f>
        <v>0</v>
      </c>
      <c r="S220" s="31">
        <f>'mnt Data'!E223</f>
        <v>0</v>
      </c>
      <c r="T220" s="31">
        <f>'mnt Data'!F223</f>
        <v>0</v>
      </c>
      <c r="U220" s="31">
        <f>'mnt Data'!G223</f>
        <v>0</v>
      </c>
      <c r="V220" s="31">
        <f>'mnt Data'!H223</f>
        <v>0</v>
      </c>
      <c r="W220" s="31">
        <f>'mnt Data'!I223</f>
        <v>0</v>
      </c>
      <c r="X220" s="31">
        <f>'mnt Data'!J223</f>
        <v>0</v>
      </c>
      <c r="Y220" s="31">
        <f>'mnt Data'!K223</f>
        <v>0</v>
      </c>
      <c r="Z220" s="31">
        <f>'mnt Data'!L223</f>
        <v>0</v>
      </c>
      <c r="AA220" s="31">
        <f>'mnt Data'!M223</f>
        <v>0</v>
      </c>
      <c r="AB220" s="31">
        <f>'mnt Data'!N223</f>
        <v>0</v>
      </c>
      <c r="AC220" s="31">
        <f>'mnt Data'!O223</f>
        <v>0</v>
      </c>
      <c r="AD220" s="31">
        <f>'mnt Data'!P223</f>
        <v>0</v>
      </c>
      <c r="AE220" s="31">
        <f>'mnt Data'!Q223</f>
        <v>0</v>
      </c>
      <c r="AF220" s="31">
        <f>'mnt Data'!R223</f>
        <v>0</v>
      </c>
      <c r="AG220" s="31">
        <f>'mnt Data'!S223</f>
        <v>0</v>
      </c>
      <c r="AH220" s="31">
        <f>'mnt Data'!T223</f>
        <v>0</v>
      </c>
      <c r="AI220" s="31">
        <f>'mnt Data'!U223</f>
        <v>0</v>
      </c>
      <c r="AJ220" s="31">
        <f>'mnt Data'!V223</f>
        <v>0</v>
      </c>
      <c r="AK220" s="31">
        <f>'mnt Data'!W223</f>
        <v>0</v>
      </c>
      <c r="AL220" s="31">
        <f>'mnt Data'!X223</f>
        <v>0</v>
      </c>
      <c r="AM220" s="31">
        <f>'mnt Data'!Y223</f>
        <v>0</v>
      </c>
      <c r="AN220" s="31">
        <f>'mnt Data'!Z223</f>
        <v>0</v>
      </c>
      <c r="AO220" s="31">
        <f>'mnt Data'!AA223</f>
        <v>0</v>
      </c>
      <c r="AP220" s="31">
        <f>'mnt Data'!AB223</f>
        <v>0</v>
      </c>
      <c r="AQ220" s="31">
        <f>'mnt Data'!AC223</f>
        <v>0</v>
      </c>
      <c r="AR220" s="31">
        <f>'mnt Data'!AD223</f>
        <v>0</v>
      </c>
      <c r="AS220" s="31">
        <f>'mnt Data'!AE223</f>
        <v>0</v>
      </c>
      <c r="AT220" s="31">
        <f>'mnt Data'!AF223</f>
        <v>0</v>
      </c>
      <c r="AU220" s="31">
        <f>'mnt Data'!AG223</f>
        <v>0</v>
      </c>
      <c r="AV220" s="31">
        <f>'mnt Data'!AH223</f>
        <v>0</v>
      </c>
      <c r="AW220" s="31">
        <f>'mnt Data'!AI223</f>
        <v>0</v>
      </c>
      <c r="AX220" s="31">
        <f>'mnt Data'!AJ223</f>
        <v>0</v>
      </c>
      <c r="AY220" s="31">
        <f>'mnt Data'!AK223</f>
        <v>0</v>
      </c>
    </row>
    <row r="221" spans="1:51" x14ac:dyDescent="0.25">
      <c r="A221">
        <v>220</v>
      </c>
      <c r="B221" s="32">
        <f t="shared" si="36"/>
        <v>0</v>
      </c>
      <c r="C221" s="32">
        <f t="shared" si="37"/>
        <v>0</v>
      </c>
      <c r="D221" s="32" t="str">
        <f t="shared" si="41"/>
        <v>No Gs</v>
      </c>
      <c r="E221" s="32">
        <f t="shared" si="45"/>
        <v>0</v>
      </c>
      <c r="F221" s="32" t="str">
        <f t="shared" si="46"/>
        <v>No Gs</v>
      </c>
      <c r="G221" s="32" t="str">
        <f t="shared" si="47"/>
        <v>No Gs</v>
      </c>
      <c r="H221" s="32" t="str">
        <f t="shared" si="38"/>
        <v>Gs is needed</v>
      </c>
      <c r="I221" s="32" t="str">
        <f t="shared" si="39"/>
        <v>Gs is needed</v>
      </c>
      <c r="J221" s="32" t="str">
        <f t="shared" si="40"/>
        <v>Gs is needed</v>
      </c>
      <c r="K221" s="32" t="str">
        <f t="shared" si="42"/>
        <v>Need Max and Min</v>
      </c>
      <c r="L221" s="32" t="str">
        <f t="shared" si="43"/>
        <v>Need Max and Min</v>
      </c>
      <c r="M221" s="32" t="str">
        <f t="shared" si="44"/>
        <v>Fail</v>
      </c>
      <c r="N221" s="32"/>
      <c r="O221" s="31">
        <f>'mnt Data'!A224</f>
        <v>0</v>
      </c>
      <c r="P221" s="31">
        <f>'mnt Data'!B224</f>
        <v>0</v>
      </c>
      <c r="Q221" s="31">
        <f>'mnt Data'!C224</f>
        <v>0</v>
      </c>
      <c r="R221" s="31">
        <f>'mnt Data'!D224</f>
        <v>0</v>
      </c>
      <c r="S221" s="31">
        <f>'mnt Data'!E224</f>
        <v>0</v>
      </c>
      <c r="T221" s="31">
        <f>'mnt Data'!F224</f>
        <v>0</v>
      </c>
      <c r="U221" s="31">
        <f>'mnt Data'!G224</f>
        <v>0</v>
      </c>
      <c r="V221" s="31">
        <f>'mnt Data'!H224</f>
        <v>0</v>
      </c>
      <c r="W221" s="31">
        <f>'mnt Data'!I224</f>
        <v>0</v>
      </c>
      <c r="X221" s="31">
        <f>'mnt Data'!J224</f>
        <v>0</v>
      </c>
      <c r="Y221" s="31">
        <f>'mnt Data'!K224</f>
        <v>0</v>
      </c>
      <c r="Z221" s="31">
        <f>'mnt Data'!L224</f>
        <v>0</v>
      </c>
      <c r="AA221" s="31">
        <f>'mnt Data'!M224</f>
        <v>0</v>
      </c>
      <c r="AB221" s="31">
        <f>'mnt Data'!N224</f>
        <v>0</v>
      </c>
      <c r="AC221" s="31">
        <f>'mnt Data'!O224</f>
        <v>0</v>
      </c>
      <c r="AD221" s="31">
        <f>'mnt Data'!P224</f>
        <v>0</v>
      </c>
      <c r="AE221" s="31">
        <f>'mnt Data'!Q224</f>
        <v>0</v>
      </c>
      <c r="AF221" s="31">
        <f>'mnt Data'!R224</f>
        <v>0</v>
      </c>
      <c r="AG221" s="31">
        <f>'mnt Data'!S224</f>
        <v>0</v>
      </c>
      <c r="AH221" s="31">
        <f>'mnt Data'!T224</f>
        <v>0</v>
      </c>
      <c r="AI221" s="31">
        <f>'mnt Data'!U224</f>
        <v>0</v>
      </c>
      <c r="AJ221" s="31">
        <f>'mnt Data'!V224</f>
        <v>0</v>
      </c>
      <c r="AK221" s="31">
        <f>'mnt Data'!W224</f>
        <v>0</v>
      </c>
      <c r="AL221" s="31">
        <f>'mnt Data'!X224</f>
        <v>0</v>
      </c>
      <c r="AM221" s="31">
        <f>'mnt Data'!Y224</f>
        <v>0</v>
      </c>
      <c r="AN221" s="31">
        <f>'mnt Data'!Z224</f>
        <v>0</v>
      </c>
      <c r="AO221" s="31">
        <f>'mnt Data'!AA224</f>
        <v>0</v>
      </c>
      <c r="AP221" s="31">
        <f>'mnt Data'!AB224</f>
        <v>0</v>
      </c>
      <c r="AQ221" s="31">
        <f>'mnt Data'!AC224</f>
        <v>0</v>
      </c>
      <c r="AR221" s="31">
        <f>'mnt Data'!AD224</f>
        <v>0</v>
      </c>
      <c r="AS221" s="31">
        <f>'mnt Data'!AE224</f>
        <v>0</v>
      </c>
      <c r="AT221" s="31">
        <f>'mnt Data'!AF224</f>
        <v>0</v>
      </c>
      <c r="AU221" s="31">
        <f>'mnt Data'!AG224</f>
        <v>0</v>
      </c>
      <c r="AV221" s="31">
        <f>'mnt Data'!AH224</f>
        <v>0</v>
      </c>
      <c r="AW221" s="31">
        <f>'mnt Data'!AI224</f>
        <v>0</v>
      </c>
      <c r="AX221" s="31">
        <f>'mnt Data'!AJ224</f>
        <v>0</v>
      </c>
      <c r="AY221" s="31">
        <f>'mnt Data'!AK224</f>
        <v>0</v>
      </c>
    </row>
    <row r="222" spans="1:51" x14ac:dyDescent="0.25">
      <c r="A222">
        <v>221</v>
      </c>
      <c r="B222" s="32">
        <f t="shared" si="36"/>
        <v>0</v>
      </c>
      <c r="C222" s="32">
        <f t="shared" si="37"/>
        <v>0</v>
      </c>
      <c r="D222" s="32" t="str">
        <f t="shared" si="41"/>
        <v>No Gs</v>
      </c>
      <c r="E222" s="32">
        <f t="shared" si="45"/>
        <v>0</v>
      </c>
      <c r="F222" s="32" t="str">
        <f t="shared" si="46"/>
        <v>No Gs</v>
      </c>
      <c r="G222" s="32" t="str">
        <f t="shared" si="47"/>
        <v>No Gs</v>
      </c>
      <c r="H222" s="32" t="str">
        <f t="shared" si="38"/>
        <v>Gs is needed</v>
      </c>
      <c r="I222" s="32" t="str">
        <f t="shared" si="39"/>
        <v>Gs is needed</v>
      </c>
      <c r="J222" s="32" t="str">
        <f t="shared" si="40"/>
        <v>Gs is needed</v>
      </c>
      <c r="K222" s="32" t="str">
        <f t="shared" si="42"/>
        <v>Need Max and Min</v>
      </c>
      <c r="L222" s="32" t="str">
        <f t="shared" si="43"/>
        <v>Need Max and Min</v>
      </c>
      <c r="M222" s="32" t="str">
        <f t="shared" si="44"/>
        <v>Fail</v>
      </c>
      <c r="N222" s="32"/>
      <c r="O222" s="31">
        <f>'mnt Data'!A225</f>
        <v>0</v>
      </c>
      <c r="P222" s="31">
        <f>'mnt Data'!B225</f>
        <v>0</v>
      </c>
      <c r="Q222" s="31">
        <f>'mnt Data'!C225</f>
        <v>0</v>
      </c>
      <c r="R222" s="31">
        <f>'mnt Data'!D225</f>
        <v>0</v>
      </c>
      <c r="S222" s="31">
        <f>'mnt Data'!E225</f>
        <v>0</v>
      </c>
      <c r="T222" s="31">
        <f>'mnt Data'!F225</f>
        <v>0</v>
      </c>
      <c r="U222" s="31">
        <f>'mnt Data'!G225</f>
        <v>0</v>
      </c>
      <c r="V222" s="31">
        <f>'mnt Data'!H225</f>
        <v>0</v>
      </c>
      <c r="W222" s="31">
        <f>'mnt Data'!I225</f>
        <v>0</v>
      </c>
      <c r="X222" s="31">
        <f>'mnt Data'!J225</f>
        <v>0</v>
      </c>
      <c r="Y222" s="31">
        <f>'mnt Data'!K225</f>
        <v>0</v>
      </c>
      <c r="Z222" s="31">
        <f>'mnt Data'!L225</f>
        <v>0</v>
      </c>
      <c r="AA222" s="31">
        <f>'mnt Data'!M225</f>
        <v>0</v>
      </c>
      <c r="AB222" s="31">
        <f>'mnt Data'!N225</f>
        <v>0</v>
      </c>
      <c r="AC222" s="31">
        <f>'mnt Data'!O225</f>
        <v>0</v>
      </c>
      <c r="AD222" s="31">
        <f>'mnt Data'!P225</f>
        <v>0</v>
      </c>
      <c r="AE222" s="31">
        <f>'mnt Data'!Q225</f>
        <v>0</v>
      </c>
      <c r="AF222" s="31">
        <f>'mnt Data'!R225</f>
        <v>0</v>
      </c>
      <c r="AG222" s="31">
        <f>'mnt Data'!S225</f>
        <v>0</v>
      </c>
      <c r="AH222" s="31">
        <f>'mnt Data'!T225</f>
        <v>0</v>
      </c>
      <c r="AI222" s="31">
        <f>'mnt Data'!U225</f>
        <v>0</v>
      </c>
      <c r="AJ222" s="31">
        <f>'mnt Data'!V225</f>
        <v>0</v>
      </c>
      <c r="AK222" s="31">
        <f>'mnt Data'!W225</f>
        <v>0</v>
      </c>
      <c r="AL222" s="31">
        <f>'mnt Data'!X225</f>
        <v>0</v>
      </c>
      <c r="AM222" s="31">
        <f>'mnt Data'!Y225</f>
        <v>0</v>
      </c>
      <c r="AN222" s="31">
        <f>'mnt Data'!Z225</f>
        <v>0</v>
      </c>
      <c r="AO222" s="31">
        <f>'mnt Data'!AA225</f>
        <v>0</v>
      </c>
      <c r="AP222" s="31">
        <f>'mnt Data'!AB225</f>
        <v>0</v>
      </c>
      <c r="AQ222" s="31">
        <f>'mnt Data'!AC225</f>
        <v>0</v>
      </c>
      <c r="AR222" s="31">
        <f>'mnt Data'!AD225</f>
        <v>0</v>
      </c>
      <c r="AS222" s="31">
        <f>'mnt Data'!AE225</f>
        <v>0</v>
      </c>
      <c r="AT222" s="31">
        <f>'mnt Data'!AF225</f>
        <v>0</v>
      </c>
      <c r="AU222" s="31">
        <f>'mnt Data'!AG225</f>
        <v>0</v>
      </c>
      <c r="AV222" s="31">
        <f>'mnt Data'!AH225</f>
        <v>0</v>
      </c>
      <c r="AW222" s="31">
        <f>'mnt Data'!AI225</f>
        <v>0</v>
      </c>
      <c r="AX222" s="31">
        <f>'mnt Data'!AJ225</f>
        <v>0</v>
      </c>
      <c r="AY222" s="31">
        <f>'mnt Data'!AK225</f>
        <v>0</v>
      </c>
    </row>
    <row r="223" spans="1:51" x14ac:dyDescent="0.25">
      <c r="A223">
        <v>222</v>
      </c>
      <c r="B223" s="32">
        <f t="shared" si="36"/>
        <v>0</v>
      </c>
      <c r="C223" s="32">
        <f t="shared" si="37"/>
        <v>0</v>
      </c>
      <c r="D223" s="32" t="str">
        <f t="shared" si="41"/>
        <v>No Gs</v>
      </c>
      <c r="E223" s="32">
        <f t="shared" si="45"/>
        <v>0</v>
      </c>
      <c r="F223" s="32" t="str">
        <f t="shared" si="46"/>
        <v>No Gs</v>
      </c>
      <c r="G223" s="32" t="str">
        <f t="shared" si="47"/>
        <v>No Gs</v>
      </c>
      <c r="H223" s="32" t="str">
        <f t="shared" si="38"/>
        <v>Gs is needed</v>
      </c>
      <c r="I223" s="32" t="str">
        <f t="shared" si="39"/>
        <v>Gs is needed</v>
      </c>
      <c r="J223" s="32" t="str">
        <f t="shared" si="40"/>
        <v>Gs is needed</v>
      </c>
      <c r="K223" s="32" t="str">
        <f t="shared" si="42"/>
        <v>Need Max and Min</v>
      </c>
      <c r="L223" s="32" t="str">
        <f t="shared" si="43"/>
        <v>Need Max and Min</v>
      </c>
      <c r="M223" s="32" t="str">
        <f t="shared" si="44"/>
        <v>Fail</v>
      </c>
      <c r="N223" s="32"/>
      <c r="O223" s="31">
        <f>'mnt Data'!A226</f>
        <v>0</v>
      </c>
      <c r="P223" s="31">
        <f>'mnt Data'!B226</f>
        <v>0</v>
      </c>
      <c r="Q223" s="31">
        <f>'mnt Data'!C226</f>
        <v>0</v>
      </c>
      <c r="R223" s="31">
        <f>'mnt Data'!D226</f>
        <v>0</v>
      </c>
      <c r="S223" s="31">
        <f>'mnt Data'!E226</f>
        <v>0</v>
      </c>
      <c r="T223" s="31">
        <f>'mnt Data'!F226</f>
        <v>0</v>
      </c>
      <c r="U223" s="31">
        <f>'mnt Data'!G226</f>
        <v>0</v>
      </c>
      <c r="V223" s="31">
        <f>'mnt Data'!H226</f>
        <v>0</v>
      </c>
      <c r="W223" s="31">
        <f>'mnt Data'!I226</f>
        <v>0</v>
      </c>
      <c r="X223" s="31">
        <f>'mnt Data'!J226</f>
        <v>0</v>
      </c>
      <c r="Y223" s="31">
        <f>'mnt Data'!K226</f>
        <v>0</v>
      </c>
      <c r="Z223" s="31">
        <f>'mnt Data'!L226</f>
        <v>0</v>
      </c>
      <c r="AA223" s="31">
        <f>'mnt Data'!M226</f>
        <v>0</v>
      </c>
      <c r="AB223" s="31">
        <f>'mnt Data'!N226</f>
        <v>0</v>
      </c>
      <c r="AC223" s="31">
        <f>'mnt Data'!O226</f>
        <v>0</v>
      </c>
      <c r="AD223" s="31">
        <f>'mnt Data'!P226</f>
        <v>0</v>
      </c>
      <c r="AE223" s="31">
        <f>'mnt Data'!Q226</f>
        <v>0</v>
      </c>
      <c r="AF223" s="31">
        <f>'mnt Data'!R226</f>
        <v>0</v>
      </c>
      <c r="AG223" s="31">
        <f>'mnt Data'!S226</f>
        <v>0</v>
      </c>
      <c r="AH223" s="31">
        <f>'mnt Data'!T226</f>
        <v>0</v>
      </c>
      <c r="AI223" s="31">
        <f>'mnt Data'!U226</f>
        <v>0</v>
      </c>
      <c r="AJ223" s="31">
        <f>'mnt Data'!V226</f>
        <v>0</v>
      </c>
      <c r="AK223" s="31">
        <f>'mnt Data'!W226</f>
        <v>0</v>
      </c>
      <c r="AL223" s="31">
        <f>'mnt Data'!X226</f>
        <v>0</v>
      </c>
      <c r="AM223" s="31">
        <f>'mnt Data'!Y226</f>
        <v>0</v>
      </c>
      <c r="AN223" s="31">
        <f>'mnt Data'!Z226</f>
        <v>0</v>
      </c>
      <c r="AO223" s="31">
        <f>'mnt Data'!AA226</f>
        <v>0</v>
      </c>
      <c r="AP223" s="31">
        <f>'mnt Data'!AB226</f>
        <v>0</v>
      </c>
      <c r="AQ223" s="31">
        <f>'mnt Data'!AC226</f>
        <v>0</v>
      </c>
      <c r="AR223" s="31">
        <f>'mnt Data'!AD226</f>
        <v>0</v>
      </c>
      <c r="AS223" s="31">
        <f>'mnt Data'!AE226</f>
        <v>0</v>
      </c>
      <c r="AT223" s="31">
        <f>'mnt Data'!AF226</f>
        <v>0</v>
      </c>
      <c r="AU223" s="31">
        <f>'mnt Data'!AG226</f>
        <v>0</v>
      </c>
      <c r="AV223" s="31">
        <f>'mnt Data'!AH226</f>
        <v>0</v>
      </c>
      <c r="AW223" s="31">
        <f>'mnt Data'!AI226</f>
        <v>0</v>
      </c>
      <c r="AX223" s="31">
        <f>'mnt Data'!AJ226</f>
        <v>0</v>
      </c>
      <c r="AY223" s="31">
        <f>'mnt Data'!AK226</f>
        <v>0</v>
      </c>
    </row>
    <row r="224" spans="1:51" x14ac:dyDescent="0.25">
      <c r="A224">
        <v>223</v>
      </c>
      <c r="B224" s="32">
        <f t="shared" si="36"/>
        <v>0</v>
      </c>
      <c r="C224" s="32">
        <f t="shared" si="37"/>
        <v>0</v>
      </c>
      <c r="D224" s="32" t="str">
        <f t="shared" si="41"/>
        <v>No Gs</v>
      </c>
      <c r="E224" s="32">
        <f t="shared" si="45"/>
        <v>0</v>
      </c>
      <c r="F224" s="32" t="str">
        <f t="shared" si="46"/>
        <v>No Gs</v>
      </c>
      <c r="G224" s="32" t="str">
        <f t="shared" si="47"/>
        <v>No Gs</v>
      </c>
      <c r="H224" s="32" t="str">
        <f t="shared" si="38"/>
        <v>Gs is needed</v>
      </c>
      <c r="I224" s="32" t="str">
        <f t="shared" si="39"/>
        <v>Gs is needed</v>
      </c>
      <c r="J224" s="32" t="str">
        <f t="shared" si="40"/>
        <v>Gs is needed</v>
      </c>
      <c r="K224" s="32" t="str">
        <f t="shared" si="42"/>
        <v>Need Max and Min</v>
      </c>
      <c r="L224" s="32" t="str">
        <f t="shared" si="43"/>
        <v>Need Max and Min</v>
      </c>
      <c r="M224" s="32" t="str">
        <f t="shared" si="44"/>
        <v>Fail</v>
      </c>
      <c r="N224" s="32"/>
      <c r="O224" s="31">
        <f>'mnt Data'!A227</f>
        <v>0</v>
      </c>
      <c r="P224" s="31">
        <f>'mnt Data'!B227</f>
        <v>0</v>
      </c>
      <c r="Q224" s="31">
        <f>'mnt Data'!C227</f>
        <v>0</v>
      </c>
      <c r="R224" s="31">
        <f>'mnt Data'!D227</f>
        <v>0</v>
      </c>
      <c r="S224" s="31">
        <f>'mnt Data'!E227</f>
        <v>0</v>
      </c>
      <c r="T224" s="31">
        <f>'mnt Data'!F227</f>
        <v>0</v>
      </c>
      <c r="U224" s="31">
        <f>'mnt Data'!G227</f>
        <v>0</v>
      </c>
      <c r="V224" s="31">
        <f>'mnt Data'!H227</f>
        <v>0</v>
      </c>
      <c r="W224" s="31">
        <f>'mnt Data'!I227</f>
        <v>0</v>
      </c>
      <c r="X224" s="31">
        <f>'mnt Data'!J227</f>
        <v>0</v>
      </c>
      <c r="Y224" s="31">
        <f>'mnt Data'!K227</f>
        <v>0</v>
      </c>
      <c r="Z224" s="31">
        <f>'mnt Data'!L227</f>
        <v>0</v>
      </c>
      <c r="AA224" s="31">
        <f>'mnt Data'!M227</f>
        <v>0</v>
      </c>
      <c r="AB224" s="31">
        <f>'mnt Data'!N227</f>
        <v>0</v>
      </c>
      <c r="AC224" s="31">
        <f>'mnt Data'!O227</f>
        <v>0</v>
      </c>
      <c r="AD224" s="31">
        <f>'mnt Data'!P227</f>
        <v>0</v>
      </c>
      <c r="AE224" s="31">
        <f>'mnt Data'!Q227</f>
        <v>0</v>
      </c>
      <c r="AF224" s="31">
        <f>'mnt Data'!R227</f>
        <v>0</v>
      </c>
      <c r="AG224" s="31">
        <f>'mnt Data'!S227</f>
        <v>0</v>
      </c>
      <c r="AH224" s="31">
        <f>'mnt Data'!T227</f>
        <v>0</v>
      </c>
      <c r="AI224" s="31">
        <f>'mnt Data'!U227</f>
        <v>0</v>
      </c>
      <c r="AJ224" s="31">
        <f>'mnt Data'!V227</f>
        <v>0</v>
      </c>
      <c r="AK224" s="31">
        <f>'mnt Data'!W227</f>
        <v>0</v>
      </c>
      <c r="AL224" s="31">
        <f>'mnt Data'!X227</f>
        <v>0</v>
      </c>
      <c r="AM224" s="31">
        <f>'mnt Data'!Y227</f>
        <v>0</v>
      </c>
      <c r="AN224" s="31">
        <f>'mnt Data'!Z227</f>
        <v>0</v>
      </c>
      <c r="AO224" s="31">
        <f>'mnt Data'!AA227</f>
        <v>0</v>
      </c>
      <c r="AP224" s="31">
        <f>'mnt Data'!AB227</f>
        <v>0</v>
      </c>
      <c r="AQ224" s="31">
        <f>'mnt Data'!AC227</f>
        <v>0</v>
      </c>
      <c r="AR224" s="31">
        <f>'mnt Data'!AD227</f>
        <v>0</v>
      </c>
      <c r="AS224" s="31">
        <f>'mnt Data'!AE227</f>
        <v>0</v>
      </c>
      <c r="AT224" s="31">
        <f>'mnt Data'!AF227</f>
        <v>0</v>
      </c>
      <c r="AU224" s="31">
        <f>'mnt Data'!AG227</f>
        <v>0</v>
      </c>
      <c r="AV224" s="31">
        <f>'mnt Data'!AH227</f>
        <v>0</v>
      </c>
      <c r="AW224" s="31">
        <f>'mnt Data'!AI227</f>
        <v>0</v>
      </c>
      <c r="AX224" s="31">
        <f>'mnt Data'!AJ227</f>
        <v>0</v>
      </c>
      <c r="AY224" s="31">
        <f>'mnt Data'!AK227</f>
        <v>0</v>
      </c>
    </row>
    <row r="225" spans="1:51" x14ac:dyDescent="0.25">
      <c r="A225">
        <v>224</v>
      </c>
      <c r="B225" s="32">
        <f t="shared" si="36"/>
        <v>0</v>
      </c>
      <c r="C225" s="32">
        <f t="shared" si="37"/>
        <v>0</v>
      </c>
      <c r="D225" s="32" t="str">
        <f t="shared" si="41"/>
        <v>No Gs</v>
      </c>
      <c r="E225" s="32">
        <f t="shared" si="45"/>
        <v>0</v>
      </c>
      <c r="F225" s="32" t="str">
        <f t="shared" si="46"/>
        <v>No Gs</v>
      </c>
      <c r="G225" s="32" t="str">
        <f t="shared" si="47"/>
        <v>No Gs</v>
      </c>
      <c r="H225" s="32" t="str">
        <f t="shared" si="38"/>
        <v>Gs is needed</v>
      </c>
      <c r="I225" s="32" t="str">
        <f t="shared" si="39"/>
        <v>Gs is needed</v>
      </c>
      <c r="J225" s="32" t="str">
        <f t="shared" si="40"/>
        <v>Gs is needed</v>
      </c>
      <c r="K225" s="32" t="str">
        <f t="shared" si="42"/>
        <v>Need Max and Min</v>
      </c>
      <c r="L225" s="32" t="str">
        <f t="shared" si="43"/>
        <v>Need Max and Min</v>
      </c>
      <c r="M225" s="32" t="str">
        <f t="shared" si="44"/>
        <v>Fail</v>
      </c>
      <c r="N225" s="32"/>
      <c r="O225" s="31">
        <f>'mnt Data'!A228</f>
        <v>0</v>
      </c>
      <c r="P225" s="31">
        <f>'mnt Data'!B228</f>
        <v>0</v>
      </c>
      <c r="Q225" s="31">
        <f>'mnt Data'!C228</f>
        <v>0</v>
      </c>
      <c r="R225" s="31">
        <f>'mnt Data'!D228</f>
        <v>0</v>
      </c>
      <c r="S225" s="31">
        <f>'mnt Data'!E228</f>
        <v>0</v>
      </c>
      <c r="T225" s="31">
        <f>'mnt Data'!F228</f>
        <v>0</v>
      </c>
      <c r="U225" s="31">
        <f>'mnt Data'!G228</f>
        <v>0</v>
      </c>
      <c r="V225" s="31">
        <f>'mnt Data'!H228</f>
        <v>0</v>
      </c>
      <c r="W225" s="31">
        <f>'mnt Data'!I228</f>
        <v>0</v>
      </c>
      <c r="X225" s="31">
        <f>'mnt Data'!J228</f>
        <v>0</v>
      </c>
      <c r="Y225" s="31">
        <f>'mnt Data'!K228</f>
        <v>0</v>
      </c>
      <c r="Z225" s="31">
        <f>'mnt Data'!L228</f>
        <v>0</v>
      </c>
      <c r="AA225" s="31">
        <f>'mnt Data'!M228</f>
        <v>0</v>
      </c>
      <c r="AB225" s="31">
        <f>'mnt Data'!N228</f>
        <v>0</v>
      </c>
      <c r="AC225" s="31">
        <f>'mnt Data'!O228</f>
        <v>0</v>
      </c>
      <c r="AD225" s="31">
        <f>'mnt Data'!P228</f>
        <v>0</v>
      </c>
      <c r="AE225" s="31">
        <f>'mnt Data'!Q228</f>
        <v>0</v>
      </c>
      <c r="AF225" s="31">
        <f>'mnt Data'!R228</f>
        <v>0</v>
      </c>
      <c r="AG225" s="31">
        <f>'mnt Data'!S228</f>
        <v>0</v>
      </c>
      <c r="AH225" s="31">
        <f>'mnt Data'!T228</f>
        <v>0</v>
      </c>
      <c r="AI225" s="31">
        <f>'mnt Data'!U228</f>
        <v>0</v>
      </c>
      <c r="AJ225" s="31">
        <f>'mnt Data'!V228</f>
        <v>0</v>
      </c>
      <c r="AK225" s="31">
        <f>'mnt Data'!W228</f>
        <v>0</v>
      </c>
      <c r="AL225" s="31">
        <f>'mnt Data'!X228</f>
        <v>0</v>
      </c>
      <c r="AM225" s="31">
        <f>'mnt Data'!Y228</f>
        <v>0</v>
      </c>
      <c r="AN225" s="31">
        <f>'mnt Data'!Z228</f>
        <v>0</v>
      </c>
      <c r="AO225" s="31">
        <f>'mnt Data'!AA228</f>
        <v>0</v>
      </c>
      <c r="AP225" s="31">
        <f>'mnt Data'!AB228</f>
        <v>0</v>
      </c>
      <c r="AQ225" s="31">
        <f>'mnt Data'!AC228</f>
        <v>0</v>
      </c>
      <c r="AR225" s="31">
        <f>'mnt Data'!AD228</f>
        <v>0</v>
      </c>
      <c r="AS225" s="31">
        <f>'mnt Data'!AE228</f>
        <v>0</v>
      </c>
      <c r="AT225" s="31">
        <f>'mnt Data'!AF228</f>
        <v>0</v>
      </c>
      <c r="AU225" s="31">
        <f>'mnt Data'!AG228</f>
        <v>0</v>
      </c>
      <c r="AV225" s="31">
        <f>'mnt Data'!AH228</f>
        <v>0</v>
      </c>
      <c r="AW225" s="31">
        <f>'mnt Data'!AI228</f>
        <v>0</v>
      </c>
      <c r="AX225" s="31">
        <f>'mnt Data'!AJ228</f>
        <v>0</v>
      </c>
      <c r="AY225" s="31">
        <f>'mnt Data'!AK228</f>
        <v>0</v>
      </c>
    </row>
    <row r="226" spans="1:51" x14ac:dyDescent="0.25">
      <c r="A226">
        <v>225</v>
      </c>
      <c r="B226" s="32">
        <f t="shared" si="36"/>
        <v>0</v>
      </c>
      <c r="C226" s="32">
        <f t="shared" si="37"/>
        <v>0</v>
      </c>
      <c r="D226" s="32" t="str">
        <f t="shared" si="41"/>
        <v>No Gs</v>
      </c>
      <c r="E226" s="32">
        <f t="shared" si="45"/>
        <v>0</v>
      </c>
      <c r="F226" s="32" t="str">
        <f t="shared" si="46"/>
        <v>No Gs</v>
      </c>
      <c r="G226" s="32" t="str">
        <f t="shared" si="47"/>
        <v>No Gs</v>
      </c>
      <c r="H226" s="32" t="str">
        <f t="shared" si="38"/>
        <v>Gs is needed</v>
      </c>
      <c r="I226" s="32" t="str">
        <f t="shared" si="39"/>
        <v>Gs is needed</v>
      </c>
      <c r="J226" s="32" t="str">
        <f t="shared" si="40"/>
        <v>Gs is needed</v>
      </c>
      <c r="K226" s="32" t="str">
        <f t="shared" si="42"/>
        <v>Need Max and Min</v>
      </c>
      <c r="L226" s="32" t="str">
        <f t="shared" si="43"/>
        <v>Need Max and Min</v>
      </c>
      <c r="M226" s="32" t="str">
        <f t="shared" si="44"/>
        <v>Fail</v>
      </c>
      <c r="N226" s="32"/>
      <c r="O226" s="31">
        <f>'mnt Data'!A229</f>
        <v>0</v>
      </c>
      <c r="P226" s="31">
        <f>'mnt Data'!B229</f>
        <v>0</v>
      </c>
      <c r="Q226" s="31">
        <f>'mnt Data'!C229</f>
        <v>0</v>
      </c>
      <c r="R226" s="31">
        <f>'mnt Data'!D229</f>
        <v>0</v>
      </c>
      <c r="S226" s="31">
        <f>'mnt Data'!E229</f>
        <v>0</v>
      </c>
      <c r="T226" s="31">
        <f>'mnt Data'!F229</f>
        <v>0</v>
      </c>
      <c r="U226" s="31">
        <f>'mnt Data'!G229</f>
        <v>0</v>
      </c>
      <c r="V226" s="31">
        <f>'mnt Data'!H229</f>
        <v>0</v>
      </c>
      <c r="W226" s="31">
        <f>'mnt Data'!I229</f>
        <v>0</v>
      </c>
      <c r="X226" s="31">
        <f>'mnt Data'!J229</f>
        <v>0</v>
      </c>
      <c r="Y226" s="31">
        <f>'mnt Data'!K229</f>
        <v>0</v>
      </c>
      <c r="Z226" s="31">
        <f>'mnt Data'!L229</f>
        <v>0</v>
      </c>
      <c r="AA226" s="31">
        <f>'mnt Data'!M229</f>
        <v>0</v>
      </c>
      <c r="AB226" s="31">
        <f>'mnt Data'!N229</f>
        <v>0</v>
      </c>
      <c r="AC226" s="31">
        <f>'mnt Data'!O229</f>
        <v>0</v>
      </c>
      <c r="AD226" s="31">
        <f>'mnt Data'!P229</f>
        <v>0</v>
      </c>
      <c r="AE226" s="31">
        <f>'mnt Data'!Q229</f>
        <v>0</v>
      </c>
      <c r="AF226" s="31">
        <f>'mnt Data'!R229</f>
        <v>0</v>
      </c>
      <c r="AG226" s="31">
        <f>'mnt Data'!S229</f>
        <v>0</v>
      </c>
      <c r="AH226" s="31">
        <f>'mnt Data'!T229</f>
        <v>0</v>
      </c>
      <c r="AI226" s="31">
        <f>'mnt Data'!U229</f>
        <v>0</v>
      </c>
      <c r="AJ226" s="31">
        <f>'mnt Data'!V229</f>
        <v>0</v>
      </c>
      <c r="AK226" s="31">
        <f>'mnt Data'!W229</f>
        <v>0</v>
      </c>
      <c r="AL226" s="31">
        <f>'mnt Data'!X229</f>
        <v>0</v>
      </c>
      <c r="AM226" s="31">
        <f>'mnt Data'!Y229</f>
        <v>0</v>
      </c>
      <c r="AN226" s="31">
        <f>'mnt Data'!Z229</f>
        <v>0</v>
      </c>
      <c r="AO226" s="31">
        <f>'mnt Data'!AA229</f>
        <v>0</v>
      </c>
      <c r="AP226" s="31">
        <f>'mnt Data'!AB229</f>
        <v>0</v>
      </c>
      <c r="AQ226" s="31">
        <f>'mnt Data'!AC229</f>
        <v>0</v>
      </c>
      <c r="AR226" s="31">
        <f>'mnt Data'!AD229</f>
        <v>0</v>
      </c>
      <c r="AS226" s="31">
        <f>'mnt Data'!AE229</f>
        <v>0</v>
      </c>
      <c r="AT226" s="31">
        <f>'mnt Data'!AF229</f>
        <v>0</v>
      </c>
      <c r="AU226" s="31">
        <f>'mnt Data'!AG229</f>
        <v>0</v>
      </c>
      <c r="AV226" s="31">
        <f>'mnt Data'!AH229</f>
        <v>0</v>
      </c>
      <c r="AW226" s="31">
        <f>'mnt Data'!AI229</f>
        <v>0</v>
      </c>
      <c r="AX226" s="31">
        <f>'mnt Data'!AJ229</f>
        <v>0</v>
      </c>
      <c r="AY226" s="31">
        <f>'mnt Data'!AK229</f>
        <v>0</v>
      </c>
    </row>
    <row r="227" spans="1:51" x14ac:dyDescent="0.25">
      <c r="A227">
        <v>226</v>
      </c>
      <c r="B227" s="32">
        <f t="shared" si="36"/>
        <v>0</v>
      </c>
      <c r="C227" s="32">
        <f t="shared" si="37"/>
        <v>0</v>
      </c>
      <c r="D227" s="32" t="str">
        <f t="shared" si="41"/>
        <v>No Gs</v>
      </c>
      <c r="E227" s="32">
        <f t="shared" si="45"/>
        <v>0</v>
      </c>
      <c r="F227" s="32" t="str">
        <f t="shared" si="46"/>
        <v>No Gs</v>
      </c>
      <c r="G227" s="32" t="str">
        <f t="shared" si="47"/>
        <v>No Gs</v>
      </c>
      <c r="H227" s="32" t="str">
        <f t="shared" si="38"/>
        <v>Gs is needed</v>
      </c>
      <c r="I227" s="32" t="str">
        <f t="shared" si="39"/>
        <v>Gs is needed</v>
      </c>
      <c r="J227" s="32" t="str">
        <f t="shared" si="40"/>
        <v>Gs is needed</v>
      </c>
      <c r="K227" s="32" t="str">
        <f t="shared" si="42"/>
        <v>Need Max and Min</v>
      </c>
      <c r="L227" s="32" t="str">
        <f t="shared" si="43"/>
        <v>Need Max and Min</v>
      </c>
      <c r="M227" s="32" t="str">
        <f t="shared" si="44"/>
        <v>Fail</v>
      </c>
      <c r="N227" s="32"/>
      <c r="O227" s="31">
        <f>'mnt Data'!A230</f>
        <v>0</v>
      </c>
      <c r="P227" s="31">
        <f>'mnt Data'!B230</f>
        <v>0</v>
      </c>
      <c r="Q227" s="31">
        <f>'mnt Data'!C230</f>
        <v>0</v>
      </c>
      <c r="R227" s="31">
        <f>'mnt Data'!D230</f>
        <v>0</v>
      </c>
      <c r="S227" s="31">
        <f>'mnt Data'!E230</f>
        <v>0</v>
      </c>
      <c r="T227" s="31">
        <f>'mnt Data'!F230</f>
        <v>0</v>
      </c>
      <c r="U227" s="31">
        <f>'mnt Data'!G230</f>
        <v>0</v>
      </c>
      <c r="V227" s="31">
        <f>'mnt Data'!H230</f>
        <v>0</v>
      </c>
      <c r="W227" s="31">
        <f>'mnt Data'!I230</f>
        <v>0</v>
      </c>
      <c r="X227" s="31">
        <f>'mnt Data'!J230</f>
        <v>0</v>
      </c>
      <c r="Y227" s="31">
        <f>'mnt Data'!K230</f>
        <v>0</v>
      </c>
      <c r="Z227" s="31">
        <f>'mnt Data'!L230</f>
        <v>0</v>
      </c>
      <c r="AA227" s="31">
        <f>'mnt Data'!M230</f>
        <v>0</v>
      </c>
      <c r="AB227" s="31">
        <f>'mnt Data'!N230</f>
        <v>0</v>
      </c>
      <c r="AC227" s="31">
        <f>'mnt Data'!O230</f>
        <v>0</v>
      </c>
      <c r="AD227" s="31">
        <f>'mnt Data'!P230</f>
        <v>0</v>
      </c>
      <c r="AE227" s="31">
        <f>'mnt Data'!Q230</f>
        <v>0</v>
      </c>
      <c r="AF227" s="31">
        <f>'mnt Data'!R230</f>
        <v>0</v>
      </c>
      <c r="AG227" s="31">
        <f>'mnt Data'!S230</f>
        <v>0</v>
      </c>
      <c r="AH227" s="31">
        <f>'mnt Data'!T230</f>
        <v>0</v>
      </c>
      <c r="AI227" s="31">
        <f>'mnt Data'!U230</f>
        <v>0</v>
      </c>
      <c r="AJ227" s="31">
        <f>'mnt Data'!V230</f>
        <v>0</v>
      </c>
      <c r="AK227" s="31">
        <f>'mnt Data'!W230</f>
        <v>0</v>
      </c>
      <c r="AL227" s="31">
        <f>'mnt Data'!X230</f>
        <v>0</v>
      </c>
      <c r="AM227" s="31">
        <f>'mnt Data'!Y230</f>
        <v>0</v>
      </c>
      <c r="AN227" s="31">
        <f>'mnt Data'!Z230</f>
        <v>0</v>
      </c>
      <c r="AO227" s="31">
        <f>'mnt Data'!AA230</f>
        <v>0</v>
      </c>
      <c r="AP227" s="31">
        <f>'mnt Data'!AB230</f>
        <v>0</v>
      </c>
      <c r="AQ227" s="31">
        <f>'mnt Data'!AC230</f>
        <v>0</v>
      </c>
      <c r="AR227" s="31">
        <f>'mnt Data'!AD230</f>
        <v>0</v>
      </c>
      <c r="AS227" s="31">
        <f>'mnt Data'!AE230</f>
        <v>0</v>
      </c>
      <c r="AT227" s="31">
        <f>'mnt Data'!AF230</f>
        <v>0</v>
      </c>
      <c r="AU227" s="31">
        <f>'mnt Data'!AG230</f>
        <v>0</v>
      </c>
      <c r="AV227" s="31">
        <f>'mnt Data'!AH230</f>
        <v>0</v>
      </c>
      <c r="AW227" s="31">
        <f>'mnt Data'!AI230</f>
        <v>0</v>
      </c>
      <c r="AX227" s="31">
        <f>'mnt Data'!AJ230</f>
        <v>0</v>
      </c>
      <c r="AY227" s="31">
        <f>'mnt Data'!AK230</f>
        <v>0</v>
      </c>
    </row>
    <row r="228" spans="1:51" x14ac:dyDescent="0.25">
      <c r="A228">
        <v>227</v>
      </c>
      <c r="B228" s="32">
        <f t="shared" si="36"/>
        <v>0</v>
      </c>
      <c r="C228" s="32">
        <f t="shared" si="37"/>
        <v>0</v>
      </c>
      <c r="D228" s="32" t="str">
        <f t="shared" si="41"/>
        <v>No Gs</v>
      </c>
      <c r="E228" s="32">
        <f t="shared" si="45"/>
        <v>0</v>
      </c>
      <c r="F228" s="32" t="str">
        <f t="shared" si="46"/>
        <v>No Gs</v>
      </c>
      <c r="G228" s="32" t="str">
        <f t="shared" si="47"/>
        <v>No Gs</v>
      </c>
      <c r="H228" s="32" t="str">
        <f t="shared" si="38"/>
        <v>Gs is needed</v>
      </c>
      <c r="I228" s="32" t="str">
        <f t="shared" si="39"/>
        <v>Gs is needed</v>
      </c>
      <c r="J228" s="32" t="str">
        <f t="shared" si="40"/>
        <v>Gs is needed</v>
      </c>
      <c r="K228" s="32" t="str">
        <f t="shared" si="42"/>
        <v>Need Max and Min</v>
      </c>
      <c r="L228" s="32" t="str">
        <f t="shared" si="43"/>
        <v>Need Max and Min</v>
      </c>
      <c r="M228" s="32" t="str">
        <f t="shared" si="44"/>
        <v>Fail</v>
      </c>
      <c r="N228" s="32"/>
      <c r="O228" s="31">
        <f>'mnt Data'!A231</f>
        <v>0</v>
      </c>
      <c r="P228" s="31">
        <f>'mnt Data'!B231</f>
        <v>0</v>
      </c>
      <c r="Q228" s="31">
        <f>'mnt Data'!C231</f>
        <v>0</v>
      </c>
      <c r="R228" s="31">
        <f>'mnt Data'!D231</f>
        <v>0</v>
      </c>
      <c r="S228" s="31">
        <f>'mnt Data'!E231</f>
        <v>0</v>
      </c>
      <c r="T228" s="31">
        <f>'mnt Data'!F231</f>
        <v>0</v>
      </c>
      <c r="U228" s="31">
        <f>'mnt Data'!G231</f>
        <v>0</v>
      </c>
      <c r="V228" s="31">
        <f>'mnt Data'!H231</f>
        <v>0</v>
      </c>
      <c r="W228" s="31">
        <f>'mnt Data'!I231</f>
        <v>0</v>
      </c>
      <c r="X228" s="31">
        <f>'mnt Data'!J231</f>
        <v>0</v>
      </c>
      <c r="Y228" s="31">
        <f>'mnt Data'!K231</f>
        <v>0</v>
      </c>
      <c r="Z228" s="31">
        <f>'mnt Data'!L231</f>
        <v>0</v>
      </c>
      <c r="AA228" s="31">
        <f>'mnt Data'!M231</f>
        <v>0</v>
      </c>
      <c r="AB228" s="31">
        <f>'mnt Data'!N231</f>
        <v>0</v>
      </c>
      <c r="AC228" s="31">
        <f>'mnt Data'!O231</f>
        <v>0</v>
      </c>
      <c r="AD228" s="31">
        <f>'mnt Data'!P231</f>
        <v>0</v>
      </c>
      <c r="AE228" s="31">
        <f>'mnt Data'!Q231</f>
        <v>0</v>
      </c>
      <c r="AF228" s="31">
        <f>'mnt Data'!R231</f>
        <v>0</v>
      </c>
      <c r="AG228" s="31">
        <f>'mnt Data'!S231</f>
        <v>0</v>
      </c>
      <c r="AH228" s="31">
        <f>'mnt Data'!T231</f>
        <v>0</v>
      </c>
      <c r="AI228" s="31">
        <f>'mnt Data'!U231</f>
        <v>0</v>
      </c>
      <c r="AJ228" s="31">
        <f>'mnt Data'!V231</f>
        <v>0</v>
      </c>
      <c r="AK228" s="31">
        <f>'mnt Data'!W231</f>
        <v>0</v>
      </c>
      <c r="AL228" s="31">
        <f>'mnt Data'!X231</f>
        <v>0</v>
      </c>
      <c r="AM228" s="31">
        <f>'mnt Data'!Y231</f>
        <v>0</v>
      </c>
      <c r="AN228" s="31">
        <f>'mnt Data'!Z231</f>
        <v>0</v>
      </c>
      <c r="AO228" s="31">
        <f>'mnt Data'!AA231</f>
        <v>0</v>
      </c>
      <c r="AP228" s="31">
        <f>'mnt Data'!AB231</f>
        <v>0</v>
      </c>
      <c r="AQ228" s="31">
        <f>'mnt Data'!AC231</f>
        <v>0</v>
      </c>
      <c r="AR228" s="31">
        <f>'mnt Data'!AD231</f>
        <v>0</v>
      </c>
      <c r="AS228" s="31">
        <f>'mnt Data'!AE231</f>
        <v>0</v>
      </c>
      <c r="AT228" s="31">
        <f>'mnt Data'!AF231</f>
        <v>0</v>
      </c>
      <c r="AU228" s="31">
        <f>'mnt Data'!AG231</f>
        <v>0</v>
      </c>
      <c r="AV228" s="31">
        <f>'mnt Data'!AH231</f>
        <v>0</v>
      </c>
      <c r="AW228" s="31">
        <f>'mnt Data'!AI231</f>
        <v>0</v>
      </c>
      <c r="AX228" s="31">
        <f>'mnt Data'!AJ231</f>
        <v>0</v>
      </c>
      <c r="AY228" s="31">
        <f>'mnt Data'!AK231</f>
        <v>0</v>
      </c>
    </row>
    <row r="229" spans="1:51" x14ac:dyDescent="0.25">
      <c r="A229">
        <v>228</v>
      </c>
      <c r="B229" s="32">
        <f t="shared" si="36"/>
        <v>0</v>
      </c>
      <c r="C229" s="32">
        <f t="shared" si="37"/>
        <v>0</v>
      </c>
      <c r="D229" s="32" t="str">
        <f t="shared" si="41"/>
        <v>No Gs</v>
      </c>
      <c r="E229" s="32">
        <f t="shared" si="45"/>
        <v>0</v>
      </c>
      <c r="F229" s="32" t="str">
        <f t="shared" si="46"/>
        <v>No Gs</v>
      </c>
      <c r="G229" s="32" t="str">
        <f t="shared" si="47"/>
        <v>No Gs</v>
      </c>
      <c r="H229" s="32" t="str">
        <f t="shared" si="38"/>
        <v>Gs is needed</v>
      </c>
      <c r="I229" s="32" t="str">
        <f t="shared" si="39"/>
        <v>Gs is needed</v>
      </c>
      <c r="J229" s="32" t="str">
        <f t="shared" si="40"/>
        <v>Gs is needed</v>
      </c>
      <c r="K229" s="32" t="str">
        <f t="shared" si="42"/>
        <v>Need Max and Min</v>
      </c>
      <c r="L229" s="32" t="str">
        <f t="shared" si="43"/>
        <v>Need Max and Min</v>
      </c>
      <c r="M229" s="32" t="str">
        <f t="shared" si="44"/>
        <v>Fail</v>
      </c>
      <c r="N229" s="32"/>
      <c r="O229" s="31">
        <f>'mnt Data'!A232</f>
        <v>0</v>
      </c>
      <c r="P229" s="31">
        <f>'mnt Data'!B232</f>
        <v>0</v>
      </c>
      <c r="Q229" s="31">
        <f>'mnt Data'!C232</f>
        <v>0</v>
      </c>
      <c r="R229" s="31">
        <f>'mnt Data'!D232</f>
        <v>0</v>
      </c>
      <c r="S229" s="31">
        <f>'mnt Data'!E232</f>
        <v>0</v>
      </c>
      <c r="T229" s="31">
        <f>'mnt Data'!F232</f>
        <v>0</v>
      </c>
      <c r="U229" s="31">
        <f>'mnt Data'!G232</f>
        <v>0</v>
      </c>
      <c r="V229" s="31">
        <f>'mnt Data'!H232</f>
        <v>0</v>
      </c>
      <c r="W229" s="31">
        <f>'mnt Data'!I232</f>
        <v>0</v>
      </c>
      <c r="X229" s="31">
        <f>'mnt Data'!J232</f>
        <v>0</v>
      </c>
      <c r="Y229" s="31">
        <f>'mnt Data'!K232</f>
        <v>0</v>
      </c>
      <c r="Z229" s="31">
        <f>'mnt Data'!L232</f>
        <v>0</v>
      </c>
      <c r="AA229" s="31">
        <f>'mnt Data'!M232</f>
        <v>0</v>
      </c>
      <c r="AB229" s="31">
        <f>'mnt Data'!N232</f>
        <v>0</v>
      </c>
      <c r="AC229" s="31">
        <f>'mnt Data'!O232</f>
        <v>0</v>
      </c>
      <c r="AD229" s="31">
        <f>'mnt Data'!P232</f>
        <v>0</v>
      </c>
      <c r="AE229" s="31">
        <f>'mnt Data'!Q232</f>
        <v>0</v>
      </c>
      <c r="AF229" s="31">
        <f>'mnt Data'!R232</f>
        <v>0</v>
      </c>
      <c r="AG229" s="31">
        <f>'mnt Data'!S232</f>
        <v>0</v>
      </c>
      <c r="AH229" s="31">
        <f>'mnt Data'!T232</f>
        <v>0</v>
      </c>
      <c r="AI229" s="31">
        <f>'mnt Data'!U232</f>
        <v>0</v>
      </c>
      <c r="AJ229" s="31">
        <f>'mnt Data'!V232</f>
        <v>0</v>
      </c>
      <c r="AK229" s="31">
        <f>'mnt Data'!W232</f>
        <v>0</v>
      </c>
      <c r="AL229" s="31">
        <f>'mnt Data'!X232</f>
        <v>0</v>
      </c>
      <c r="AM229" s="31">
        <f>'mnt Data'!Y232</f>
        <v>0</v>
      </c>
      <c r="AN229" s="31">
        <f>'mnt Data'!Z232</f>
        <v>0</v>
      </c>
      <c r="AO229" s="31">
        <f>'mnt Data'!AA232</f>
        <v>0</v>
      </c>
      <c r="AP229" s="31">
        <f>'mnt Data'!AB232</f>
        <v>0</v>
      </c>
      <c r="AQ229" s="31">
        <f>'mnt Data'!AC232</f>
        <v>0</v>
      </c>
      <c r="AR229" s="31">
        <f>'mnt Data'!AD232</f>
        <v>0</v>
      </c>
      <c r="AS229" s="31">
        <f>'mnt Data'!AE232</f>
        <v>0</v>
      </c>
      <c r="AT229" s="31">
        <f>'mnt Data'!AF232</f>
        <v>0</v>
      </c>
      <c r="AU229" s="31">
        <f>'mnt Data'!AG232</f>
        <v>0</v>
      </c>
      <c r="AV229" s="31">
        <f>'mnt Data'!AH232</f>
        <v>0</v>
      </c>
      <c r="AW229" s="31">
        <f>'mnt Data'!AI232</f>
        <v>0</v>
      </c>
      <c r="AX229" s="31">
        <f>'mnt Data'!AJ232</f>
        <v>0</v>
      </c>
      <c r="AY229" s="31">
        <f>'mnt Data'!AK232</f>
        <v>0</v>
      </c>
    </row>
    <row r="230" spans="1:51" x14ac:dyDescent="0.25">
      <c r="A230">
        <v>229</v>
      </c>
      <c r="B230" s="32">
        <f t="shared" si="36"/>
        <v>0</v>
      </c>
      <c r="C230" s="32">
        <f t="shared" si="37"/>
        <v>0</v>
      </c>
      <c r="D230" s="32" t="str">
        <f t="shared" si="41"/>
        <v>No Gs</v>
      </c>
      <c r="E230" s="32">
        <f t="shared" si="45"/>
        <v>0</v>
      </c>
      <c r="F230" s="32" t="str">
        <f t="shared" si="46"/>
        <v>No Gs</v>
      </c>
      <c r="G230" s="32" t="str">
        <f t="shared" si="47"/>
        <v>No Gs</v>
      </c>
      <c r="H230" s="32" t="str">
        <f t="shared" si="38"/>
        <v>Gs is needed</v>
      </c>
      <c r="I230" s="32" t="str">
        <f t="shared" si="39"/>
        <v>Gs is needed</v>
      </c>
      <c r="J230" s="32" t="str">
        <f t="shared" si="40"/>
        <v>Gs is needed</v>
      </c>
      <c r="K230" s="32" t="str">
        <f t="shared" si="42"/>
        <v>Need Max and Min</v>
      </c>
      <c r="L230" s="32" t="str">
        <f t="shared" si="43"/>
        <v>Need Max and Min</v>
      </c>
      <c r="M230" s="32" t="str">
        <f t="shared" si="44"/>
        <v>Fail</v>
      </c>
      <c r="N230" s="32"/>
      <c r="O230" s="31">
        <f>'mnt Data'!A233</f>
        <v>0</v>
      </c>
      <c r="P230" s="31">
        <f>'mnt Data'!B233</f>
        <v>0</v>
      </c>
      <c r="Q230" s="31">
        <f>'mnt Data'!C233</f>
        <v>0</v>
      </c>
      <c r="R230" s="31">
        <f>'mnt Data'!D233</f>
        <v>0</v>
      </c>
      <c r="S230" s="31">
        <f>'mnt Data'!E233</f>
        <v>0</v>
      </c>
      <c r="T230" s="31">
        <f>'mnt Data'!F233</f>
        <v>0</v>
      </c>
      <c r="U230" s="31">
        <f>'mnt Data'!G233</f>
        <v>0</v>
      </c>
      <c r="V230" s="31">
        <f>'mnt Data'!H233</f>
        <v>0</v>
      </c>
      <c r="W230" s="31">
        <f>'mnt Data'!I233</f>
        <v>0</v>
      </c>
      <c r="X230" s="31">
        <f>'mnt Data'!J233</f>
        <v>0</v>
      </c>
      <c r="Y230" s="31">
        <f>'mnt Data'!K233</f>
        <v>0</v>
      </c>
      <c r="Z230" s="31">
        <f>'mnt Data'!L233</f>
        <v>0</v>
      </c>
      <c r="AA230" s="31">
        <f>'mnt Data'!M233</f>
        <v>0</v>
      </c>
      <c r="AB230" s="31">
        <f>'mnt Data'!N233</f>
        <v>0</v>
      </c>
      <c r="AC230" s="31">
        <f>'mnt Data'!O233</f>
        <v>0</v>
      </c>
      <c r="AD230" s="31">
        <f>'mnt Data'!P233</f>
        <v>0</v>
      </c>
      <c r="AE230" s="31">
        <f>'mnt Data'!Q233</f>
        <v>0</v>
      </c>
      <c r="AF230" s="31">
        <f>'mnt Data'!R233</f>
        <v>0</v>
      </c>
      <c r="AG230" s="31">
        <f>'mnt Data'!S233</f>
        <v>0</v>
      </c>
      <c r="AH230" s="31">
        <f>'mnt Data'!T233</f>
        <v>0</v>
      </c>
      <c r="AI230" s="31">
        <f>'mnt Data'!U233</f>
        <v>0</v>
      </c>
      <c r="AJ230" s="31">
        <f>'mnt Data'!V233</f>
        <v>0</v>
      </c>
      <c r="AK230" s="31">
        <f>'mnt Data'!W233</f>
        <v>0</v>
      </c>
      <c r="AL230" s="31">
        <f>'mnt Data'!X233</f>
        <v>0</v>
      </c>
      <c r="AM230" s="31">
        <f>'mnt Data'!Y233</f>
        <v>0</v>
      </c>
      <c r="AN230" s="31">
        <f>'mnt Data'!Z233</f>
        <v>0</v>
      </c>
      <c r="AO230" s="31">
        <f>'mnt Data'!AA233</f>
        <v>0</v>
      </c>
      <c r="AP230" s="31">
        <f>'mnt Data'!AB233</f>
        <v>0</v>
      </c>
      <c r="AQ230" s="31">
        <f>'mnt Data'!AC233</f>
        <v>0</v>
      </c>
      <c r="AR230" s="31">
        <f>'mnt Data'!AD233</f>
        <v>0</v>
      </c>
      <c r="AS230" s="31">
        <f>'mnt Data'!AE233</f>
        <v>0</v>
      </c>
      <c r="AT230" s="31">
        <f>'mnt Data'!AF233</f>
        <v>0</v>
      </c>
      <c r="AU230" s="31">
        <f>'mnt Data'!AG233</f>
        <v>0</v>
      </c>
      <c r="AV230" s="31">
        <f>'mnt Data'!AH233</f>
        <v>0</v>
      </c>
      <c r="AW230" s="31">
        <f>'mnt Data'!AI233</f>
        <v>0</v>
      </c>
      <c r="AX230" s="31">
        <f>'mnt Data'!AJ233</f>
        <v>0</v>
      </c>
      <c r="AY230" s="31">
        <f>'mnt Data'!AK233</f>
        <v>0</v>
      </c>
    </row>
    <row r="231" spans="1:51" x14ac:dyDescent="0.25">
      <c r="A231">
        <v>230</v>
      </c>
      <c r="B231" s="32">
        <f t="shared" si="36"/>
        <v>0</v>
      </c>
      <c r="C231" s="32">
        <f t="shared" si="37"/>
        <v>0</v>
      </c>
      <c r="D231" s="32" t="str">
        <f t="shared" si="41"/>
        <v>No Gs</v>
      </c>
      <c r="E231" s="32">
        <f t="shared" si="45"/>
        <v>0</v>
      </c>
      <c r="F231" s="32" t="str">
        <f t="shared" si="46"/>
        <v>No Gs</v>
      </c>
      <c r="G231" s="32" t="str">
        <f t="shared" si="47"/>
        <v>No Gs</v>
      </c>
      <c r="H231" s="32" t="str">
        <f t="shared" si="38"/>
        <v>Gs is needed</v>
      </c>
      <c r="I231" s="32" t="str">
        <f t="shared" si="39"/>
        <v>Gs is needed</v>
      </c>
      <c r="J231" s="32" t="str">
        <f t="shared" si="40"/>
        <v>Gs is needed</v>
      </c>
      <c r="K231" s="32" t="str">
        <f t="shared" si="42"/>
        <v>Need Max and Min</v>
      </c>
      <c r="L231" s="32" t="str">
        <f t="shared" si="43"/>
        <v>Need Max and Min</v>
      </c>
      <c r="M231" s="32" t="str">
        <f t="shared" si="44"/>
        <v>Fail</v>
      </c>
      <c r="N231" s="32"/>
      <c r="O231" s="31">
        <f>'mnt Data'!A234</f>
        <v>0</v>
      </c>
      <c r="P231" s="31">
        <f>'mnt Data'!B234</f>
        <v>0</v>
      </c>
      <c r="Q231" s="31">
        <f>'mnt Data'!C234</f>
        <v>0</v>
      </c>
      <c r="R231" s="31">
        <f>'mnt Data'!D234</f>
        <v>0</v>
      </c>
      <c r="S231" s="31">
        <f>'mnt Data'!E234</f>
        <v>0</v>
      </c>
      <c r="T231" s="31">
        <f>'mnt Data'!F234</f>
        <v>0</v>
      </c>
      <c r="U231" s="31">
        <f>'mnt Data'!G234</f>
        <v>0</v>
      </c>
      <c r="V231" s="31">
        <f>'mnt Data'!H234</f>
        <v>0</v>
      </c>
      <c r="W231" s="31">
        <f>'mnt Data'!I234</f>
        <v>0</v>
      </c>
      <c r="X231" s="31">
        <f>'mnt Data'!J234</f>
        <v>0</v>
      </c>
      <c r="Y231" s="31">
        <f>'mnt Data'!K234</f>
        <v>0</v>
      </c>
      <c r="Z231" s="31">
        <f>'mnt Data'!L234</f>
        <v>0</v>
      </c>
      <c r="AA231" s="31">
        <f>'mnt Data'!M234</f>
        <v>0</v>
      </c>
      <c r="AB231" s="31">
        <f>'mnt Data'!N234</f>
        <v>0</v>
      </c>
      <c r="AC231" s="31">
        <f>'mnt Data'!O234</f>
        <v>0</v>
      </c>
      <c r="AD231" s="31">
        <f>'mnt Data'!P234</f>
        <v>0</v>
      </c>
      <c r="AE231" s="31">
        <f>'mnt Data'!Q234</f>
        <v>0</v>
      </c>
      <c r="AF231" s="31">
        <f>'mnt Data'!R234</f>
        <v>0</v>
      </c>
      <c r="AG231" s="31">
        <f>'mnt Data'!S234</f>
        <v>0</v>
      </c>
      <c r="AH231" s="31">
        <f>'mnt Data'!T234</f>
        <v>0</v>
      </c>
      <c r="AI231" s="31">
        <f>'mnt Data'!U234</f>
        <v>0</v>
      </c>
      <c r="AJ231" s="31">
        <f>'mnt Data'!V234</f>
        <v>0</v>
      </c>
      <c r="AK231" s="31">
        <f>'mnt Data'!W234</f>
        <v>0</v>
      </c>
      <c r="AL231" s="31">
        <f>'mnt Data'!X234</f>
        <v>0</v>
      </c>
      <c r="AM231" s="31">
        <f>'mnt Data'!Y234</f>
        <v>0</v>
      </c>
      <c r="AN231" s="31">
        <f>'mnt Data'!Z234</f>
        <v>0</v>
      </c>
      <c r="AO231" s="31">
        <f>'mnt Data'!AA234</f>
        <v>0</v>
      </c>
      <c r="AP231" s="31">
        <f>'mnt Data'!AB234</f>
        <v>0</v>
      </c>
      <c r="AQ231" s="31">
        <f>'mnt Data'!AC234</f>
        <v>0</v>
      </c>
      <c r="AR231" s="31">
        <f>'mnt Data'!AD234</f>
        <v>0</v>
      </c>
      <c r="AS231" s="31">
        <f>'mnt Data'!AE234</f>
        <v>0</v>
      </c>
      <c r="AT231" s="31">
        <f>'mnt Data'!AF234</f>
        <v>0</v>
      </c>
      <c r="AU231" s="31">
        <f>'mnt Data'!AG234</f>
        <v>0</v>
      </c>
      <c r="AV231" s="31">
        <f>'mnt Data'!AH234</f>
        <v>0</v>
      </c>
      <c r="AW231" s="31">
        <f>'mnt Data'!AI234</f>
        <v>0</v>
      </c>
      <c r="AX231" s="31">
        <f>'mnt Data'!AJ234</f>
        <v>0</v>
      </c>
      <c r="AY231" s="31">
        <f>'mnt Data'!AK234</f>
        <v>0</v>
      </c>
    </row>
    <row r="232" spans="1:51" x14ac:dyDescent="0.25">
      <c r="A232">
        <v>231</v>
      </c>
      <c r="B232" s="32">
        <f t="shared" si="36"/>
        <v>0</v>
      </c>
      <c r="C232" s="32">
        <f t="shared" si="37"/>
        <v>0</v>
      </c>
      <c r="D232" s="32" t="str">
        <f t="shared" si="41"/>
        <v>No Gs</v>
      </c>
      <c r="E232" s="32">
        <f t="shared" si="45"/>
        <v>0</v>
      </c>
      <c r="F232" s="32" t="str">
        <f t="shared" si="46"/>
        <v>No Gs</v>
      </c>
      <c r="G232" s="32" t="str">
        <f t="shared" si="47"/>
        <v>No Gs</v>
      </c>
      <c r="H232" s="32" t="str">
        <f t="shared" si="38"/>
        <v>Gs is needed</v>
      </c>
      <c r="I232" s="32" t="str">
        <f t="shared" si="39"/>
        <v>Gs is needed</v>
      </c>
      <c r="J232" s="32" t="str">
        <f t="shared" si="40"/>
        <v>Gs is needed</v>
      </c>
      <c r="K232" s="32" t="str">
        <f t="shared" si="42"/>
        <v>Need Max and Min</v>
      </c>
      <c r="L232" s="32" t="str">
        <f t="shared" si="43"/>
        <v>Need Max and Min</v>
      </c>
      <c r="M232" s="32" t="str">
        <f t="shared" si="44"/>
        <v>Fail</v>
      </c>
      <c r="N232" s="32"/>
      <c r="O232" s="31">
        <f>'mnt Data'!A235</f>
        <v>0</v>
      </c>
      <c r="P232" s="31">
        <f>'mnt Data'!B235</f>
        <v>0</v>
      </c>
      <c r="Q232" s="31">
        <f>'mnt Data'!C235</f>
        <v>0</v>
      </c>
      <c r="R232" s="31">
        <f>'mnt Data'!D235</f>
        <v>0</v>
      </c>
      <c r="S232" s="31">
        <f>'mnt Data'!E235</f>
        <v>0</v>
      </c>
      <c r="T232" s="31">
        <f>'mnt Data'!F235</f>
        <v>0</v>
      </c>
      <c r="U232" s="31">
        <f>'mnt Data'!G235</f>
        <v>0</v>
      </c>
      <c r="V232" s="31">
        <f>'mnt Data'!H235</f>
        <v>0</v>
      </c>
      <c r="W232" s="31">
        <f>'mnt Data'!I235</f>
        <v>0</v>
      </c>
      <c r="X232" s="31">
        <f>'mnt Data'!J235</f>
        <v>0</v>
      </c>
      <c r="Y232" s="31">
        <f>'mnt Data'!K235</f>
        <v>0</v>
      </c>
      <c r="Z232" s="31">
        <f>'mnt Data'!L235</f>
        <v>0</v>
      </c>
      <c r="AA232" s="31">
        <f>'mnt Data'!M235</f>
        <v>0</v>
      </c>
      <c r="AB232" s="31">
        <f>'mnt Data'!N235</f>
        <v>0</v>
      </c>
      <c r="AC232" s="31">
        <f>'mnt Data'!O235</f>
        <v>0</v>
      </c>
      <c r="AD232" s="31">
        <f>'mnt Data'!P235</f>
        <v>0</v>
      </c>
      <c r="AE232" s="31">
        <f>'mnt Data'!Q235</f>
        <v>0</v>
      </c>
      <c r="AF232" s="31">
        <f>'mnt Data'!R235</f>
        <v>0</v>
      </c>
      <c r="AG232" s="31">
        <f>'mnt Data'!S235</f>
        <v>0</v>
      </c>
      <c r="AH232" s="31">
        <f>'mnt Data'!T235</f>
        <v>0</v>
      </c>
      <c r="AI232" s="31">
        <f>'mnt Data'!U235</f>
        <v>0</v>
      </c>
      <c r="AJ232" s="31">
        <f>'mnt Data'!V235</f>
        <v>0</v>
      </c>
      <c r="AK232" s="31">
        <f>'mnt Data'!W235</f>
        <v>0</v>
      </c>
      <c r="AL232" s="31">
        <f>'mnt Data'!X235</f>
        <v>0</v>
      </c>
      <c r="AM232" s="31">
        <f>'mnt Data'!Y235</f>
        <v>0</v>
      </c>
      <c r="AN232" s="31">
        <f>'mnt Data'!Z235</f>
        <v>0</v>
      </c>
      <c r="AO232" s="31">
        <f>'mnt Data'!AA235</f>
        <v>0</v>
      </c>
      <c r="AP232" s="31">
        <f>'mnt Data'!AB235</f>
        <v>0</v>
      </c>
      <c r="AQ232" s="31">
        <f>'mnt Data'!AC235</f>
        <v>0</v>
      </c>
      <c r="AR232" s="31">
        <f>'mnt Data'!AD235</f>
        <v>0</v>
      </c>
      <c r="AS232" s="31">
        <f>'mnt Data'!AE235</f>
        <v>0</v>
      </c>
      <c r="AT232" s="31">
        <f>'mnt Data'!AF235</f>
        <v>0</v>
      </c>
      <c r="AU232" s="31">
        <f>'mnt Data'!AG235</f>
        <v>0</v>
      </c>
      <c r="AV232" s="31">
        <f>'mnt Data'!AH235</f>
        <v>0</v>
      </c>
      <c r="AW232" s="31">
        <f>'mnt Data'!AI235</f>
        <v>0</v>
      </c>
      <c r="AX232" s="31">
        <f>'mnt Data'!AJ235</f>
        <v>0</v>
      </c>
      <c r="AY232" s="31">
        <f>'mnt Data'!AK235</f>
        <v>0</v>
      </c>
    </row>
    <row r="233" spans="1:51" x14ac:dyDescent="0.25">
      <c r="A233">
        <v>232</v>
      </c>
      <c r="B233" s="32">
        <f t="shared" ref="B233:B296" si="48">O233</f>
        <v>0</v>
      </c>
      <c r="C233" s="32">
        <f t="shared" ref="C233:C296" si="49">O233*(Q233/100)</f>
        <v>0</v>
      </c>
      <c r="D233" s="32" t="str">
        <f t="shared" si="41"/>
        <v>No Gs</v>
      </c>
      <c r="E233" s="32">
        <f t="shared" si="45"/>
        <v>0</v>
      </c>
      <c r="F233" s="32" t="str">
        <f t="shared" si="46"/>
        <v>No Gs</v>
      </c>
      <c r="G233" s="32" t="str">
        <f t="shared" si="47"/>
        <v>No Gs</v>
      </c>
      <c r="H233" s="32" t="str">
        <f t="shared" ref="H233:H296" si="50">IFERROR(E233/G233,"Gs is needed")</f>
        <v>Gs is needed</v>
      </c>
      <c r="I233" s="32" t="str">
        <f t="shared" ref="I233:I296" si="51">IFERROR(G233/1,"Gs is needed")</f>
        <v>Gs is needed</v>
      </c>
      <c r="J233" s="32" t="str">
        <f t="shared" ref="J233:J296" si="52">IFERROR(G233/D233,"Gs is needed")</f>
        <v>Gs is needed</v>
      </c>
      <c r="K233" s="32" t="str">
        <f t="shared" si="42"/>
        <v>Need Max and Min</v>
      </c>
      <c r="L233" s="32" t="str">
        <f t="shared" si="43"/>
        <v>Need Max and Min</v>
      </c>
      <c r="M233" s="32" t="str">
        <f t="shared" si="44"/>
        <v>Fail</v>
      </c>
      <c r="N233" s="32"/>
      <c r="O233" s="31">
        <f>'mnt Data'!A236</f>
        <v>0</v>
      </c>
      <c r="P233" s="31">
        <f>'mnt Data'!B236</f>
        <v>0</v>
      </c>
      <c r="Q233" s="31">
        <f>'mnt Data'!C236</f>
        <v>0</v>
      </c>
      <c r="R233" s="31">
        <f>'mnt Data'!D236</f>
        <v>0</v>
      </c>
      <c r="S233" s="31">
        <f>'mnt Data'!E236</f>
        <v>0</v>
      </c>
      <c r="T233" s="31">
        <f>'mnt Data'!F236</f>
        <v>0</v>
      </c>
      <c r="U233" s="31">
        <f>'mnt Data'!G236</f>
        <v>0</v>
      </c>
      <c r="V233" s="31">
        <f>'mnt Data'!H236</f>
        <v>0</v>
      </c>
      <c r="W233" s="31">
        <f>'mnt Data'!I236</f>
        <v>0</v>
      </c>
      <c r="X233" s="31">
        <f>'mnt Data'!J236</f>
        <v>0</v>
      </c>
      <c r="Y233" s="31">
        <f>'mnt Data'!K236</f>
        <v>0</v>
      </c>
      <c r="Z233" s="31">
        <f>'mnt Data'!L236</f>
        <v>0</v>
      </c>
      <c r="AA233" s="31">
        <f>'mnt Data'!M236</f>
        <v>0</v>
      </c>
      <c r="AB233" s="31">
        <f>'mnt Data'!N236</f>
        <v>0</v>
      </c>
      <c r="AC233" s="31">
        <f>'mnt Data'!O236</f>
        <v>0</v>
      </c>
      <c r="AD233" s="31">
        <f>'mnt Data'!P236</f>
        <v>0</v>
      </c>
      <c r="AE233" s="31">
        <f>'mnt Data'!Q236</f>
        <v>0</v>
      </c>
      <c r="AF233" s="31">
        <f>'mnt Data'!R236</f>
        <v>0</v>
      </c>
      <c r="AG233" s="31">
        <f>'mnt Data'!S236</f>
        <v>0</v>
      </c>
      <c r="AH233" s="31">
        <f>'mnt Data'!T236</f>
        <v>0</v>
      </c>
      <c r="AI233" s="31">
        <f>'mnt Data'!U236</f>
        <v>0</v>
      </c>
      <c r="AJ233" s="31">
        <f>'mnt Data'!V236</f>
        <v>0</v>
      </c>
      <c r="AK233" s="31">
        <f>'mnt Data'!W236</f>
        <v>0</v>
      </c>
      <c r="AL233" s="31">
        <f>'mnt Data'!X236</f>
        <v>0</v>
      </c>
      <c r="AM233" s="31">
        <f>'mnt Data'!Y236</f>
        <v>0</v>
      </c>
      <c r="AN233" s="31">
        <f>'mnt Data'!Z236</f>
        <v>0</v>
      </c>
      <c r="AO233" s="31">
        <f>'mnt Data'!AA236</f>
        <v>0</v>
      </c>
      <c r="AP233" s="31">
        <f>'mnt Data'!AB236</f>
        <v>0</v>
      </c>
      <c r="AQ233" s="31">
        <f>'mnt Data'!AC236</f>
        <v>0</v>
      </c>
      <c r="AR233" s="31">
        <f>'mnt Data'!AD236</f>
        <v>0</v>
      </c>
      <c r="AS233" s="31">
        <f>'mnt Data'!AE236</f>
        <v>0</v>
      </c>
      <c r="AT233" s="31">
        <f>'mnt Data'!AF236</f>
        <v>0</v>
      </c>
      <c r="AU233" s="31">
        <f>'mnt Data'!AG236</f>
        <v>0</v>
      </c>
      <c r="AV233" s="31">
        <f>'mnt Data'!AH236</f>
        <v>0</v>
      </c>
      <c r="AW233" s="31">
        <f>'mnt Data'!AI236</f>
        <v>0</v>
      </c>
      <c r="AX233" s="31">
        <f>'mnt Data'!AJ236</f>
        <v>0</v>
      </c>
      <c r="AY233" s="31">
        <f>'mnt Data'!AK236</f>
        <v>0</v>
      </c>
    </row>
    <row r="234" spans="1:51" x14ac:dyDescent="0.25">
      <c r="A234">
        <v>233</v>
      </c>
      <c r="B234" s="32">
        <f t="shared" si="48"/>
        <v>0</v>
      </c>
      <c r="C234" s="32">
        <f t="shared" si="49"/>
        <v>0</v>
      </c>
      <c r="D234" s="32" t="str">
        <f t="shared" si="41"/>
        <v>No Gs</v>
      </c>
      <c r="E234" s="32">
        <f t="shared" si="45"/>
        <v>0</v>
      </c>
      <c r="F234" s="32" t="str">
        <f t="shared" si="46"/>
        <v>No Gs</v>
      </c>
      <c r="G234" s="32" t="str">
        <f t="shared" si="47"/>
        <v>No Gs</v>
      </c>
      <c r="H234" s="32" t="str">
        <f t="shared" si="50"/>
        <v>Gs is needed</v>
      </c>
      <c r="I234" s="32" t="str">
        <f t="shared" si="51"/>
        <v>Gs is needed</v>
      </c>
      <c r="J234" s="32" t="str">
        <f t="shared" si="52"/>
        <v>Gs is needed</v>
      </c>
      <c r="K234" s="32" t="str">
        <f t="shared" si="42"/>
        <v>Need Max and Min</v>
      </c>
      <c r="L234" s="32" t="str">
        <f t="shared" si="43"/>
        <v>Need Max and Min</v>
      </c>
      <c r="M234" s="32" t="str">
        <f t="shared" si="44"/>
        <v>Fail</v>
      </c>
      <c r="N234" s="32"/>
      <c r="O234" s="31">
        <f>'mnt Data'!A237</f>
        <v>0</v>
      </c>
      <c r="P234" s="31">
        <f>'mnt Data'!B237</f>
        <v>0</v>
      </c>
      <c r="Q234" s="31">
        <f>'mnt Data'!C237</f>
        <v>0</v>
      </c>
      <c r="R234" s="31">
        <f>'mnt Data'!D237</f>
        <v>0</v>
      </c>
      <c r="S234" s="31">
        <f>'mnt Data'!E237</f>
        <v>0</v>
      </c>
      <c r="T234" s="31">
        <f>'mnt Data'!F237</f>
        <v>0</v>
      </c>
      <c r="U234" s="31">
        <f>'mnt Data'!G237</f>
        <v>0</v>
      </c>
      <c r="V234" s="31">
        <f>'mnt Data'!H237</f>
        <v>0</v>
      </c>
      <c r="W234" s="31">
        <f>'mnt Data'!I237</f>
        <v>0</v>
      </c>
      <c r="X234" s="31">
        <f>'mnt Data'!J237</f>
        <v>0</v>
      </c>
      <c r="Y234" s="31">
        <f>'mnt Data'!K237</f>
        <v>0</v>
      </c>
      <c r="Z234" s="31">
        <f>'mnt Data'!L237</f>
        <v>0</v>
      </c>
      <c r="AA234" s="31">
        <f>'mnt Data'!M237</f>
        <v>0</v>
      </c>
      <c r="AB234" s="31">
        <f>'mnt Data'!N237</f>
        <v>0</v>
      </c>
      <c r="AC234" s="31">
        <f>'mnt Data'!O237</f>
        <v>0</v>
      </c>
      <c r="AD234" s="31">
        <f>'mnt Data'!P237</f>
        <v>0</v>
      </c>
      <c r="AE234" s="31">
        <f>'mnt Data'!Q237</f>
        <v>0</v>
      </c>
      <c r="AF234" s="31">
        <f>'mnt Data'!R237</f>
        <v>0</v>
      </c>
      <c r="AG234" s="31">
        <f>'mnt Data'!S237</f>
        <v>0</v>
      </c>
      <c r="AH234" s="31">
        <f>'mnt Data'!T237</f>
        <v>0</v>
      </c>
      <c r="AI234" s="31">
        <f>'mnt Data'!U237</f>
        <v>0</v>
      </c>
      <c r="AJ234" s="31">
        <f>'mnt Data'!V237</f>
        <v>0</v>
      </c>
      <c r="AK234" s="31">
        <f>'mnt Data'!W237</f>
        <v>0</v>
      </c>
      <c r="AL234" s="31">
        <f>'mnt Data'!X237</f>
        <v>0</v>
      </c>
      <c r="AM234" s="31">
        <f>'mnt Data'!Y237</f>
        <v>0</v>
      </c>
      <c r="AN234" s="31">
        <f>'mnt Data'!Z237</f>
        <v>0</v>
      </c>
      <c r="AO234" s="31">
        <f>'mnt Data'!AA237</f>
        <v>0</v>
      </c>
      <c r="AP234" s="31">
        <f>'mnt Data'!AB237</f>
        <v>0</v>
      </c>
      <c r="AQ234" s="31">
        <f>'mnt Data'!AC237</f>
        <v>0</v>
      </c>
      <c r="AR234" s="31">
        <f>'mnt Data'!AD237</f>
        <v>0</v>
      </c>
      <c r="AS234" s="31">
        <f>'mnt Data'!AE237</f>
        <v>0</v>
      </c>
      <c r="AT234" s="31">
        <f>'mnt Data'!AF237</f>
        <v>0</v>
      </c>
      <c r="AU234" s="31">
        <f>'mnt Data'!AG237</f>
        <v>0</v>
      </c>
      <c r="AV234" s="31">
        <f>'mnt Data'!AH237</f>
        <v>0</v>
      </c>
      <c r="AW234" s="31">
        <f>'mnt Data'!AI237</f>
        <v>0</v>
      </c>
      <c r="AX234" s="31">
        <f>'mnt Data'!AJ237</f>
        <v>0</v>
      </c>
      <c r="AY234" s="31">
        <f>'mnt Data'!AK237</f>
        <v>0</v>
      </c>
    </row>
    <row r="235" spans="1:51" x14ac:dyDescent="0.25">
      <c r="A235">
        <v>234</v>
      </c>
      <c r="B235" s="32">
        <f t="shared" si="48"/>
        <v>0</v>
      </c>
      <c r="C235" s="32">
        <f t="shared" si="49"/>
        <v>0</v>
      </c>
      <c r="D235" s="32" t="str">
        <f t="shared" si="41"/>
        <v>No Gs</v>
      </c>
      <c r="E235" s="32">
        <f t="shared" si="45"/>
        <v>0</v>
      </c>
      <c r="F235" s="32" t="str">
        <f t="shared" si="46"/>
        <v>No Gs</v>
      </c>
      <c r="G235" s="32" t="str">
        <f t="shared" si="47"/>
        <v>No Gs</v>
      </c>
      <c r="H235" s="32" t="str">
        <f t="shared" si="50"/>
        <v>Gs is needed</v>
      </c>
      <c r="I235" s="32" t="str">
        <f t="shared" si="51"/>
        <v>Gs is needed</v>
      </c>
      <c r="J235" s="32" t="str">
        <f t="shared" si="52"/>
        <v>Gs is needed</v>
      </c>
      <c r="K235" s="32" t="str">
        <f t="shared" si="42"/>
        <v>Need Max and Min</v>
      </c>
      <c r="L235" s="32" t="str">
        <f t="shared" si="43"/>
        <v>Need Max and Min</v>
      </c>
      <c r="M235" s="32" t="str">
        <f t="shared" si="44"/>
        <v>Fail</v>
      </c>
      <c r="N235" s="32"/>
      <c r="O235" s="31">
        <f>'mnt Data'!A238</f>
        <v>0</v>
      </c>
      <c r="P235" s="31">
        <f>'mnt Data'!B238</f>
        <v>0</v>
      </c>
      <c r="Q235" s="31">
        <f>'mnt Data'!C238</f>
        <v>0</v>
      </c>
      <c r="R235" s="31">
        <f>'mnt Data'!D238</f>
        <v>0</v>
      </c>
      <c r="S235" s="31">
        <f>'mnt Data'!E238</f>
        <v>0</v>
      </c>
      <c r="T235" s="31">
        <f>'mnt Data'!F238</f>
        <v>0</v>
      </c>
      <c r="U235" s="31">
        <f>'mnt Data'!G238</f>
        <v>0</v>
      </c>
      <c r="V235" s="31">
        <f>'mnt Data'!H238</f>
        <v>0</v>
      </c>
      <c r="W235" s="31">
        <f>'mnt Data'!I238</f>
        <v>0</v>
      </c>
      <c r="X235" s="31">
        <f>'mnt Data'!J238</f>
        <v>0</v>
      </c>
      <c r="Y235" s="31">
        <f>'mnt Data'!K238</f>
        <v>0</v>
      </c>
      <c r="Z235" s="31">
        <f>'mnt Data'!L238</f>
        <v>0</v>
      </c>
      <c r="AA235" s="31">
        <f>'mnt Data'!M238</f>
        <v>0</v>
      </c>
      <c r="AB235" s="31">
        <f>'mnt Data'!N238</f>
        <v>0</v>
      </c>
      <c r="AC235" s="31">
        <f>'mnt Data'!O238</f>
        <v>0</v>
      </c>
      <c r="AD235" s="31">
        <f>'mnt Data'!P238</f>
        <v>0</v>
      </c>
      <c r="AE235" s="31">
        <f>'mnt Data'!Q238</f>
        <v>0</v>
      </c>
      <c r="AF235" s="31">
        <f>'mnt Data'!R238</f>
        <v>0</v>
      </c>
      <c r="AG235" s="31">
        <f>'mnt Data'!S238</f>
        <v>0</v>
      </c>
      <c r="AH235" s="31">
        <f>'mnt Data'!T238</f>
        <v>0</v>
      </c>
      <c r="AI235" s="31">
        <f>'mnt Data'!U238</f>
        <v>0</v>
      </c>
      <c r="AJ235" s="31">
        <f>'mnt Data'!V238</f>
        <v>0</v>
      </c>
      <c r="AK235" s="31">
        <f>'mnt Data'!W238</f>
        <v>0</v>
      </c>
      <c r="AL235" s="31">
        <f>'mnt Data'!X238</f>
        <v>0</v>
      </c>
      <c r="AM235" s="31">
        <f>'mnt Data'!Y238</f>
        <v>0</v>
      </c>
      <c r="AN235" s="31">
        <f>'mnt Data'!Z238</f>
        <v>0</v>
      </c>
      <c r="AO235" s="31">
        <f>'mnt Data'!AA238</f>
        <v>0</v>
      </c>
      <c r="AP235" s="31">
        <f>'mnt Data'!AB238</f>
        <v>0</v>
      </c>
      <c r="AQ235" s="31">
        <f>'mnt Data'!AC238</f>
        <v>0</v>
      </c>
      <c r="AR235" s="31">
        <f>'mnt Data'!AD238</f>
        <v>0</v>
      </c>
      <c r="AS235" s="31">
        <f>'mnt Data'!AE238</f>
        <v>0</v>
      </c>
      <c r="AT235" s="31">
        <f>'mnt Data'!AF238</f>
        <v>0</v>
      </c>
      <c r="AU235" s="31">
        <f>'mnt Data'!AG238</f>
        <v>0</v>
      </c>
      <c r="AV235" s="31">
        <f>'mnt Data'!AH238</f>
        <v>0</v>
      </c>
      <c r="AW235" s="31">
        <f>'mnt Data'!AI238</f>
        <v>0</v>
      </c>
      <c r="AX235" s="31">
        <f>'mnt Data'!AJ238</f>
        <v>0</v>
      </c>
      <c r="AY235" s="31">
        <f>'mnt Data'!AK238</f>
        <v>0</v>
      </c>
    </row>
    <row r="236" spans="1:51" x14ac:dyDescent="0.25">
      <c r="A236">
        <v>235</v>
      </c>
      <c r="B236" s="32">
        <f t="shared" si="48"/>
        <v>0</v>
      </c>
      <c r="C236" s="32">
        <f t="shared" si="49"/>
        <v>0</v>
      </c>
      <c r="D236" s="32" t="str">
        <f t="shared" si="41"/>
        <v>No Gs</v>
      </c>
      <c r="E236" s="32">
        <f t="shared" si="45"/>
        <v>0</v>
      </c>
      <c r="F236" s="32" t="str">
        <f t="shared" si="46"/>
        <v>No Gs</v>
      </c>
      <c r="G236" s="32" t="str">
        <f t="shared" si="47"/>
        <v>No Gs</v>
      </c>
      <c r="H236" s="32" t="str">
        <f t="shared" si="50"/>
        <v>Gs is needed</v>
      </c>
      <c r="I236" s="32" t="str">
        <f t="shared" si="51"/>
        <v>Gs is needed</v>
      </c>
      <c r="J236" s="32" t="str">
        <f t="shared" si="52"/>
        <v>Gs is needed</v>
      </c>
      <c r="K236" s="32" t="str">
        <f t="shared" si="42"/>
        <v>Need Max and Min</v>
      </c>
      <c r="L236" s="32" t="str">
        <f t="shared" si="43"/>
        <v>Need Max and Min</v>
      </c>
      <c r="M236" s="32" t="str">
        <f t="shared" si="44"/>
        <v>Fail</v>
      </c>
      <c r="N236" s="32"/>
      <c r="O236" s="31">
        <f>'mnt Data'!A239</f>
        <v>0</v>
      </c>
      <c r="P236" s="31">
        <f>'mnt Data'!B239</f>
        <v>0</v>
      </c>
      <c r="Q236" s="31">
        <f>'mnt Data'!C239</f>
        <v>0</v>
      </c>
      <c r="R236" s="31">
        <f>'mnt Data'!D239</f>
        <v>0</v>
      </c>
      <c r="S236" s="31">
        <f>'mnt Data'!E239</f>
        <v>0</v>
      </c>
      <c r="T236" s="31">
        <f>'mnt Data'!F239</f>
        <v>0</v>
      </c>
      <c r="U236" s="31">
        <f>'mnt Data'!G239</f>
        <v>0</v>
      </c>
      <c r="V236" s="31">
        <f>'mnt Data'!H239</f>
        <v>0</v>
      </c>
      <c r="W236" s="31">
        <f>'mnt Data'!I239</f>
        <v>0</v>
      </c>
      <c r="X236" s="31">
        <f>'mnt Data'!J239</f>
        <v>0</v>
      </c>
      <c r="Y236" s="31">
        <f>'mnt Data'!K239</f>
        <v>0</v>
      </c>
      <c r="Z236" s="31">
        <f>'mnt Data'!L239</f>
        <v>0</v>
      </c>
      <c r="AA236" s="31">
        <f>'mnt Data'!M239</f>
        <v>0</v>
      </c>
      <c r="AB236" s="31">
        <f>'mnt Data'!N239</f>
        <v>0</v>
      </c>
      <c r="AC236" s="31">
        <f>'mnt Data'!O239</f>
        <v>0</v>
      </c>
      <c r="AD236" s="31">
        <f>'mnt Data'!P239</f>
        <v>0</v>
      </c>
      <c r="AE236" s="31">
        <f>'mnt Data'!Q239</f>
        <v>0</v>
      </c>
      <c r="AF236" s="31">
        <f>'mnt Data'!R239</f>
        <v>0</v>
      </c>
      <c r="AG236" s="31">
        <f>'mnt Data'!S239</f>
        <v>0</v>
      </c>
      <c r="AH236" s="31">
        <f>'mnt Data'!T239</f>
        <v>0</v>
      </c>
      <c r="AI236" s="31">
        <f>'mnt Data'!U239</f>
        <v>0</v>
      </c>
      <c r="AJ236" s="31">
        <f>'mnt Data'!V239</f>
        <v>0</v>
      </c>
      <c r="AK236" s="31">
        <f>'mnt Data'!W239</f>
        <v>0</v>
      </c>
      <c r="AL236" s="31">
        <f>'mnt Data'!X239</f>
        <v>0</v>
      </c>
      <c r="AM236" s="31">
        <f>'mnt Data'!Y239</f>
        <v>0</v>
      </c>
      <c r="AN236" s="31">
        <f>'mnt Data'!Z239</f>
        <v>0</v>
      </c>
      <c r="AO236" s="31">
        <f>'mnt Data'!AA239</f>
        <v>0</v>
      </c>
      <c r="AP236" s="31">
        <f>'mnt Data'!AB239</f>
        <v>0</v>
      </c>
      <c r="AQ236" s="31">
        <f>'mnt Data'!AC239</f>
        <v>0</v>
      </c>
      <c r="AR236" s="31">
        <f>'mnt Data'!AD239</f>
        <v>0</v>
      </c>
      <c r="AS236" s="31">
        <f>'mnt Data'!AE239</f>
        <v>0</v>
      </c>
      <c r="AT236" s="31">
        <f>'mnt Data'!AF239</f>
        <v>0</v>
      </c>
      <c r="AU236" s="31">
        <f>'mnt Data'!AG239</f>
        <v>0</v>
      </c>
      <c r="AV236" s="31">
        <f>'mnt Data'!AH239</f>
        <v>0</v>
      </c>
      <c r="AW236" s="31">
        <f>'mnt Data'!AI239</f>
        <v>0</v>
      </c>
      <c r="AX236" s="31">
        <f>'mnt Data'!AJ239</f>
        <v>0</v>
      </c>
      <c r="AY236" s="31">
        <f>'mnt Data'!AK239</f>
        <v>0</v>
      </c>
    </row>
    <row r="237" spans="1:51" x14ac:dyDescent="0.25">
      <c r="A237">
        <v>236</v>
      </c>
      <c r="B237" s="32">
        <f t="shared" si="48"/>
        <v>0</v>
      </c>
      <c r="C237" s="32">
        <f t="shared" si="49"/>
        <v>0</v>
      </c>
      <c r="D237" s="32" t="str">
        <f t="shared" si="41"/>
        <v>No Gs</v>
      </c>
      <c r="E237" s="32">
        <f t="shared" si="45"/>
        <v>0</v>
      </c>
      <c r="F237" s="32" t="str">
        <f t="shared" si="46"/>
        <v>No Gs</v>
      </c>
      <c r="G237" s="32" t="str">
        <f t="shared" si="47"/>
        <v>No Gs</v>
      </c>
      <c r="H237" s="32" t="str">
        <f t="shared" si="50"/>
        <v>Gs is needed</v>
      </c>
      <c r="I237" s="32" t="str">
        <f t="shared" si="51"/>
        <v>Gs is needed</v>
      </c>
      <c r="J237" s="32" t="str">
        <f t="shared" si="52"/>
        <v>Gs is needed</v>
      </c>
      <c r="K237" s="32" t="str">
        <f t="shared" si="42"/>
        <v>Need Max and Min</v>
      </c>
      <c r="L237" s="32" t="str">
        <f t="shared" si="43"/>
        <v>Need Max and Min</v>
      </c>
      <c r="M237" s="32" t="str">
        <f t="shared" si="44"/>
        <v>Fail</v>
      </c>
      <c r="N237" s="32"/>
      <c r="O237" s="31">
        <f>'mnt Data'!A240</f>
        <v>0</v>
      </c>
      <c r="P237" s="31">
        <f>'mnt Data'!B240</f>
        <v>0</v>
      </c>
      <c r="Q237" s="31">
        <f>'mnt Data'!C240</f>
        <v>0</v>
      </c>
      <c r="R237" s="31">
        <f>'mnt Data'!D240</f>
        <v>0</v>
      </c>
      <c r="S237" s="31">
        <f>'mnt Data'!E240</f>
        <v>0</v>
      </c>
      <c r="T237" s="31">
        <f>'mnt Data'!F240</f>
        <v>0</v>
      </c>
      <c r="U237" s="31">
        <f>'mnt Data'!G240</f>
        <v>0</v>
      </c>
      <c r="V237" s="31">
        <f>'mnt Data'!H240</f>
        <v>0</v>
      </c>
      <c r="W237" s="31">
        <f>'mnt Data'!I240</f>
        <v>0</v>
      </c>
      <c r="X237" s="31">
        <f>'mnt Data'!J240</f>
        <v>0</v>
      </c>
      <c r="Y237" s="31">
        <f>'mnt Data'!K240</f>
        <v>0</v>
      </c>
      <c r="Z237" s="31">
        <f>'mnt Data'!L240</f>
        <v>0</v>
      </c>
      <c r="AA237" s="31">
        <f>'mnt Data'!M240</f>
        <v>0</v>
      </c>
      <c r="AB237" s="31">
        <f>'mnt Data'!N240</f>
        <v>0</v>
      </c>
      <c r="AC237" s="31">
        <f>'mnt Data'!O240</f>
        <v>0</v>
      </c>
      <c r="AD237" s="31">
        <f>'mnt Data'!P240</f>
        <v>0</v>
      </c>
      <c r="AE237" s="31">
        <f>'mnt Data'!Q240</f>
        <v>0</v>
      </c>
      <c r="AF237" s="31">
        <f>'mnt Data'!R240</f>
        <v>0</v>
      </c>
      <c r="AG237" s="31">
        <f>'mnt Data'!S240</f>
        <v>0</v>
      </c>
      <c r="AH237" s="31">
        <f>'mnt Data'!T240</f>
        <v>0</v>
      </c>
      <c r="AI237" s="31">
        <f>'mnt Data'!U240</f>
        <v>0</v>
      </c>
      <c r="AJ237" s="31">
        <f>'mnt Data'!V240</f>
        <v>0</v>
      </c>
      <c r="AK237" s="31">
        <f>'mnt Data'!W240</f>
        <v>0</v>
      </c>
      <c r="AL237" s="31">
        <f>'mnt Data'!X240</f>
        <v>0</v>
      </c>
      <c r="AM237" s="31">
        <f>'mnt Data'!Y240</f>
        <v>0</v>
      </c>
      <c r="AN237" s="31">
        <f>'mnt Data'!Z240</f>
        <v>0</v>
      </c>
      <c r="AO237" s="31">
        <f>'mnt Data'!AA240</f>
        <v>0</v>
      </c>
      <c r="AP237" s="31">
        <f>'mnt Data'!AB240</f>
        <v>0</v>
      </c>
      <c r="AQ237" s="31">
        <f>'mnt Data'!AC240</f>
        <v>0</v>
      </c>
      <c r="AR237" s="31">
        <f>'mnt Data'!AD240</f>
        <v>0</v>
      </c>
      <c r="AS237" s="31">
        <f>'mnt Data'!AE240</f>
        <v>0</v>
      </c>
      <c r="AT237" s="31">
        <f>'mnt Data'!AF240</f>
        <v>0</v>
      </c>
      <c r="AU237" s="31">
        <f>'mnt Data'!AG240</f>
        <v>0</v>
      </c>
      <c r="AV237" s="31">
        <f>'mnt Data'!AH240</f>
        <v>0</v>
      </c>
      <c r="AW237" s="31">
        <f>'mnt Data'!AI240</f>
        <v>0</v>
      </c>
      <c r="AX237" s="31">
        <f>'mnt Data'!AJ240</f>
        <v>0</v>
      </c>
      <c r="AY237" s="31">
        <f>'mnt Data'!AK240</f>
        <v>0</v>
      </c>
    </row>
    <row r="238" spans="1:51" x14ac:dyDescent="0.25">
      <c r="A238">
        <v>237</v>
      </c>
      <c r="B238" s="32">
        <f t="shared" si="48"/>
        <v>0</v>
      </c>
      <c r="C238" s="32">
        <f t="shared" si="49"/>
        <v>0</v>
      </c>
      <c r="D238" s="32" t="str">
        <f t="shared" si="41"/>
        <v>No Gs</v>
      </c>
      <c r="E238" s="32">
        <f t="shared" si="45"/>
        <v>0</v>
      </c>
      <c r="F238" s="32" t="str">
        <f t="shared" si="46"/>
        <v>No Gs</v>
      </c>
      <c r="G238" s="32" t="str">
        <f t="shared" si="47"/>
        <v>No Gs</v>
      </c>
      <c r="H238" s="32" t="str">
        <f t="shared" si="50"/>
        <v>Gs is needed</v>
      </c>
      <c r="I238" s="32" t="str">
        <f t="shared" si="51"/>
        <v>Gs is needed</v>
      </c>
      <c r="J238" s="32" t="str">
        <f t="shared" si="52"/>
        <v>Gs is needed</v>
      </c>
      <c r="K238" s="32" t="str">
        <f t="shared" si="42"/>
        <v>Need Max and Min</v>
      </c>
      <c r="L238" s="32" t="str">
        <f t="shared" si="43"/>
        <v>Need Max and Min</v>
      </c>
      <c r="M238" s="32" t="str">
        <f t="shared" si="44"/>
        <v>Fail</v>
      </c>
      <c r="N238" s="32"/>
      <c r="O238" s="31">
        <f>'mnt Data'!A241</f>
        <v>0</v>
      </c>
      <c r="P238" s="31">
        <f>'mnt Data'!B241</f>
        <v>0</v>
      </c>
      <c r="Q238" s="31">
        <f>'mnt Data'!C241</f>
        <v>0</v>
      </c>
      <c r="R238" s="31">
        <f>'mnt Data'!D241</f>
        <v>0</v>
      </c>
      <c r="S238" s="31">
        <f>'mnt Data'!E241</f>
        <v>0</v>
      </c>
      <c r="T238" s="31">
        <f>'mnt Data'!F241</f>
        <v>0</v>
      </c>
      <c r="U238" s="31">
        <f>'mnt Data'!G241</f>
        <v>0</v>
      </c>
      <c r="V238" s="31">
        <f>'mnt Data'!H241</f>
        <v>0</v>
      </c>
      <c r="W238" s="31">
        <f>'mnt Data'!I241</f>
        <v>0</v>
      </c>
      <c r="X238" s="31">
        <f>'mnt Data'!J241</f>
        <v>0</v>
      </c>
      <c r="Y238" s="31">
        <f>'mnt Data'!K241</f>
        <v>0</v>
      </c>
      <c r="Z238" s="31">
        <f>'mnt Data'!L241</f>
        <v>0</v>
      </c>
      <c r="AA238" s="31">
        <f>'mnt Data'!M241</f>
        <v>0</v>
      </c>
      <c r="AB238" s="31">
        <f>'mnt Data'!N241</f>
        <v>0</v>
      </c>
      <c r="AC238" s="31">
        <f>'mnt Data'!O241</f>
        <v>0</v>
      </c>
      <c r="AD238" s="31">
        <f>'mnt Data'!P241</f>
        <v>0</v>
      </c>
      <c r="AE238" s="31">
        <f>'mnt Data'!Q241</f>
        <v>0</v>
      </c>
      <c r="AF238" s="31">
        <f>'mnt Data'!R241</f>
        <v>0</v>
      </c>
      <c r="AG238" s="31">
        <f>'mnt Data'!S241</f>
        <v>0</v>
      </c>
      <c r="AH238" s="31">
        <f>'mnt Data'!T241</f>
        <v>0</v>
      </c>
      <c r="AI238" s="31">
        <f>'mnt Data'!U241</f>
        <v>0</v>
      </c>
      <c r="AJ238" s="31">
        <f>'mnt Data'!V241</f>
        <v>0</v>
      </c>
      <c r="AK238" s="31">
        <f>'mnt Data'!W241</f>
        <v>0</v>
      </c>
      <c r="AL238" s="31">
        <f>'mnt Data'!X241</f>
        <v>0</v>
      </c>
      <c r="AM238" s="31">
        <f>'mnt Data'!Y241</f>
        <v>0</v>
      </c>
      <c r="AN238" s="31">
        <f>'mnt Data'!Z241</f>
        <v>0</v>
      </c>
      <c r="AO238" s="31">
        <f>'mnt Data'!AA241</f>
        <v>0</v>
      </c>
      <c r="AP238" s="31">
        <f>'mnt Data'!AB241</f>
        <v>0</v>
      </c>
      <c r="AQ238" s="31">
        <f>'mnt Data'!AC241</f>
        <v>0</v>
      </c>
      <c r="AR238" s="31">
        <f>'mnt Data'!AD241</f>
        <v>0</v>
      </c>
      <c r="AS238" s="31">
        <f>'mnt Data'!AE241</f>
        <v>0</v>
      </c>
      <c r="AT238" s="31">
        <f>'mnt Data'!AF241</f>
        <v>0</v>
      </c>
      <c r="AU238" s="31">
        <f>'mnt Data'!AG241</f>
        <v>0</v>
      </c>
      <c r="AV238" s="31">
        <f>'mnt Data'!AH241</f>
        <v>0</v>
      </c>
      <c r="AW238" s="31">
        <f>'mnt Data'!AI241</f>
        <v>0</v>
      </c>
      <c r="AX238" s="31">
        <f>'mnt Data'!AJ241</f>
        <v>0</v>
      </c>
      <c r="AY238" s="31">
        <f>'mnt Data'!AK241</f>
        <v>0</v>
      </c>
    </row>
    <row r="239" spans="1:51" x14ac:dyDescent="0.25">
      <c r="A239">
        <v>238</v>
      </c>
      <c r="B239" s="32">
        <f t="shared" si="48"/>
        <v>0</v>
      </c>
      <c r="C239" s="32">
        <f t="shared" si="49"/>
        <v>0</v>
      </c>
      <c r="D239" s="32" t="str">
        <f t="shared" si="41"/>
        <v>No Gs</v>
      </c>
      <c r="E239" s="32">
        <f t="shared" si="45"/>
        <v>0</v>
      </c>
      <c r="F239" s="32" t="str">
        <f t="shared" si="46"/>
        <v>No Gs</v>
      </c>
      <c r="G239" s="32" t="str">
        <f t="shared" si="47"/>
        <v>No Gs</v>
      </c>
      <c r="H239" s="32" t="str">
        <f t="shared" si="50"/>
        <v>Gs is needed</v>
      </c>
      <c r="I239" s="32" t="str">
        <f t="shared" si="51"/>
        <v>Gs is needed</v>
      </c>
      <c r="J239" s="32" t="str">
        <f t="shared" si="52"/>
        <v>Gs is needed</v>
      </c>
      <c r="K239" s="32" t="str">
        <f t="shared" si="42"/>
        <v>Need Max and Min</v>
      </c>
      <c r="L239" s="32" t="str">
        <f t="shared" si="43"/>
        <v>Need Max and Min</v>
      </c>
      <c r="M239" s="32" t="str">
        <f t="shared" si="44"/>
        <v>Fail</v>
      </c>
      <c r="N239" s="32"/>
      <c r="O239" s="31">
        <f>'mnt Data'!A242</f>
        <v>0</v>
      </c>
      <c r="P239" s="31">
        <f>'mnt Data'!B242</f>
        <v>0</v>
      </c>
      <c r="Q239" s="31">
        <f>'mnt Data'!C242</f>
        <v>0</v>
      </c>
      <c r="R239" s="31">
        <f>'mnt Data'!D242</f>
        <v>0</v>
      </c>
      <c r="S239" s="31">
        <f>'mnt Data'!E242</f>
        <v>0</v>
      </c>
      <c r="T239" s="31">
        <f>'mnt Data'!F242</f>
        <v>0</v>
      </c>
      <c r="U239" s="31">
        <f>'mnt Data'!G242</f>
        <v>0</v>
      </c>
      <c r="V239" s="31">
        <f>'mnt Data'!H242</f>
        <v>0</v>
      </c>
      <c r="W239" s="31">
        <f>'mnt Data'!I242</f>
        <v>0</v>
      </c>
      <c r="X239" s="31">
        <f>'mnt Data'!J242</f>
        <v>0</v>
      </c>
      <c r="Y239" s="31">
        <f>'mnt Data'!K242</f>
        <v>0</v>
      </c>
      <c r="Z239" s="31">
        <f>'mnt Data'!L242</f>
        <v>0</v>
      </c>
      <c r="AA239" s="31">
        <f>'mnt Data'!M242</f>
        <v>0</v>
      </c>
      <c r="AB239" s="31">
        <f>'mnt Data'!N242</f>
        <v>0</v>
      </c>
      <c r="AC239" s="31">
        <f>'mnt Data'!O242</f>
        <v>0</v>
      </c>
      <c r="AD239" s="31">
        <f>'mnt Data'!P242</f>
        <v>0</v>
      </c>
      <c r="AE239" s="31">
        <f>'mnt Data'!Q242</f>
        <v>0</v>
      </c>
      <c r="AF239" s="31">
        <f>'mnt Data'!R242</f>
        <v>0</v>
      </c>
      <c r="AG239" s="31">
        <f>'mnt Data'!S242</f>
        <v>0</v>
      </c>
      <c r="AH239" s="31">
        <f>'mnt Data'!T242</f>
        <v>0</v>
      </c>
      <c r="AI239" s="31">
        <f>'mnt Data'!U242</f>
        <v>0</v>
      </c>
      <c r="AJ239" s="31">
        <f>'mnt Data'!V242</f>
        <v>0</v>
      </c>
      <c r="AK239" s="31">
        <f>'mnt Data'!W242</f>
        <v>0</v>
      </c>
      <c r="AL239" s="31">
        <f>'mnt Data'!X242</f>
        <v>0</v>
      </c>
      <c r="AM239" s="31">
        <f>'mnt Data'!Y242</f>
        <v>0</v>
      </c>
      <c r="AN239" s="31">
        <f>'mnt Data'!Z242</f>
        <v>0</v>
      </c>
      <c r="AO239" s="31">
        <f>'mnt Data'!AA242</f>
        <v>0</v>
      </c>
      <c r="AP239" s="31">
        <f>'mnt Data'!AB242</f>
        <v>0</v>
      </c>
      <c r="AQ239" s="31">
        <f>'mnt Data'!AC242</f>
        <v>0</v>
      </c>
      <c r="AR239" s="31">
        <f>'mnt Data'!AD242</f>
        <v>0</v>
      </c>
      <c r="AS239" s="31">
        <f>'mnt Data'!AE242</f>
        <v>0</v>
      </c>
      <c r="AT239" s="31">
        <f>'mnt Data'!AF242</f>
        <v>0</v>
      </c>
      <c r="AU239" s="31">
        <f>'mnt Data'!AG242</f>
        <v>0</v>
      </c>
      <c r="AV239" s="31">
        <f>'mnt Data'!AH242</f>
        <v>0</v>
      </c>
      <c r="AW239" s="31">
        <f>'mnt Data'!AI242</f>
        <v>0</v>
      </c>
      <c r="AX239" s="31">
        <f>'mnt Data'!AJ242</f>
        <v>0</v>
      </c>
      <c r="AY239" s="31">
        <f>'mnt Data'!AK242</f>
        <v>0</v>
      </c>
    </row>
    <row r="240" spans="1:51" x14ac:dyDescent="0.25">
      <c r="A240">
        <v>239</v>
      </c>
      <c r="B240" s="32">
        <f t="shared" si="48"/>
        <v>0</v>
      </c>
      <c r="C240" s="32">
        <f t="shared" si="49"/>
        <v>0</v>
      </c>
      <c r="D240" s="32" t="str">
        <f t="shared" si="41"/>
        <v>No Gs</v>
      </c>
      <c r="E240" s="32">
        <f t="shared" si="45"/>
        <v>0</v>
      </c>
      <c r="F240" s="32" t="str">
        <f t="shared" si="46"/>
        <v>No Gs</v>
      </c>
      <c r="G240" s="32" t="str">
        <f t="shared" si="47"/>
        <v>No Gs</v>
      </c>
      <c r="H240" s="32" t="str">
        <f t="shared" si="50"/>
        <v>Gs is needed</v>
      </c>
      <c r="I240" s="32" t="str">
        <f t="shared" si="51"/>
        <v>Gs is needed</v>
      </c>
      <c r="J240" s="32" t="str">
        <f t="shared" si="52"/>
        <v>Gs is needed</v>
      </c>
      <c r="K240" s="32" t="str">
        <f t="shared" si="42"/>
        <v>Need Max and Min</v>
      </c>
      <c r="L240" s="32" t="str">
        <f t="shared" si="43"/>
        <v>Need Max and Min</v>
      </c>
      <c r="M240" s="32" t="str">
        <f t="shared" si="44"/>
        <v>Fail</v>
      </c>
      <c r="N240" s="32"/>
      <c r="O240" s="31">
        <f>'mnt Data'!A243</f>
        <v>0</v>
      </c>
      <c r="P240" s="31">
        <f>'mnt Data'!B243</f>
        <v>0</v>
      </c>
      <c r="Q240" s="31">
        <f>'mnt Data'!C243</f>
        <v>0</v>
      </c>
      <c r="R240" s="31">
        <f>'mnt Data'!D243</f>
        <v>0</v>
      </c>
      <c r="S240" s="31">
        <f>'mnt Data'!E243</f>
        <v>0</v>
      </c>
      <c r="T240" s="31">
        <f>'mnt Data'!F243</f>
        <v>0</v>
      </c>
      <c r="U240" s="31">
        <f>'mnt Data'!G243</f>
        <v>0</v>
      </c>
      <c r="V240" s="31">
        <f>'mnt Data'!H243</f>
        <v>0</v>
      </c>
      <c r="W240" s="31">
        <f>'mnt Data'!I243</f>
        <v>0</v>
      </c>
      <c r="X240" s="31">
        <f>'mnt Data'!J243</f>
        <v>0</v>
      </c>
      <c r="Y240" s="31">
        <f>'mnt Data'!K243</f>
        <v>0</v>
      </c>
      <c r="Z240" s="31">
        <f>'mnt Data'!L243</f>
        <v>0</v>
      </c>
      <c r="AA240" s="31">
        <f>'mnt Data'!M243</f>
        <v>0</v>
      </c>
      <c r="AB240" s="31">
        <f>'mnt Data'!N243</f>
        <v>0</v>
      </c>
      <c r="AC240" s="31">
        <f>'mnt Data'!O243</f>
        <v>0</v>
      </c>
      <c r="AD240" s="31">
        <f>'mnt Data'!P243</f>
        <v>0</v>
      </c>
      <c r="AE240" s="31">
        <f>'mnt Data'!Q243</f>
        <v>0</v>
      </c>
      <c r="AF240" s="31">
        <f>'mnt Data'!R243</f>
        <v>0</v>
      </c>
      <c r="AG240" s="31">
        <f>'mnt Data'!S243</f>
        <v>0</v>
      </c>
      <c r="AH240" s="31">
        <f>'mnt Data'!T243</f>
        <v>0</v>
      </c>
      <c r="AI240" s="31">
        <f>'mnt Data'!U243</f>
        <v>0</v>
      </c>
      <c r="AJ240" s="31">
        <f>'mnt Data'!V243</f>
        <v>0</v>
      </c>
      <c r="AK240" s="31">
        <f>'mnt Data'!W243</f>
        <v>0</v>
      </c>
      <c r="AL240" s="31">
        <f>'mnt Data'!X243</f>
        <v>0</v>
      </c>
      <c r="AM240" s="31">
        <f>'mnt Data'!Y243</f>
        <v>0</v>
      </c>
      <c r="AN240" s="31">
        <f>'mnt Data'!Z243</f>
        <v>0</v>
      </c>
      <c r="AO240" s="31">
        <f>'mnt Data'!AA243</f>
        <v>0</v>
      </c>
      <c r="AP240" s="31">
        <f>'mnt Data'!AB243</f>
        <v>0</v>
      </c>
      <c r="AQ240" s="31">
        <f>'mnt Data'!AC243</f>
        <v>0</v>
      </c>
      <c r="AR240" s="31">
        <f>'mnt Data'!AD243</f>
        <v>0</v>
      </c>
      <c r="AS240" s="31">
        <f>'mnt Data'!AE243</f>
        <v>0</v>
      </c>
      <c r="AT240" s="31">
        <f>'mnt Data'!AF243</f>
        <v>0</v>
      </c>
      <c r="AU240" s="31">
        <f>'mnt Data'!AG243</f>
        <v>0</v>
      </c>
      <c r="AV240" s="31">
        <f>'mnt Data'!AH243</f>
        <v>0</v>
      </c>
      <c r="AW240" s="31">
        <f>'mnt Data'!AI243</f>
        <v>0</v>
      </c>
      <c r="AX240" s="31">
        <f>'mnt Data'!AJ243</f>
        <v>0</v>
      </c>
      <c r="AY240" s="31">
        <f>'mnt Data'!AK243</f>
        <v>0</v>
      </c>
    </row>
    <row r="241" spans="1:51" x14ac:dyDescent="0.25">
      <c r="A241">
        <v>240</v>
      </c>
      <c r="B241" s="32">
        <f t="shared" si="48"/>
        <v>0</v>
      </c>
      <c r="C241" s="32">
        <f t="shared" si="49"/>
        <v>0</v>
      </c>
      <c r="D241" s="32" t="str">
        <f t="shared" si="41"/>
        <v>No Gs</v>
      </c>
      <c r="E241" s="32">
        <f t="shared" si="45"/>
        <v>0</v>
      </c>
      <c r="F241" s="32" t="str">
        <f t="shared" si="46"/>
        <v>No Gs</v>
      </c>
      <c r="G241" s="32" t="str">
        <f t="shared" si="47"/>
        <v>No Gs</v>
      </c>
      <c r="H241" s="32" t="str">
        <f t="shared" si="50"/>
        <v>Gs is needed</v>
      </c>
      <c r="I241" s="32" t="str">
        <f t="shared" si="51"/>
        <v>Gs is needed</v>
      </c>
      <c r="J241" s="32" t="str">
        <f t="shared" si="52"/>
        <v>Gs is needed</v>
      </c>
      <c r="K241" s="32" t="str">
        <f t="shared" si="42"/>
        <v>Need Max and Min</v>
      </c>
      <c r="L241" s="32" t="str">
        <f t="shared" si="43"/>
        <v>Need Max and Min</v>
      </c>
      <c r="M241" s="32" t="str">
        <f t="shared" si="44"/>
        <v>Fail</v>
      </c>
      <c r="N241" s="32"/>
      <c r="O241" s="31">
        <f>'mnt Data'!A244</f>
        <v>0</v>
      </c>
      <c r="P241" s="31">
        <f>'mnt Data'!B244</f>
        <v>0</v>
      </c>
      <c r="Q241" s="31">
        <f>'mnt Data'!C244</f>
        <v>0</v>
      </c>
      <c r="R241" s="31">
        <f>'mnt Data'!D244</f>
        <v>0</v>
      </c>
      <c r="S241" s="31">
        <f>'mnt Data'!E244</f>
        <v>0</v>
      </c>
      <c r="T241" s="31">
        <f>'mnt Data'!F244</f>
        <v>0</v>
      </c>
      <c r="U241" s="31">
        <f>'mnt Data'!G244</f>
        <v>0</v>
      </c>
      <c r="V241" s="31">
        <f>'mnt Data'!H244</f>
        <v>0</v>
      </c>
      <c r="W241" s="31">
        <f>'mnt Data'!I244</f>
        <v>0</v>
      </c>
      <c r="X241" s="31">
        <f>'mnt Data'!J244</f>
        <v>0</v>
      </c>
      <c r="Y241" s="31">
        <f>'mnt Data'!K244</f>
        <v>0</v>
      </c>
      <c r="Z241" s="31">
        <f>'mnt Data'!L244</f>
        <v>0</v>
      </c>
      <c r="AA241" s="31">
        <f>'mnt Data'!M244</f>
        <v>0</v>
      </c>
      <c r="AB241" s="31">
        <f>'mnt Data'!N244</f>
        <v>0</v>
      </c>
      <c r="AC241" s="31">
        <f>'mnt Data'!O244</f>
        <v>0</v>
      </c>
      <c r="AD241" s="31">
        <f>'mnt Data'!P244</f>
        <v>0</v>
      </c>
      <c r="AE241" s="31">
        <f>'mnt Data'!Q244</f>
        <v>0</v>
      </c>
      <c r="AF241" s="31">
        <f>'mnt Data'!R244</f>
        <v>0</v>
      </c>
      <c r="AG241" s="31">
        <f>'mnt Data'!S244</f>
        <v>0</v>
      </c>
      <c r="AH241" s="31">
        <f>'mnt Data'!T244</f>
        <v>0</v>
      </c>
      <c r="AI241" s="31">
        <f>'mnt Data'!U244</f>
        <v>0</v>
      </c>
      <c r="AJ241" s="31">
        <f>'mnt Data'!V244</f>
        <v>0</v>
      </c>
      <c r="AK241" s="31">
        <f>'mnt Data'!W244</f>
        <v>0</v>
      </c>
      <c r="AL241" s="31">
        <f>'mnt Data'!X244</f>
        <v>0</v>
      </c>
      <c r="AM241" s="31">
        <f>'mnt Data'!Y244</f>
        <v>0</v>
      </c>
      <c r="AN241" s="31">
        <f>'mnt Data'!Z244</f>
        <v>0</v>
      </c>
      <c r="AO241" s="31">
        <f>'mnt Data'!AA244</f>
        <v>0</v>
      </c>
      <c r="AP241" s="31">
        <f>'mnt Data'!AB244</f>
        <v>0</v>
      </c>
      <c r="AQ241" s="31">
        <f>'mnt Data'!AC244</f>
        <v>0</v>
      </c>
      <c r="AR241" s="31">
        <f>'mnt Data'!AD244</f>
        <v>0</v>
      </c>
      <c r="AS241" s="31">
        <f>'mnt Data'!AE244</f>
        <v>0</v>
      </c>
      <c r="AT241" s="31">
        <f>'mnt Data'!AF244</f>
        <v>0</v>
      </c>
      <c r="AU241" s="31">
        <f>'mnt Data'!AG244</f>
        <v>0</v>
      </c>
      <c r="AV241" s="31">
        <f>'mnt Data'!AH244</f>
        <v>0</v>
      </c>
      <c r="AW241" s="31">
        <f>'mnt Data'!AI244</f>
        <v>0</v>
      </c>
      <c r="AX241" s="31">
        <f>'mnt Data'!AJ244</f>
        <v>0</v>
      </c>
      <c r="AY241" s="31">
        <f>'mnt Data'!AK244</f>
        <v>0</v>
      </c>
    </row>
    <row r="242" spans="1:51" x14ac:dyDescent="0.25">
      <c r="A242">
        <v>241</v>
      </c>
      <c r="B242" s="32">
        <f t="shared" si="48"/>
        <v>0</v>
      </c>
      <c r="C242" s="32">
        <f t="shared" si="49"/>
        <v>0</v>
      </c>
      <c r="D242" s="32" t="str">
        <f t="shared" si="41"/>
        <v>No Gs</v>
      </c>
      <c r="E242" s="32">
        <f t="shared" si="45"/>
        <v>0</v>
      </c>
      <c r="F242" s="32" t="str">
        <f t="shared" si="46"/>
        <v>No Gs</v>
      </c>
      <c r="G242" s="32" t="str">
        <f t="shared" si="47"/>
        <v>No Gs</v>
      </c>
      <c r="H242" s="32" t="str">
        <f t="shared" si="50"/>
        <v>Gs is needed</v>
      </c>
      <c r="I242" s="32" t="str">
        <f t="shared" si="51"/>
        <v>Gs is needed</v>
      </c>
      <c r="J242" s="32" t="str">
        <f t="shared" si="52"/>
        <v>Gs is needed</v>
      </c>
      <c r="K242" s="32" t="str">
        <f t="shared" si="42"/>
        <v>Need Max and Min</v>
      </c>
      <c r="L242" s="32" t="str">
        <f t="shared" si="43"/>
        <v>Need Max and Min</v>
      </c>
      <c r="M242" s="32" t="str">
        <f t="shared" si="44"/>
        <v>Fail</v>
      </c>
      <c r="N242" s="32"/>
      <c r="O242" s="31">
        <f>'mnt Data'!A245</f>
        <v>0</v>
      </c>
      <c r="P242" s="31">
        <f>'mnt Data'!B245</f>
        <v>0</v>
      </c>
      <c r="Q242" s="31">
        <f>'mnt Data'!C245</f>
        <v>0</v>
      </c>
      <c r="R242" s="31">
        <f>'mnt Data'!D245</f>
        <v>0</v>
      </c>
      <c r="S242" s="31">
        <f>'mnt Data'!E245</f>
        <v>0</v>
      </c>
      <c r="T242" s="31">
        <f>'mnt Data'!F245</f>
        <v>0</v>
      </c>
      <c r="U242" s="31">
        <f>'mnt Data'!G245</f>
        <v>0</v>
      </c>
      <c r="V242" s="31">
        <f>'mnt Data'!H245</f>
        <v>0</v>
      </c>
      <c r="W242" s="31">
        <f>'mnt Data'!I245</f>
        <v>0</v>
      </c>
      <c r="X242" s="31">
        <f>'mnt Data'!J245</f>
        <v>0</v>
      </c>
      <c r="Y242" s="31">
        <f>'mnt Data'!K245</f>
        <v>0</v>
      </c>
      <c r="Z242" s="31">
        <f>'mnt Data'!L245</f>
        <v>0</v>
      </c>
      <c r="AA242" s="31">
        <f>'mnt Data'!M245</f>
        <v>0</v>
      </c>
      <c r="AB242" s="31">
        <f>'mnt Data'!N245</f>
        <v>0</v>
      </c>
      <c r="AC242" s="31">
        <f>'mnt Data'!O245</f>
        <v>0</v>
      </c>
      <c r="AD242" s="31">
        <f>'mnt Data'!P245</f>
        <v>0</v>
      </c>
      <c r="AE242" s="31">
        <f>'mnt Data'!Q245</f>
        <v>0</v>
      </c>
      <c r="AF242" s="31">
        <f>'mnt Data'!R245</f>
        <v>0</v>
      </c>
      <c r="AG242" s="31">
        <f>'mnt Data'!S245</f>
        <v>0</v>
      </c>
      <c r="AH242" s="31">
        <f>'mnt Data'!T245</f>
        <v>0</v>
      </c>
      <c r="AI242" s="31">
        <f>'mnt Data'!U245</f>
        <v>0</v>
      </c>
      <c r="AJ242" s="31">
        <f>'mnt Data'!V245</f>
        <v>0</v>
      </c>
      <c r="AK242" s="31">
        <f>'mnt Data'!W245</f>
        <v>0</v>
      </c>
      <c r="AL242" s="31">
        <f>'mnt Data'!X245</f>
        <v>0</v>
      </c>
      <c r="AM242" s="31">
        <f>'mnt Data'!Y245</f>
        <v>0</v>
      </c>
      <c r="AN242" s="31">
        <f>'mnt Data'!Z245</f>
        <v>0</v>
      </c>
      <c r="AO242" s="31">
        <f>'mnt Data'!AA245</f>
        <v>0</v>
      </c>
      <c r="AP242" s="31">
        <f>'mnt Data'!AB245</f>
        <v>0</v>
      </c>
      <c r="AQ242" s="31">
        <f>'mnt Data'!AC245</f>
        <v>0</v>
      </c>
      <c r="AR242" s="31">
        <f>'mnt Data'!AD245</f>
        <v>0</v>
      </c>
      <c r="AS242" s="31">
        <f>'mnt Data'!AE245</f>
        <v>0</v>
      </c>
      <c r="AT242" s="31">
        <f>'mnt Data'!AF245</f>
        <v>0</v>
      </c>
      <c r="AU242" s="31">
        <f>'mnt Data'!AG245</f>
        <v>0</v>
      </c>
      <c r="AV242" s="31">
        <f>'mnt Data'!AH245</f>
        <v>0</v>
      </c>
      <c r="AW242" s="31">
        <f>'mnt Data'!AI245</f>
        <v>0</v>
      </c>
      <c r="AX242" s="31">
        <f>'mnt Data'!AJ245</f>
        <v>0</v>
      </c>
      <c r="AY242" s="31">
        <f>'mnt Data'!AK245</f>
        <v>0</v>
      </c>
    </row>
    <row r="243" spans="1:51" x14ac:dyDescent="0.25">
      <c r="A243">
        <v>242</v>
      </c>
      <c r="B243" s="32">
        <f t="shared" si="48"/>
        <v>0</v>
      </c>
      <c r="C243" s="32">
        <f t="shared" si="49"/>
        <v>0</v>
      </c>
      <c r="D243" s="32" t="str">
        <f t="shared" si="41"/>
        <v>No Gs</v>
      </c>
      <c r="E243" s="32">
        <f t="shared" si="45"/>
        <v>0</v>
      </c>
      <c r="F243" s="32" t="str">
        <f t="shared" si="46"/>
        <v>No Gs</v>
      </c>
      <c r="G243" s="32" t="str">
        <f t="shared" si="47"/>
        <v>No Gs</v>
      </c>
      <c r="H243" s="32" t="str">
        <f t="shared" si="50"/>
        <v>Gs is needed</v>
      </c>
      <c r="I243" s="32" t="str">
        <f t="shared" si="51"/>
        <v>Gs is needed</v>
      </c>
      <c r="J243" s="32" t="str">
        <f t="shared" si="52"/>
        <v>Gs is needed</v>
      </c>
      <c r="K243" s="32" t="str">
        <f t="shared" si="42"/>
        <v>Need Max and Min</v>
      </c>
      <c r="L243" s="32" t="str">
        <f t="shared" si="43"/>
        <v>Need Max and Min</v>
      </c>
      <c r="M243" s="32" t="str">
        <f t="shared" si="44"/>
        <v>Fail</v>
      </c>
      <c r="N243" s="32"/>
      <c r="O243" s="31">
        <f>'mnt Data'!A246</f>
        <v>0</v>
      </c>
      <c r="P243" s="31">
        <f>'mnt Data'!B246</f>
        <v>0</v>
      </c>
      <c r="Q243" s="31">
        <f>'mnt Data'!C246</f>
        <v>0</v>
      </c>
      <c r="R243" s="31">
        <f>'mnt Data'!D246</f>
        <v>0</v>
      </c>
      <c r="S243" s="31">
        <f>'mnt Data'!E246</f>
        <v>0</v>
      </c>
      <c r="T243" s="31">
        <f>'mnt Data'!F246</f>
        <v>0</v>
      </c>
      <c r="U243" s="31">
        <f>'mnt Data'!G246</f>
        <v>0</v>
      </c>
      <c r="V243" s="31">
        <f>'mnt Data'!H246</f>
        <v>0</v>
      </c>
      <c r="W243" s="31">
        <f>'mnt Data'!I246</f>
        <v>0</v>
      </c>
      <c r="X243" s="31">
        <f>'mnt Data'!J246</f>
        <v>0</v>
      </c>
      <c r="Y243" s="31">
        <f>'mnt Data'!K246</f>
        <v>0</v>
      </c>
      <c r="Z243" s="31">
        <f>'mnt Data'!L246</f>
        <v>0</v>
      </c>
      <c r="AA243" s="31">
        <f>'mnt Data'!M246</f>
        <v>0</v>
      </c>
      <c r="AB243" s="31">
        <f>'mnt Data'!N246</f>
        <v>0</v>
      </c>
      <c r="AC243" s="31">
        <f>'mnt Data'!O246</f>
        <v>0</v>
      </c>
      <c r="AD243" s="31">
        <f>'mnt Data'!P246</f>
        <v>0</v>
      </c>
      <c r="AE243" s="31">
        <f>'mnt Data'!Q246</f>
        <v>0</v>
      </c>
      <c r="AF243" s="31">
        <f>'mnt Data'!R246</f>
        <v>0</v>
      </c>
      <c r="AG243" s="31">
        <f>'mnt Data'!S246</f>
        <v>0</v>
      </c>
      <c r="AH243" s="31">
        <f>'mnt Data'!T246</f>
        <v>0</v>
      </c>
      <c r="AI243" s="31">
        <f>'mnt Data'!U246</f>
        <v>0</v>
      </c>
      <c r="AJ243" s="31">
        <f>'mnt Data'!V246</f>
        <v>0</v>
      </c>
      <c r="AK243" s="31">
        <f>'mnt Data'!W246</f>
        <v>0</v>
      </c>
      <c r="AL243" s="31">
        <f>'mnt Data'!X246</f>
        <v>0</v>
      </c>
      <c r="AM243" s="31">
        <f>'mnt Data'!Y246</f>
        <v>0</v>
      </c>
      <c r="AN243" s="31">
        <f>'mnt Data'!Z246</f>
        <v>0</v>
      </c>
      <c r="AO243" s="31">
        <f>'mnt Data'!AA246</f>
        <v>0</v>
      </c>
      <c r="AP243" s="31">
        <f>'mnt Data'!AB246</f>
        <v>0</v>
      </c>
      <c r="AQ243" s="31">
        <f>'mnt Data'!AC246</f>
        <v>0</v>
      </c>
      <c r="AR243" s="31">
        <f>'mnt Data'!AD246</f>
        <v>0</v>
      </c>
      <c r="AS243" s="31">
        <f>'mnt Data'!AE246</f>
        <v>0</v>
      </c>
      <c r="AT243" s="31">
        <f>'mnt Data'!AF246</f>
        <v>0</v>
      </c>
      <c r="AU243" s="31">
        <f>'mnt Data'!AG246</f>
        <v>0</v>
      </c>
      <c r="AV243" s="31">
        <f>'mnt Data'!AH246</f>
        <v>0</v>
      </c>
      <c r="AW243" s="31">
        <f>'mnt Data'!AI246</f>
        <v>0</v>
      </c>
      <c r="AX243" s="31">
        <f>'mnt Data'!AJ246</f>
        <v>0</v>
      </c>
      <c r="AY243" s="31">
        <f>'mnt Data'!AK246</f>
        <v>0</v>
      </c>
    </row>
    <row r="244" spans="1:51" x14ac:dyDescent="0.25">
      <c r="A244">
        <v>243</v>
      </c>
      <c r="B244" s="32">
        <f t="shared" si="48"/>
        <v>0</v>
      </c>
      <c r="C244" s="32">
        <f t="shared" si="49"/>
        <v>0</v>
      </c>
      <c r="D244" s="32" t="str">
        <f t="shared" si="41"/>
        <v>No Gs</v>
      </c>
      <c r="E244" s="32">
        <f t="shared" si="45"/>
        <v>0</v>
      </c>
      <c r="F244" s="32" t="str">
        <f t="shared" si="46"/>
        <v>No Gs</v>
      </c>
      <c r="G244" s="32" t="str">
        <f t="shared" si="47"/>
        <v>No Gs</v>
      </c>
      <c r="H244" s="32" t="str">
        <f t="shared" si="50"/>
        <v>Gs is needed</v>
      </c>
      <c r="I244" s="32" t="str">
        <f t="shared" si="51"/>
        <v>Gs is needed</v>
      </c>
      <c r="J244" s="32" t="str">
        <f t="shared" si="52"/>
        <v>Gs is needed</v>
      </c>
      <c r="K244" s="32" t="str">
        <f t="shared" si="42"/>
        <v>Need Max and Min</v>
      </c>
      <c r="L244" s="32" t="str">
        <f t="shared" si="43"/>
        <v>Need Max and Min</v>
      </c>
      <c r="M244" s="32" t="str">
        <f t="shared" si="44"/>
        <v>Fail</v>
      </c>
      <c r="N244" s="32"/>
      <c r="O244" s="31">
        <f>'mnt Data'!A247</f>
        <v>0</v>
      </c>
      <c r="P244" s="31">
        <f>'mnt Data'!B247</f>
        <v>0</v>
      </c>
      <c r="Q244" s="31">
        <f>'mnt Data'!C247</f>
        <v>0</v>
      </c>
      <c r="R244" s="31">
        <f>'mnt Data'!D247</f>
        <v>0</v>
      </c>
      <c r="S244" s="31">
        <f>'mnt Data'!E247</f>
        <v>0</v>
      </c>
      <c r="T244" s="31">
        <f>'mnt Data'!F247</f>
        <v>0</v>
      </c>
      <c r="U244" s="31">
        <f>'mnt Data'!G247</f>
        <v>0</v>
      </c>
      <c r="V244" s="31">
        <f>'mnt Data'!H247</f>
        <v>0</v>
      </c>
      <c r="W244" s="31">
        <f>'mnt Data'!I247</f>
        <v>0</v>
      </c>
      <c r="X244" s="31">
        <f>'mnt Data'!J247</f>
        <v>0</v>
      </c>
      <c r="Y244" s="31">
        <f>'mnt Data'!K247</f>
        <v>0</v>
      </c>
      <c r="Z244" s="31">
        <f>'mnt Data'!L247</f>
        <v>0</v>
      </c>
      <c r="AA244" s="31">
        <f>'mnt Data'!M247</f>
        <v>0</v>
      </c>
      <c r="AB244" s="31">
        <f>'mnt Data'!N247</f>
        <v>0</v>
      </c>
      <c r="AC244" s="31">
        <f>'mnt Data'!O247</f>
        <v>0</v>
      </c>
      <c r="AD244" s="31">
        <f>'mnt Data'!P247</f>
        <v>0</v>
      </c>
      <c r="AE244" s="31">
        <f>'mnt Data'!Q247</f>
        <v>0</v>
      </c>
      <c r="AF244" s="31">
        <f>'mnt Data'!R247</f>
        <v>0</v>
      </c>
      <c r="AG244" s="31">
        <f>'mnt Data'!S247</f>
        <v>0</v>
      </c>
      <c r="AH244" s="31">
        <f>'mnt Data'!T247</f>
        <v>0</v>
      </c>
      <c r="AI244" s="31">
        <f>'mnt Data'!U247</f>
        <v>0</v>
      </c>
      <c r="AJ244" s="31">
        <f>'mnt Data'!V247</f>
        <v>0</v>
      </c>
      <c r="AK244" s="31">
        <f>'mnt Data'!W247</f>
        <v>0</v>
      </c>
      <c r="AL244" s="31">
        <f>'mnt Data'!X247</f>
        <v>0</v>
      </c>
      <c r="AM244" s="31">
        <f>'mnt Data'!Y247</f>
        <v>0</v>
      </c>
      <c r="AN244" s="31">
        <f>'mnt Data'!Z247</f>
        <v>0</v>
      </c>
      <c r="AO244" s="31">
        <f>'mnt Data'!AA247</f>
        <v>0</v>
      </c>
      <c r="AP244" s="31">
        <f>'mnt Data'!AB247</f>
        <v>0</v>
      </c>
      <c r="AQ244" s="31">
        <f>'mnt Data'!AC247</f>
        <v>0</v>
      </c>
      <c r="AR244" s="31">
        <f>'mnt Data'!AD247</f>
        <v>0</v>
      </c>
      <c r="AS244" s="31">
        <f>'mnt Data'!AE247</f>
        <v>0</v>
      </c>
      <c r="AT244" s="31">
        <f>'mnt Data'!AF247</f>
        <v>0</v>
      </c>
      <c r="AU244" s="31">
        <f>'mnt Data'!AG247</f>
        <v>0</v>
      </c>
      <c r="AV244" s="31">
        <f>'mnt Data'!AH247</f>
        <v>0</v>
      </c>
      <c r="AW244" s="31">
        <f>'mnt Data'!AI247</f>
        <v>0</v>
      </c>
      <c r="AX244" s="31">
        <f>'mnt Data'!AJ247</f>
        <v>0</v>
      </c>
      <c r="AY244" s="31">
        <f>'mnt Data'!AK247</f>
        <v>0</v>
      </c>
    </row>
    <row r="245" spans="1:51" x14ac:dyDescent="0.25">
      <c r="A245">
        <v>244</v>
      </c>
      <c r="B245" s="32">
        <f t="shared" si="48"/>
        <v>0</v>
      </c>
      <c r="C245" s="32">
        <f t="shared" si="49"/>
        <v>0</v>
      </c>
      <c r="D245" s="32" t="str">
        <f t="shared" si="41"/>
        <v>No Gs</v>
      </c>
      <c r="E245" s="32">
        <f t="shared" si="45"/>
        <v>0</v>
      </c>
      <c r="F245" s="32" t="str">
        <f t="shared" si="46"/>
        <v>No Gs</v>
      </c>
      <c r="G245" s="32" t="str">
        <f t="shared" si="47"/>
        <v>No Gs</v>
      </c>
      <c r="H245" s="32" t="str">
        <f t="shared" si="50"/>
        <v>Gs is needed</v>
      </c>
      <c r="I245" s="32" t="str">
        <f t="shared" si="51"/>
        <v>Gs is needed</v>
      </c>
      <c r="J245" s="32" t="str">
        <f t="shared" si="52"/>
        <v>Gs is needed</v>
      </c>
      <c r="K245" s="32" t="str">
        <f t="shared" si="42"/>
        <v>Need Max and Min</v>
      </c>
      <c r="L245" s="32" t="str">
        <f t="shared" si="43"/>
        <v>Need Max and Min</v>
      </c>
      <c r="M245" s="32" t="str">
        <f t="shared" si="44"/>
        <v>Fail</v>
      </c>
      <c r="N245" s="32"/>
      <c r="O245" s="31">
        <f>'mnt Data'!A248</f>
        <v>0</v>
      </c>
      <c r="P245" s="31">
        <f>'mnt Data'!B248</f>
        <v>0</v>
      </c>
      <c r="Q245" s="31">
        <f>'mnt Data'!C248</f>
        <v>0</v>
      </c>
      <c r="R245" s="31">
        <f>'mnt Data'!D248</f>
        <v>0</v>
      </c>
      <c r="S245" s="31">
        <f>'mnt Data'!E248</f>
        <v>0</v>
      </c>
      <c r="T245" s="31">
        <f>'mnt Data'!F248</f>
        <v>0</v>
      </c>
      <c r="U245" s="31">
        <f>'mnt Data'!G248</f>
        <v>0</v>
      </c>
      <c r="V245" s="31">
        <f>'mnt Data'!H248</f>
        <v>0</v>
      </c>
      <c r="W245" s="31">
        <f>'mnt Data'!I248</f>
        <v>0</v>
      </c>
      <c r="X245" s="31">
        <f>'mnt Data'!J248</f>
        <v>0</v>
      </c>
      <c r="Y245" s="31">
        <f>'mnt Data'!K248</f>
        <v>0</v>
      </c>
      <c r="Z245" s="31">
        <f>'mnt Data'!L248</f>
        <v>0</v>
      </c>
      <c r="AA245" s="31">
        <f>'mnt Data'!M248</f>
        <v>0</v>
      </c>
      <c r="AB245" s="31">
        <f>'mnt Data'!N248</f>
        <v>0</v>
      </c>
      <c r="AC245" s="31">
        <f>'mnt Data'!O248</f>
        <v>0</v>
      </c>
      <c r="AD245" s="31">
        <f>'mnt Data'!P248</f>
        <v>0</v>
      </c>
      <c r="AE245" s="31">
        <f>'mnt Data'!Q248</f>
        <v>0</v>
      </c>
      <c r="AF245" s="31">
        <f>'mnt Data'!R248</f>
        <v>0</v>
      </c>
      <c r="AG245" s="31">
        <f>'mnt Data'!S248</f>
        <v>0</v>
      </c>
      <c r="AH245" s="31">
        <f>'mnt Data'!T248</f>
        <v>0</v>
      </c>
      <c r="AI245" s="31">
        <f>'mnt Data'!U248</f>
        <v>0</v>
      </c>
      <c r="AJ245" s="31">
        <f>'mnt Data'!V248</f>
        <v>0</v>
      </c>
      <c r="AK245" s="31">
        <f>'mnt Data'!W248</f>
        <v>0</v>
      </c>
      <c r="AL245" s="31">
        <f>'mnt Data'!X248</f>
        <v>0</v>
      </c>
      <c r="AM245" s="31">
        <f>'mnt Data'!Y248</f>
        <v>0</v>
      </c>
      <c r="AN245" s="31">
        <f>'mnt Data'!Z248</f>
        <v>0</v>
      </c>
      <c r="AO245" s="31">
        <f>'mnt Data'!AA248</f>
        <v>0</v>
      </c>
      <c r="AP245" s="31">
        <f>'mnt Data'!AB248</f>
        <v>0</v>
      </c>
      <c r="AQ245" s="31">
        <f>'mnt Data'!AC248</f>
        <v>0</v>
      </c>
      <c r="AR245" s="31">
        <f>'mnt Data'!AD248</f>
        <v>0</v>
      </c>
      <c r="AS245" s="31">
        <f>'mnt Data'!AE248</f>
        <v>0</v>
      </c>
      <c r="AT245" s="31">
        <f>'mnt Data'!AF248</f>
        <v>0</v>
      </c>
      <c r="AU245" s="31">
        <f>'mnt Data'!AG248</f>
        <v>0</v>
      </c>
      <c r="AV245" s="31">
        <f>'mnt Data'!AH248</f>
        <v>0</v>
      </c>
      <c r="AW245" s="31">
        <f>'mnt Data'!AI248</f>
        <v>0</v>
      </c>
      <c r="AX245" s="31">
        <f>'mnt Data'!AJ248</f>
        <v>0</v>
      </c>
      <c r="AY245" s="31">
        <f>'mnt Data'!AK248</f>
        <v>0</v>
      </c>
    </row>
    <row r="246" spans="1:51" x14ac:dyDescent="0.25">
      <c r="A246">
        <v>245</v>
      </c>
      <c r="B246" s="32">
        <f t="shared" si="48"/>
        <v>0</v>
      </c>
      <c r="C246" s="32">
        <f t="shared" si="49"/>
        <v>0</v>
      </c>
      <c r="D246" s="32" t="str">
        <f t="shared" si="41"/>
        <v>No Gs</v>
      </c>
      <c r="E246" s="32">
        <f t="shared" si="45"/>
        <v>0</v>
      </c>
      <c r="F246" s="32" t="str">
        <f t="shared" si="46"/>
        <v>No Gs</v>
      </c>
      <c r="G246" s="32" t="str">
        <f t="shared" si="47"/>
        <v>No Gs</v>
      </c>
      <c r="H246" s="32" t="str">
        <f t="shared" si="50"/>
        <v>Gs is needed</v>
      </c>
      <c r="I246" s="32" t="str">
        <f t="shared" si="51"/>
        <v>Gs is needed</v>
      </c>
      <c r="J246" s="32" t="str">
        <f t="shared" si="52"/>
        <v>Gs is needed</v>
      </c>
      <c r="K246" s="32" t="str">
        <f t="shared" si="42"/>
        <v>Need Max and Min</v>
      </c>
      <c r="L246" s="32" t="str">
        <f t="shared" si="43"/>
        <v>Need Max and Min</v>
      </c>
      <c r="M246" s="32" t="str">
        <f t="shared" si="44"/>
        <v>Fail</v>
      </c>
      <c r="N246" s="32"/>
      <c r="O246" s="31">
        <f>'mnt Data'!A249</f>
        <v>0</v>
      </c>
      <c r="P246" s="31">
        <f>'mnt Data'!B249</f>
        <v>0</v>
      </c>
      <c r="Q246" s="31">
        <f>'mnt Data'!C249</f>
        <v>0</v>
      </c>
      <c r="R246" s="31">
        <f>'mnt Data'!D249</f>
        <v>0</v>
      </c>
      <c r="S246" s="31">
        <f>'mnt Data'!E249</f>
        <v>0</v>
      </c>
      <c r="T246" s="31">
        <f>'mnt Data'!F249</f>
        <v>0</v>
      </c>
      <c r="U246" s="31">
        <f>'mnt Data'!G249</f>
        <v>0</v>
      </c>
      <c r="V246" s="31">
        <f>'mnt Data'!H249</f>
        <v>0</v>
      </c>
      <c r="W246" s="31">
        <f>'mnt Data'!I249</f>
        <v>0</v>
      </c>
      <c r="X246" s="31">
        <f>'mnt Data'!J249</f>
        <v>0</v>
      </c>
      <c r="Y246" s="31">
        <f>'mnt Data'!K249</f>
        <v>0</v>
      </c>
      <c r="Z246" s="31">
        <f>'mnt Data'!L249</f>
        <v>0</v>
      </c>
      <c r="AA246" s="31">
        <f>'mnt Data'!M249</f>
        <v>0</v>
      </c>
      <c r="AB246" s="31">
        <f>'mnt Data'!N249</f>
        <v>0</v>
      </c>
      <c r="AC246" s="31">
        <f>'mnt Data'!O249</f>
        <v>0</v>
      </c>
      <c r="AD246" s="31">
        <f>'mnt Data'!P249</f>
        <v>0</v>
      </c>
      <c r="AE246" s="31">
        <f>'mnt Data'!Q249</f>
        <v>0</v>
      </c>
      <c r="AF246" s="31">
        <f>'mnt Data'!R249</f>
        <v>0</v>
      </c>
      <c r="AG246" s="31">
        <f>'mnt Data'!S249</f>
        <v>0</v>
      </c>
      <c r="AH246" s="31">
        <f>'mnt Data'!T249</f>
        <v>0</v>
      </c>
      <c r="AI246" s="31">
        <f>'mnt Data'!U249</f>
        <v>0</v>
      </c>
      <c r="AJ246" s="31">
        <f>'mnt Data'!V249</f>
        <v>0</v>
      </c>
      <c r="AK246" s="31">
        <f>'mnt Data'!W249</f>
        <v>0</v>
      </c>
      <c r="AL246" s="31">
        <f>'mnt Data'!X249</f>
        <v>0</v>
      </c>
      <c r="AM246" s="31">
        <f>'mnt Data'!Y249</f>
        <v>0</v>
      </c>
      <c r="AN246" s="31">
        <f>'mnt Data'!Z249</f>
        <v>0</v>
      </c>
      <c r="AO246" s="31">
        <f>'mnt Data'!AA249</f>
        <v>0</v>
      </c>
      <c r="AP246" s="31">
        <f>'mnt Data'!AB249</f>
        <v>0</v>
      </c>
      <c r="AQ246" s="31">
        <f>'mnt Data'!AC249</f>
        <v>0</v>
      </c>
      <c r="AR246" s="31">
        <f>'mnt Data'!AD249</f>
        <v>0</v>
      </c>
      <c r="AS246" s="31">
        <f>'mnt Data'!AE249</f>
        <v>0</v>
      </c>
      <c r="AT246" s="31">
        <f>'mnt Data'!AF249</f>
        <v>0</v>
      </c>
      <c r="AU246" s="31">
        <f>'mnt Data'!AG249</f>
        <v>0</v>
      </c>
      <c r="AV246" s="31">
        <f>'mnt Data'!AH249</f>
        <v>0</v>
      </c>
      <c r="AW246" s="31">
        <f>'mnt Data'!AI249</f>
        <v>0</v>
      </c>
      <c r="AX246" s="31">
        <f>'mnt Data'!AJ249</f>
        <v>0</v>
      </c>
      <c r="AY246" s="31">
        <f>'mnt Data'!AK249</f>
        <v>0</v>
      </c>
    </row>
    <row r="247" spans="1:51" x14ac:dyDescent="0.25">
      <c r="A247">
        <v>246</v>
      </c>
      <c r="B247" s="32">
        <f t="shared" si="48"/>
        <v>0</v>
      </c>
      <c r="C247" s="32">
        <f t="shared" si="49"/>
        <v>0</v>
      </c>
      <c r="D247" s="32" t="str">
        <f t="shared" si="41"/>
        <v>No Gs</v>
      </c>
      <c r="E247" s="32">
        <f t="shared" si="45"/>
        <v>0</v>
      </c>
      <c r="F247" s="32" t="str">
        <f t="shared" si="46"/>
        <v>No Gs</v>
      </c>
      <c r="G247" s="32" t="str">
        <f t="shared" si="47"/>
        <v>No Gs</v>
      </c>
      <c r="H247" s="32" t="str">
        <f t="shared" si="50"/>
        <v>Gs is needed</v>
      </c>
      <c r="I247" s="32" t="str">
        <f t="shared" si="51"/>
        <v>Gs is needed</v>
      </c>
      <c r="J247" s="32" t="str">
        <f t="shared" si="52"/>
        <v>Gs is needed</v>
      </c>
      <c r="K247" s="32" t="str">
        <f t="shared" si="42"/>
        <v>Need Max and Min</v>
      </c>
      <c r="L247" s="32" t="str">
        <f t="shared" si="43"/>
        <v>Need Max and Min</v>
      </c>
      <c r="M247" s="32" t="str">
        <f t="shared" si="44"/>
        <v>Fail</v>
      </c>
      <c r="N247" s="32"/>
      <c r="O247" s="31">
        <f>'mnt Data'!A250</f>
        <v>0</v>
      </c>
      <c r="P247" s="31">
        <f>'mnt Data'!B250</f>
        <v>0</v>
      </c>
      <c r="Q247" s="31">
        <f>'mnt Data'!C250</f>
        <v>0</v>
      </c>
      <c r="R247" s="31">
        <f>'mnt Data'!D250</f>
        <v>0</v>
      </c>
      <c r="S247" s="31">
        <f>'mnt Data'!E250</f>
        <v>0</v>
      </c>
      <c r="T247" s="31">
        <f>'mnt Data'!F250</f>
        <v>0</v>
      </c>
      <c r="U247" s="31">
        <f>'mnt Data'!G250</f>
        <v>0</v>
      </c>
      <c r="V247" s="31">
        <f>'mnt Data'!H250</f>
        <v>0</v>
      </c>
      <c r="W247" s="31">
        <f>'mnt Data'!I250</f>
        <v>0</v>
      </c>
      <c r="X247" s="31">
        <f>'mnt Data'!J250</f>
        <v>0</v>
      </c>
      <c r="Y247" s="31">
        <f>'mnt Data'!K250</f>
        <v>0</v>
      </c>
      <c r="Z247" s="31">
        <f>'mnt Data'!L250</f>
        <v>0</v>
      </c>
      <c r="AA247" s="31">
        <f>'mnt Data'!M250</f>
        <v>0</v>
      </c>
      <c r="AB247" s="31">
        <f>'mnt Data'!N250</f>
        <v>0</v>
      </c>
      <c r="AC247" s="31">
        <f>'mnt Data'!O250</f>
        <v>0</v>
      </c>
      <c r="AD247" s="31">
        <f>'mnt Data'!P250</f>
        <v>0</v>
      </c>
      <c r="AE247" s="31">
        <f>'mnt Data'!Q250</f>
        <v>0</v>
      </c>
      <c r="AF247" s="31">
        <f>'mnt Data'!R250</f>
        <v>0</v>
      </c>
      <c r="AG247" s="31">
        <f>'mnt Data'!S250</f>
        <v>0</v>
      </c>
      <c r="AH247" s="31">
        <f>'mnt Data'!T250</f>
        <v>0</v>
      </c>
      <c r="AI247" s="31">
        <f>'mnt Data'!U250</f>
        <v>0</v>
      </c>
      <c r="AJ247" s="31">
        <f>'mnt Data'!V250</f>
        <v>0</v>
      </c>
      <c r="AK247" s="31">
        <f>'mnt Data'!W250</f>
        <v>0</v>
      </c>
      <c r="AL247" s="31">
        <f>'mnt Data'!X250</f>
        <v>0</v>
      </c>
      <c r="AM247" s="31">
        <f>'mnt Data'!Y250</f>
        <v>0</v>
      </c>
      <c r="AN247" s="31">
        <f>'mnt Data'!Z250</f>
        <v>0</v>
      </c>
      <c r="AO247" s="31">
        <f>'mnt Data'!AA250</f>
        <v>0</v>
      </c>
      <c r="AP247" s="31">
        <f>'mnt Data'!AB250</f>
        <v>0</v>
      </c>
      <c r="AQ247" s="31">
        <f>'mnt Data'!AC250</f>
        <v>0</v>
      </c>
      <c r="AR247" s="31">
        <f>'mnt Data'!AD250</f>
        <v>0</v>
      </c>
      <c r="AS247" s="31">
        <f>'mnt Data'!AE250</f>
        <v>0</v>
      </c>
      <c r="AT247" s="31">
        <f>'mnt Data'!AF250</f>
        <v>0</v>
      </c>
      <c r="AU247" s="31">
        <f>'mnt Data'!AG250</f>
        <v>0</v>
      </c>
      <c r="AV247" s="31">
        <f>'mnt Data'!AH250</f>
        <v>0</v>
      </c>
      <c r="AW247" s="31">
        <f>'mnt Data'!AI250</f>
        <v>0</v>
      </c>
      <c r="AX247" s="31">
        <f>'mnt Data'!AJ250</f>
        <v>0</v>
      </c>
      <c r="AY247" s="31">
        <f>'mnt Data'!AK250</f>
        <v>0</v>
      </c>
    </row>
    <row r="248" spans="1:51" x14ac:dyDescent="0.25">
      <c r="A248">
        <v>247</v>
      </c>
      <c r="B248" s="32">
        <f t="shared" si="48"/>
        <v>0</v>
      </c>
      <c r="C248" s="32">
        <f t="shared" si="49"/>
        <v>0</v>
      </c>
      <c r="D248" s="32" t="str">
        <f t="shared" si="41"/>
        <v>No Gs</v>
      </c>
      <c r="E248" s="32">
        <f t="shared" si="45"/>
        <v>0</v>
      </c>
      <c r="F248" s="32" t="str">
        <f t="shared" si="46"/>
        <v>No Gs</v>
      </c>
      <c r="G248" s="32" t="str">
        <f t="shared" si="47"/>
        <v>No Gs</v>
      </c>
      <c r="H248" s="32" t="str">
        <f t="shared" si="50"/>
        <v>Gs is needed</v>
      </c>
      <c r="I248" s="32" t="str">
        <f t="shared" si="51"/>
        <v>Gs is needed</v>
      </c>
      <c r="J248" s="32" t="str">
        <f t="shared" si="52"/>
        <v>Gs is needed</v>
      </c>
      <c r="K248" s="32" t="str">
        <f t="shared" si="42"/>
        <v>Need Max and Min</v>
      </c>
      <c r="L248" s="32" t="str">
        <f t="shared" si="43"/>
        <v>Need Max and Min</v>
      </c>
      <c r="M248" s="32" t="str">
        <f t="shared" si="44"/>
        <v>Fail</v>
      </c>
      <c r="N248" s="32"/>
      <c r="O248" s="31">
        <f>'mnt Data'!A251</f>
        <v>0</v>
      </c>
      <c r="P248" s="31">
        <f>'mnt Data'!B251</f>
        <v>0</v>
      </c>
      <c r="Q248" s="31">
        <f>'mnt Data'!C251</f>
        <v>0</v>
      </c>
      <c r="R248" s="31">
        <f>'mnt Data'!D251</f>
        <v>0</v>
      </c>
      <c r="S248" s="31">
        <f>'mnt Data'!E251</f>
        <v>0</v>
      </c>
      <c r="T248" s="31">
        <f>'mnt Data'!F251</f>
        <v>0</v>
      </c>
      <c r="U248" s="31">
        <f>'mnt Data'!G251</f>
        <v>0</v>
      </c>
      <c r="V248" s="31">
        <f>'mnt Data'!H251</f>
        <v>0</v>
      </c>
      <c r="W248" s="31">
        <f>'mnt Data'!I251</f>
        <v>0</v>
      </c>
      <c r="X248" s="31">
        <f>'mnt Data'!J251</f>
        <v>0</v>
      </c>
      <c r="Y248" s="31">
        <f>'mnt Data'!K251</f>
        <v>0</v>
      </c>
      <c r="Z248" s="31">
        <f>'mnt Data'!L251</f>
        <v>0</v>
      </c>
      <c r="AA248" s="31">
        <f>'mnt Data'!M251</f>
        <v>0</v>
      </c>
      <c r="AB248" s="31">
        <f>'mnt Data'!N251</f>
        <v>0</v>
      </c>
      <c r="AC248" s="31">
        <f>'mnt Data'!O251</f>
        <v>0</v>
      </c>
      <c r="AD248" s="31">
        <f>'mnt Data'!P251</f>
        <v>0</v>
      </c>
      <c r="AE248" s="31">
        <f>'mnt Data'!Q251</f>
        <v>0</v>
      </c>
      <c r="AF248" s="31">
        <f>'mnt Data'!R251</f>
        <v>0</v>
      </c>
      <c r="AG248" s="31">
        <f>'mnt Data'!S251</f>
        <v>0</v>
      </c>
      <c r="AH248" s="31">
        <f>'mnt Data'!T251</f>
        <v>0</v>
      </c>
      <c r="AI248" s="31">
        <f>'mnt Data'!U251</f>
        <v>0</v>
      </c>
      <c r="AJ248" s="31">
        <f>'mnt Data'!V251</f>
        <v>0</v>
      </c>
      <c r="AK248" s="31">
        <f>'mnt Data'!W251</f>
        <v>0</v>
      </c>
      <c r="AL248" s="31">
        <f>'mnt Data'!X251</f>
        <v>0</v>
      </c>
      <c r="AM248" s="31">
        <f>'mnt Data'!Y251</f>
        <v>0</v>
      </c>
      <c r="AN248" s="31">
        <f>'mnt Data'!Z251</f>
        <v>0</v>
      </c>
      <c r="AO248" s="31">
        <f>'mnt Data'!AA251</f>
        <v>0</v>
      </c>
      <c r="AP248" s="31">
        <f>'mnt Data'!AB251</f>
        <v>0</v>
      </c>
      <c r="AQ248" s="31">
        <f>'mnt Data'!AC251</f>
        <v>0</v>
      </c>
      <c r="AR248" s="31">
        <f>'mnt Data'!AD251</f>
        <v>0</v>
      </c>
      <c r="AS248" s="31">
        <f>'mnt Data'!AE251</f>
        <v>0</v>
      </c>
      <c r="AT248" s="31">
        <f>'mnt Data'!AF251</f>
        <v>0</v>
      </c>
      <c r="AU248" s="31">
        <f>'mnt Data'!AG251</f>
        <v>0</v>
      </c>
      <c r="AV248" s="31">
        <f>'mnt Data'!AH251</f>
        <v>0</v>
      </c>
      <c r="AW248" s="31">
        <f>'mnt Data'!AI251</f>
        <v>0</v>
      </c>
      <c r="AX248" s="31">
        <f>'mnt Data'!AJ251</f>
        <v>0</v>
      </c>
      <c r="AY248" s="31">
        <f>'mnt Data'!AK251</f>
        <v>0</v>
      </c>
    </row>
    <row r="249" spans="1:51" x14ac:dyDescent="0.25">
      <c r="A249">
        <v>248</v>
      </c>
      <c r="B249" s="32">
        <f t="shared" si="48"/>
        <v>0</v>
      </c>
      <c r="C249" s="32">
        <f t="shared" si="49"/>
        <v>0</v>
      </c>
      <c r="D249" s="32" t="str">
        <f t="shared" si="41"/>
        <v>No Gs</v>
      </c>
      <c r="E249" s="32">
        <f t="shared" si="45"/>
        <v>0</v>
      </c>
      <c r="F249" s="32" t="str">
        <f t="shared" si="46"/>
        <v>No Gs</v>
      </c>
      <c r="G249" s="32" t="str">
        <f t="shared" si="47"/>
        <v>No Gs</v>
      </c>
      <c r="H249" s="32" t="str">
        <f t="shared" si="50"/>
        <v>Gs is needed</v>
      </c>
      <c r="I249" s="32" t="str">
        <f t="shared" si="51"/>
        <v>Gs is needed</v>
      </c>
      <c r="J249" s="32" t="str">
        <f t="shared" si="52"/>
        <v>Gs is needed</v>
      </c>
      <c r="K249" s="32" t="str">
        <f t="shared" si="42"/>
        <v>Need Max and Min</v>
      </c>
      <c r="L249" s="32" t="str">
        <f t="shared" si="43"/>
        <v>Need Max and Min</v>
      </c>
      <c r="M249" s="32" t="str">
        <f t="shared" si="44"/>
        <v>Fail</v>
      </c>
      <c r="N249" s="32"/>
      <c r="O249" s="31">
        <f>'mnt Data'!A252</f>
        <v>0</v>
      </c>
      <c r="P249" s="31">
        <f>'mnt Data'!B252</f>
        <v>0</v>
      </c>
      <c r="Q249" s="31">
        <f>'mnt Data'!C252</f>
        <v>0</v>
      </c>
      <c r="R249" s="31">
        <f>'mnt Data'!D252</f>
        <v>0</v>
      </c>
      <c r="S249" s="31">
        <f>'mnt Data'!E252</f>
        <v>0</v>
      </c>
      <c r="T249" s="31">
        <f>'mnt Data'!F252</f>
        <v>0</v>
      </c>
      <c r="U249" s="31">
        <f>'mnt Data'!G252</f>
        <v>0</v>
      </c>
      <c r="V249" s="31">
        <f>'mnt Data'!H252</f>
        <v>0</v>
      </c>
      <c r="W249" s="31">
        <f>'mnt Data'!I252</f>
        <v>0</v>
      </c>
      <c r="X249" s="31">
        <f>'mnt Data'!J252</f>
        <v>0</v>
      </c>
      <c r="Y249" s="31">
        <f>'mnt Data'!K252</f>
        <v>0</v>
      </c>
      <c r="Z249" s="31">
        <f>'mnt Data'!L252</f>
        <v>0</v>
      </c>
      <c r="AA249" s="31">
        <f>'mnt Data'!M252</f>
        <v>0</v>
      </c>
      <c r="AB249" s="31">
        <f>'mnt Data'!N252</f>
        <v>0</v>
      </c>
      <c r="AC249" s="31">
        <f>'mnt Data'!O252</f>
        <v>0</v>
      </c>
      <c r="AD249" s="31">
        <f>'mnt Data'!P252</f>
        <v>0</v>
      </c>
      <c r="AE249" s="31">
        <f>'mnt Data'!Q252</f>
        <v>0</v>
      </c>
      <c r="AF249" s="31">
        <f>'mnt Data'!R252</f>
        <v>0</v>
      </c>
      <c r="AG249" s="31">
        <f>'mnt Data'!S252</f>
        <v>0</v>
      </c>
      <c r="AH249" s="31">
        <f>'mnt Data'!T252</f>
        <v>0</v>
      </c>
      <c r="AI249" s="31">
        <f>'mnt Data'!U252</f>
        <v>0</v>
      </c>
      <c r="AJ249" s="31">
        <f>'mnt Data'!V252</f>
        <v>0</v>
      </c>
      <c r="AK249" s="31">
        <f>'mnt Data'!W252</f>
        <v>0</v>
      </c>
      <c r="AL249" s="31">
        <f>'mnt Data'!X252</f>
        <v>0</v>
      </c>
      <c r="AM249" s="31">
        <f>'mnt Data'!Y252</f>
        <v>0</v>
      </c>
      <c r="AN249" s="31">
        <f>'mnt Data'!Z252</f>
        <v>0</v>
      </c>
      <c r="AO249" s="31">
        <f>'mnt Data'!AA252</f>
        <v>0</v>
      </c>
      <c r="AP249" s="31">
        <f>'mnt Data'!AB252</f>
        <v>0</v>
      </c>
      <c r="AQ249" s="31">
        <f>'mnt Data'!AC252</f>
        <v>0</v>
      </c>
      <c r="AR249" s="31">
        <f>'mnt Data'!AD252</f>
        <v>0</v>
      </c>
      <c r="AS249" s="31">
        <f>'mnt Data'!AE252</f>
        <v>0</v>
      </c>
      <c r="AT249" s="31">
        <f>'mnt Data'!AF252</f>
        <v>0</v>
      </c>
      <c r="AU249" s="31">
        <f>'mnt Data'!AG252</f>
        <v>0</v>
      </c>
      <c r="AV249" s="31">
        <f>'mnt Data'!AH252</f>
        <v>0</v>
      </c>
      <c r="AW249" s="31">
        <f>'mnt Data'!AI252</f>
        <v>0</v>
      </c>
      <c r="AX249" s="31">
        <f>'mnt Data'!AJ252</f>
        <v>0</v>
      </c>
      <c r="AY249" s="31">
        <f>'mnt Data'!AK252</f>
        <v>0</v>
      </c>
    </row>
    <row r="250" spans="1:51" x14ac:dyDescent="0.25">
      <c r="A250">
        <v>249</v>
      </c>
      <c r="B250" s="32">
        <f t="shared" si="48"/>
        <v>0</v>
      </c>
      <c r="C250" s="32">
        <f t="shared" si="49"/>
        <v>0</v>
      </c>
      <c r="D250" s="32" t="str">
        <f t="shared" si="41"/>
        <v>No Gs</v>
      </c>
      <c r="E250" s="32">
        <f t="shared" si="45"/>
        <v>0</v>
      </c>
      <c r="F250" s="32" t="str">
        <f t="shared" si="46"/>
        <v>No Gs</v>
      </c>
      <c r="G250" s="32" t="str">
        <f t="shared" si="47"/>
        <v>No Gs</v>
      </c>
      <c r="H250" s="32" t="str">
        <f t="shared" si="50"/>
        <v>Gs is needed</v>
      </c>
      <c r="I250" s="32" t="str">
        <f t="shared" si="51"/>
        <v>Gs is needed</v>
      </c>
      <c r="J250" s="32" t="str">
        <f t="shared" si="52"/>
        <v>Gs is needed</v>
      </c>
      <c r="K250" s="32" t="str">
        <f t="shared" si="42"/>
        <v>Need Max and Min</v>
      </c>
      <c r="L250" s="32" t="str">
        <f t="shared" si="43"/>
        <v>Need Max and Min</v>
      </c>
      <c r="M250" s="32" t="str">
        <f t="shared" si="44"/>
        <v>Fail</v>
      </c>
      <c r="N250" s="32"/>
      <c r="O250" s="31">
        <f>'mnt Data'!A253</f>
        <v>0</v>
      </c>
      <c r="P250" s="31">
        <f>'mnt Data'!B253</f>
        <v>0</v>
      </c>
      <c r="Q250" s="31">
        <f>'mnt Data'!C253</f>
        <v>0</v>
      </c>
      <c r="R250" s="31">
        <f>'mnt Data'!D253</f>
        <v>0</v>
      </c>
      <c r="S250" s="31">
        <f>'mnt Data'!E253</f>
        <v>0</v>
      </c>
      <c r="T250" s="31">
        <f>'mnt Data'!F253</f>
        <v>0</v>
      </c>
      <c r="U250" s="31">
        <f>'mnt Data'!G253</f>
        <v>0</v>
      </c>
      <c r="V250" s="31">
        <f>'mnt Data'!H253</f>
        <v>0</v>
      </c>
      <c r="W250" s="31">
        <f>'mnt Data'!I253</f>
        <v>0</v>
      </c>
      <c r="X250" s="31">
        <f>'mnt Data'!J253</f>
        <v>0</v>
      </c>
      <c r="Y250" s="31">
        <f>'mnt Data'!K253</f>
        <v>0</v>
      </c>
      <c r="Z250" s="31">
        <f>'mnt Data'!L253</f>
        <v>0</v>
      </c>
      <c r="AA250" s="31">
        <f>'mnt Data'!M253</f>
        <v>0</v>
      </c>
      <c r="AB250" s="31">
        <f>'mnt Data'!N253</f>
        <v>0</v>
      </c>
      <c r="AC250" s="31">
        <f>'mnt Data'!O253</f>
        <v>0</v>
      </c>
      <c r="AD250" s="31">
        <f>'mnt Data'!P253</f>
        <v>0</v>
      </c>
      <c r="AE250" s="31">
        <f>'mnt Data'!Q253</f>
        <v>0</v>
      </c>
      <c r="AF250" s="31">
        <f>'mnt Data'!R253</f>
        <v>0</v>
      </c>
      <c r="AG250" s="31">
        <f>'mnt Data'!S253</f>
        <v>0</v>
      </c>
      <c r="AH250" s="31">
        <f>'mnt Data'!T253</f>
        <v>0</v>
      </c>
      <c r="AI250" s="31">
        <f>'mnt Data'!U253</f>
        <v>0</v>
      </c>
      <c r="AJ250" s="31">
        <f>'mnt Data'!V253</f>
        <v>0</v>
      </c>
      <c r="AK250" s="31">
        <f>'mnt Data'!W253</f>
        <v>0</v>
      </c>
      <c r="AL250" s="31">
        <f>'mnt Data'!X253</f>
        <v>0</v>
      </c>
      <c r="AM250" s="31">
        <f>'mnt Data'!Y253</f>
        <v>0</v>
      </c>
      <c r="AN250" s="31">
        <f>'mnt Data'!Z253</f>
        <v>0</v>
      </c>
      <c r="AO250" s="31">
        <f>'mnt Data'!AA253</f>
        <v>0</v>
      </c>
      <c r="AP250" s="31">
        <f>'mnt Data'!AB253</f>
        <v>0</v>
      </c>
      <c r="AQ250" s="31">
        <f>'mnt Data'!AC253</f>
        <v>0</v>
      </c>
      <c r="AR250" s="31">
        <f>'mnt Data'!AD253</f>
        <v>0</v>
      </c>
      <c r="AS250" s="31">
        <f>'mnt Data'!AE253</f>
        <v>0</v>
      </c>
      <c r="AT250" s="31">
        <f>'mnt Data'!AF253</f>
        <v>0</v>
      </c>
      <c r="AU250" s="31">
        <f>'mnt Data'!AG253</f>
        <v>0</v>
      </c>
      <c r="AV250" s="31">
        <f>'mnt Data'!AH253</f>
        <v>0</v>
      </c>
      <c r="AW250" s="31">
        <f>'mnt Data'!AI253</f>
        <v>0</v>
      </c>
      <c r="AX250" s="31">
        <f>'mnt Data'!AJ253</f>
        <v>0</v>
      </c>
      <c r="AY250" s="31">
        <f>'mnt Data'!AK253</f>
        <v>0</v>
      </c>
    </row>
    <row r="251" spans="1:51" x14ac:dyDescent="0.25">
      <c r="A251">
        <v>250</v>
      </c>
      <c r="B251" s="32">
        <f t="shared" si="48"/>
        <v>0</v>
      </c>
      <c r="C251" s="32">
        <f t="shared" si="49"/>
        <v>0</v>
      </c>
      <c r="D251" s="32" t="str">
        <f t="shared" si="41"/>
        <v>No Gs</v>
      </c>
      <c r="E251" s="32">
        <f t="shared" si="45"/>
        <v>0</v>
      </c>
      <c r="F251" s="32" t="str">
        <f t="shared" si="46"/>
        <v>No Gs</v>
      </c>
      <c r="G251" s="32" t="str">
        <f t="shared" si="47"/>
        <v>No Gs</v>
      </c>
      <c r="H251" s="32" t="str">
        <f t="shared" si="50"/>
        <v>Gs is needed</v>
      </c>
      <c r="I251" s="32" t="str">
        <f t="shared" si="51"/>
        <v>Gs is needed</v>
      </c>
      <c r="J251" s="32" t="str">
        <f t="shared" si="52"/>
        <v>Gs is needed</v>
      </c>
      <c r="K251" s="32" t="str">
        <f t="shared" si="42"/>
        <v>Need Max and Min</v>
      </c>
      <c r="L251" s="32" t="str">
        <f t="shared" si="43"/>
        <v>Need Max and Min</v>
      </c>
      <c r="M251" s="32" t="str">
        <f t="shared" si="44"/>
        <v>Fail</v>
      </c>
      <c r="N251" s="32"/>
      <c r="O251" s="31">
        <f>'mnt Data'!A254</f>
        <v>0</v>
      </c>
      <c r="P251" s="31">
        <f>'mnt Data'!B254</f>
        <v>0</v>
      </c>
      <c r="Q251" s="31">
        <f>'mnt Data'!C254</f>
        <v>0</v>
      </c>
      <c r="R251" s="31">
        <f>'mnt Data'!D254</f>
        <v>0</v>
      </c>
      <c r="S251" s="31">
        <f>'mnt Data'!E254</f>
        <v>0</v>
      </c>
      <c r="T251" s="31">
        <f>'mnt Data'!F254</f>
        <v>0</v>
      </c>
      <c r="U251" s="31">
        <f>'mnt Data'!G254</f>
        <v>0</v>
      </c>
      <c r="V251" s="31">
        <f>'mnt Data'!H254</f>
        <v>0</v>
      </c>
      <c r="W251" s="31">
        <f>'mnt Data'!I254</f>
        <v>0</v>
      </c>
      <c r="X251" s="31">
        <f>'mnt Data'!J254</f>
        <v>0</v>
      </c>
      <c r="Y251" s="31">
        <f>'mnt Data'!K254</f>
        <v>0</v>
      </c>
      <c r="Z251" s="31">
        <f>'mnt Data'!L254</f>
        <v>0</v>
      </c>
      <c r="AA251" s="31">
        <f>'mnt Data'!M254</f>
        <v>0</v>
      </c>
      <c r="AB251" s="31">
        <f>'mnt Data'!N254</f>
        <v>0</v>
      </c>
      <c r="AC251" s="31">
        <f>'mnt Data'!O254</f>
        <v>0</v>
      </c>
      <c r="AD251" s="31">
        <f>'mnt Data'!P254</f>
        <v>0</v>
      </c>
      <c r="AE251" s="31">
        <f>'mnt Data'!Q254</f>
        <v>0</v>
      </c>
      <c r="AF251" s="31">
        <f>'mnt Data'!R254</f>
        <v>0</v>
      </c>
      <c r="AG251" s="31">
        <f>'mnt Data'!S254</f>
        <v>0</v>
      </c>
      <c r="AH251" s="31">
        <f>'mnt Data'!T254</f>
        <v>0</v>
      </c>
      <c r="AI251" s="31">
        <f>'mnt Data'!U254</f>
        <v>0</v>
      </c>
      <c r="AJ251" s="31">
        <f>'mnt Data'!V254</f>
        <v>0</v>
      </c>
      <c r="AK251" s="31">
        <f>'mnt Data'!W254</f>
        <v>0</v>
      </c>
      <c r="AL251" s="31">
        <f>'mnt Data'!X254</f>
        <v>0</v>
      </c>
      <c r="AM251" s="31">
        <f>'mnt Data'!Y254</f>
        <v>0</v>
      </c>
      <c r="AN251" s="31">
        <f>'mnt Data'!Z254</f>
        <v>0</v>
      </c>
      <c r="AO251" s="31">
        <f>'mnt Data'!AA254</f>
        <v>0</v>
      </c>
      <c r="AP251" s="31">
        <f>'mnt Data'!AB254</f>
        <v>0</v>
      </c>
      <c r="AQ251" s="31">
        <f>'mnt Data'!AC254</f>
        <v>0</v>
      </c>
      <c r="AR251" s="31">
        <f>'mnt Data'!AD254</f>
        <v>0</v>
      </c>
      <c r="AS251" s="31">
        <f>'mnt Data'!AE254</f>
        <v>0</v>
      </c>
      <c r="AT251" s="31">
        <f>'mnt Data'!AF254</f>
        <v>0</v>
      </c>
      <c r="AU251" s="31">
        <f>'mnt Data'!AG254</f>
        <v>0</v>
      </c>
      <c r="AV251" s="31">
        <f>'mnt Data'!AH254</f>
        <v>0</v>
      </c>
      <c r="AW251" s="31">
        <f>'mnt Data'!AI254</f>
        <v>0</v>
      </c>
      <c r="AX251" s="31">
        <f>'mnt Data'!AJ254</f>
        <v>0</v>
      </c>
      <c r="AY251" s="31">
        <f>'mnt Data'!AK254</f>
        <v>0</v>
      </c>
    </row>
    <row r="252" spans="1:51" x14ac:dyDescent="0.25">
      <c r="A252">
        <v>251</v>
      </c>
      <c r="B252" s="32">
        <f t="shared" si="48"/>
        <v>0</v>
      </c>
      <c r="C252" s="32">
        <f t="shared" si="49"/>
        <v>0</v>
      </c>
      <c r="D252" s="32" t="str">
        <f t="shared" si="41"/>
        <v>No Gs</v>
      </c>
      <c r="E252" s="32">
        <f t="shared" si="45"/>
        <v>0</v>
      </c>
      <c r="F252" s="32" t="str">
        <f t="shared" si="46"/>
        <v>No Gs</v>
      </c>
      <c r="G252" s="32" t="str">
        <f t="shared" si="47"/>
        <v>No Gs</v>
      </c>
      <c r="H252" s="32" t="str">
        <f t="shared" si="50"/>
        <v>Gs is needed</v>
      </c>
      <c r="I252" s="32" t="str">
        <f t="shared" si="51"/>
        <v>Gs is needed</v>
      </c>
      <c r="J252" s="32" t="str">
        <f t="shared" si="52"/>
        <v>Gs is needed</v>
      </c>
      <c r="K252" s="32" t="str">
        <f t="shared" si="42"/>
        <v>Need Max and Min</v>
      </c>
      <c r="L252" s="32" t="str">
        <f t="shared" si="43"/>
        <v>Need Max and Min</v>
      </c>
      <c r="M252" s="32" t="str">
        <f t="shared" si="44"/>
        <v>Fail</v>
      </c>
      <c r="N252" s="32"/>
      <c r="O252" s="31">
        <f>'mnt Data'!A255</f>
        <v>0</v>
      </c>
      <c r="P252" s="31">
        <f>'mnt Data'!B255</f>
        <v>0</v>
      </c>
      <c r="Q252" s="31">
        <f>'mnt Data'!C255</f>
        <v>0</v>
      </c>
      <c r="R252" s="31">
        <f>'mnt Data'!D255</f>
        <v>0</v>
      </c>
      <c r="S252" s="31">
        <f>'mnt Data'!E255</f>
        <v>0</v>
      </c>
      <c r="T252" s="31">
        <f>'mnt Data'!F255</f>
        <v>0</v>
      </c>
      <c r="U252" s="31">
        <f>'mnt Data'!G255</f>
        <v>0</v>
      </c>
      <c r="V252" s="31">
        <f>'mnt Data'!H255</f>
        <v>0</v>
      </c>
      <c r="W252" s="31">
        <f>'mnt Data'!I255</f>
        <v>0</v>
      </c>
      <c r="X252" s="31">
        <f>'mnt Data'!J255</f>
        <v>0</v>
      </c>
      <c r="Y252" s="31">
        <f>'mnt Data'!K255</f>
        <v>0</v>
      </c>
      <c r="Z252" s="31">
        <f>'mnt Data'!L255</f>
        <v>0</v>
      </c>
      <c r="AA252" s="31">
        <f>'mnt Data'!M255</f>
        <v>0</v>
      </c>
      <c r="AB252" s="31">
        <f>'mnt Data'!N255</f>
        <v>0</v>
      </c>
      <c r="AC252" s="31">
        <f>'mnt Data'!O255</f>
        <v>0</v>
      </c>
      <c r="AD252" s="31">
        <f>'mnt Data'!P255</f>
        <v>0</v>
      </c>
      <c r="AE252" s="31">
        <f>'mnt Data'!Q255</f>
        <v>0</v>
      </c>
      <c r="AF252" s="31">
        <f>'mnt Data'!R255</f>
        <v>0</v>
      </c>
      <c r="AG252" s="31">
        <f>'mnt Data'!S255</f>
        <v>0</v>
      </c>
      <c r="AH252" s="31">
        <f>'mnt Data'!T255</f>
        <v>0</v>
      </c>
      <c r="AI252" s="31">
        <f>'mnt Data'!U255</f>
        <v>0</v>
      </c>
      <c r="AJ252" s="31">
        <f>'mnt Data'!V255</f>
        <v>0</v>
      </c>
      <c r="AK252" s="31">
        <f>'mnt Data'!W255</f>
        <v>0</v>
      </c>
      <c r="AL252" s="31">
        <f>'mnt Data'!X255</f>
        <v>0</v>
      </c>
      <c r="AM252" s="31">
        <f>'mnt Data'!Y255</f>
        <v>0</v>
      </c>
      <c r="AN252" s="31">
        <f>'mnt Data'!Z255</f>
        <v>0</v>
      </c>
      <c r="AO252" s="31">
        <f>'mnt Data'!AA255</f>
        <v>0</v>
      </c>
      <c r="AP252" s="31">
        <f>'mnt Data'!AB255</f>
        <v>0</v>
      </c>
      <c r="AQ252" s="31">
        <f>'mnt Data'!AC255</f>
        <v>0</v>
      </c>
      <c r="AR252" s="31">
        <f>'mnt Data'!AD255</f>
        <v>0</v>
      </c>
      <c r="AS252" s="31">
        <f>'mnt Data'!AE255</f>
        <v>0</v>
      </c>
      <c r="AT252" s="31">
        <f>'mnt Data'!AF255</f>
        <v>0</v>
      </c>
      <c r="AU252" s="31">
        <f>'mnt Data'!AG255</f>
        <v>0</v>
      </c>
      <c r="AV252" s="31">
        <f>'mnt Data'!AH255</f>
        <v>0</v>
      </c>
      <c r="AW252" s="31">
        <f>'mnt Data'!AI255</f>
        <v>0</v>
      </c>
      <c r="AX252" s="31">
        <f>'mnt Data'!AJ255</f>
        <v>0</v>
      </c>
      <c r="AY252" s="31">
        <f>'mnt Data'!AK255</f>
        <v>0</v>
      </c>
    </row>
    <row r="253" spans="1:51" x14ac:dyDescent="0.25">
      <c r="A253">
        <v>252</v>
      </c>
      <c r="B253" s="32">
        <f t="shared" si="48"/>
        <v>0</v>
      </c>
      <c r="C253" s="32">
        <f t="shared" si="49"/>
        <v>0</v>
      </c>
      <c r="D253" s="32" t="str">
        <f t="shared" si="41"/>
        <v>No Gs</v>
      </c>
      <c r="E253" s="32">
        <f t="shared" si="45"/>
        <v>0</v>
      </c>
      <c r="F253" s="32" t="str">
        <f t="shared" si="46"/>
        <v>No Gs</v>
      </c>
      <c r="G253" s="32" t="str">
        <f t="shared" si="47"/>
        <v>No Gs</v>
      </c>
      <c r="H253" s="32" t="str">
        <f t="shared" si="50"/>
        <v>Gs is needed</v>
      </c>
      <c r="I253" s="32" t="str">
        <f t="shared" si="51"/>
        <v>Gs is needed</v>
      </c>
      <c r="J253" s="32" t="str">
        <f t="shared" si="52"/>
        <v>Gs is needed</v>
      </c>
      <c r="K253" s="32" t="str">
        <f t="shared" si="42"/>
        <v>Need Max and Min</v>
      </c>
      <c r="L253" s="32" t="str">
        <f t="shared" si="43"/>
        <v>Need Max and Min</v>
      </c>
      <c r="M253" s="32" t="str">
        <f t="shared" si="44"/>
        <v>Fail</v>
      </c>
      <c r="N253" s="32"/>
      <c r="O253" s="31">
        <f>'mnt Data'!A256</f>
        <v>0</v>
      </c>
      <c r="P253" s="31">
        <f>'mnt Data'!B256</f>
        <v>0</v>
      </c>
      <c r="Q253" s="31">
        <f>'mnt Data'!C256</f>
        <v>0</v>
      </c>
      <c r="R253" s="31">
        <f>'mnt Data'!D256</f>
        <v>0</v>
      </c>
      <c r="S253" s="31">
        <f>'mnt Data'!E256</f>
        <v>0</v>
      </c>
      <c r="T253" s="31">
        <f>'mnt Data'!F256</f>
        <v>0</v>
      </c>
      <c r="U253" s="31">
        <f>'mnt Data'!G256</f>
        <v>0</v>
      </c>
      <c r="V253" s="31">
        <f>'mnt Data'!H256</f>
        <v>0</v>
      </c>
      <c r="W253" s="31">
        <f>'mnt Data'!I256</f>
        <v>0</v>
      </c>
      <c r="X253" s="31">
        <f>'mnt Data'!J256</f>
        <v>0</v>
      </c>
      <c r="Y253" s="31">
        <f>'mnt Data'!K256</f>
        <v>0</v>
      </c>
      <c r="Z253" s="31">
        <f>'mnt Data'!L256</f>
        <v>0</v>
      </c>
      <c r="AA253" s="31">
        <f>'mnt Data'!M256</f>
        <v>0</v>
      </c>
      <c r="AB253" s="31">
        <f>'mnt Data'!N256</f>
        <v>0</v>
      </c>
      <c r="AC253" s="31">
        <f>'mnt Data'!O256</f>
        <v>0</v>
      </c>
      <c r="AD253" s="31">
        <f>'mnt Data'!P256</f>
        <v>0</v>
      </c>
      <c r="AE253" s="31">
        <f>'mnt Data'!Q256</f>
        <v>0</v>
      </c>
      <c r="AF253" s="31">
        <f>'mnt Data'!R256</f>
        <v>0</v>
      </c>
      <c r="AG253" s="31">
        <f>'mnt Data'!S256</f>
        <v>0</v>
      </c>
      <c r="AH253" s="31">
        <f>'mnt Data'!T256</f>
        <v>0</v>
      </c>
      <c r="AI253" s="31">
        <f>'mnt Data'!U256</f>
        <v>0</v>
      </c>
      <c r="AJ253" s="31">
        <f>'mnt Data'!V256</f>
        <v>0</v>
      </c>
      <c r="AK253" s="31">
        <f>'mnt Data'!W256</f>
        <v>0</v>
      </c>
      <c r="AL253" s="31">
        <f>'mnt Data'!X256</f>
        <v>0</v>
      </c>
      <c r="AM253" s="31">
        <f>'mnt Data'!Y256</f>
        <v>0</v>
      </c>
      <c r="AN253" s="31">
        <f>'mnt Data'!Z256</f>
        <v>0</v>
      </c>
      <c r="AO253" s="31">
        <f>'mnt Data'!AA256</f>
        <v>0</v>
      </c>
      <c r="AP253" s="31">
        <f>'mnt Data'!AB256</f>
        <v>0</v>
      </c>
      <c r="AQ253" s="31">
        <f>'mnt Data'!AC256</f>
        <v>0</v>
      </c>
      <c r="AR253" s="31">
        <f>'mnt Data'!AD256</f>
        <v>0</v>
      </c>
      <c r="AS253" s="31">
        <f>'mnt Data'!AE256</f>
        <v>0</v>
      </c>
      <c r="AT253" s="31">
        <f>'mnt Data'!AF256</f>
        <v>0</v>
      </c>
      <c r="AU253" s="31">
        <f>'mnt Data'!AG256</f>
        <v>0</v>
      </c>
      <c r="AV253" s="31">
        <f>'mnt Data'!AH256</f>
        <v>0</v>
      </c>
      <c r="AW253" s="31">
        <f>'mnt Data'!AI256</f>
        <v>0</v>
      </c>
      <c r="AX253" s="31">
        <f>'mnt Data'!AJ256</f>
        <v>0</v>
      </c>
      <c r="AY253" s="31">
        <f>'mnt Data'!AK256</f>
        <v>0</v>
      </c>
    </row>
    <row r="254" spans="1:51" x14ac:dyDescent="0.25">
      <c r="A254">
        <v>253</v>
      </c>
      <c r="B254" s="32">
        <f t="shared" si="48"/>
        <v>0</v>
      </c>
      <c r="C254" s="32">
        <f t="shared" si="49"/>
        <v>0</v>
      </c>
      <c r="D254" s="32" t="str">
        <f t="shared" si="41"/>
        <v>No Gs</v>
      </c>
      <c r="E254" s="32">
        <f t="shared" si="45"/>
        <v>0</v>
      </c>
      <c r="F254" s="32" t="str">
        <f t="shared" si="46"/>
        <v>No Gs</v>
      </c>
      <c r="G254" s="32" t="str">
        <f t="shared" si="47"/>
        <v>No Gs</v>
      </c>
      <c r="H254" s="32" t="str">
        <f t="shared" si="50"/>
        <v>Gs is needed</v>
      </c>
      <c r="I254" s="32" t="str">
        <f t="shared" si="51"/>
        <v>Gs is needed</v>
      </c>
      <c r="J254" s="32" t="str">
        <f t="shared" si="52"/>
        <v>Gs is needed</v>
      </c>
      <c r="K254" s="32" t="str">
        <f t="shared" si="42"/>
        <v>Need Max and Min</v>
      </c>
      <c r="L254" s="32" t="str">
        <f t="shared" si="43"/>
        <v>Need Max and Min</v>
      </c>
      <c r="M254" s="32" t="str">
        <f t="shared" si="44"/>
        <v>Fail</v>
      </c>
      <c r="N254" s="32"/>
      <c r="O254" s="31">
        <f>'mnt Data'!A257</f>
        <v>0</v>
      </c>
      <c r="P254" s="31">
        <f>'mnt Data'!B257</f>
        <v>0</v>
      </c>
      <c r="Q254" s="31">
        <f>'mnt Data'!C257</f>
        <v>0</v>
      </c>
      <c r="R254" s="31">
        <f>'mnt Data'!D257</f>
        <v>0</v>
      </c>
      <c r="S254" s="31">
        <f>'mnt Data'!E257</f>
        <v>0</v>
      </c>
      <c r="T254" s="31">
        <f>'mnt Data'!F257</f>
        <v>0</v>
      </c>
      <c r="U254" s="31">
        <f>'mnt Data'!G257</f>
        <v>0</v>
      </c>
      <c r="V254" s="31">
        <f>'mnt Data'!H257</f>
        <v>0</v>
      </c>
      <c r="W254" s="31">
        <f>'mnt Data'!I257</f>
        <v>0</v>
      </c>
      <c r="X254" s="31">
        <f>'mnt Data'!J257</f>
        <v>0</v>
      </c>
      <c r="Y254" s="31">
        <f>'mnt Data'!K257</f>
        <v>0</v>
      </c>
      <c r="Z254" s="31">
        <f>'mnt Data'!L257</f>
        <v>0</v>
      </c>
      <c r="AA254" s="31">
        <f>'mnt Data'!M257</f>
        <v>0</v>
      </c>
      <c r="AB254" s="31">
        <f>'mnt Data'!N257</f>
        <v>0</v>
      </c>
      <c r="AC254" s="31">
        <f>'mnt Data'!O257</f>
        <v>0</v>
      </c>
      <c r="AD254" s="31">
        <f>'mnt Data'!P257</f>
        <v>0</v>
      </c>
      <c r="AE254" s="31">
        <f>'mnt Data'!Q257</f>
        <v>0</v>
      </c>
      <c r="AF254" s="31">
        <f>'mnt Data'!R257</f>
        <v>0</v>
      </c>
      <c r="AG254" s="31">
        <f>'mnt Data'!S257</f>
        <v>0</v>
      </c>
      <c r="AH254" s="31">
        <f>'mnt Data'!T257</f>
        <v>0</v>
      </c>
      <c r="AI254" s="31">
        <f>'mnt Data'!U257</f>
        <v>0</v>
      </c>
      <c r="AJ254" s="31">
        <f>'mnt Data'!V257</f>
        <v>0</v>
      </c>
      <c r="AK254" s="31">
        <f>'mnt Data'!W257</f>
        <v>0</v>
      </c>
      <c r="AL254" s="31">
        <f>'mnt Data'!X257</f>
        <v>0</v>
      </c>
      <c r="AM254" s="31">
        <f>'mnt Data'!Y257</f>
        <v>0</v>
      </c>
      <c r="AN254" s="31">
        <f>'mnt Data'!Z257</f>
        <v>0</v>
      </c>
      <c r="AO254" s="31">
        <f>'mnt Data'!AA257</f>
        <v>0</v>
      </c>
      <c r="AP254" s="31">
        <f>'mnt Data'!AB257</f>
        <v>0</v>
      </c>
      <c r="AQ254" s="31">
        <f>'mnt Data'!AC257</f>
        <v>0</v>
      </c>
      <c r="AR254" s="31">
        <f>'mnt Data'!AD257</f>
        <v>0</v>
      </c>
      <c r="AS254" s="31">
        <f>'mnt Data'!AE257</f>
        <v>0</v>
      </c>
      <c r="AT254" s="31">
        <f>'mnt Data'!AF257</f>
        <v>0</v>
      </c>
      <c r="AU254" s="31">
        <f>'mnt Data'!AG257</f>
        <v>0</v>
      </c>
      <c r="AV254" s="31">
        <f>'mnt Data'!AH257</f>
        <v>0</v>
      </c>
      <c r="AW254" s="31">
        <f>'mnt Data'!AI257</f>
        <v>0</v>
      </c>
      <c r="AX254" s="31">
        <f>'mnt Data'!AJ257</f>
        <v>0</v>
      </c>
      <c r="AY254" s="31">
        <f>'mnt Data'!AK257</f>
        <v>0</v>
      </c>
    </row>
    <row r="255" spans="1:51" x14ac:dyDescent="0.25">
      <c r="A255">
        <v>254</v>
      </c>
      <c r="B255" s="32">
        <f t="shared" si="48"/>
        <v>0</v>
      </c>
      <c r="C255" s="32">
        <f t="shared" si="49"/>
        <v>0</v>
      </c>
      <c r="D255" s="32" t="str">
        <f t="shared" si="41"/>
        <v>No Gs</v>
      </c>
      <c r="E255" s="32">
        <f t="shared" si="45"/>
        <v>0</v>
      </c>
      <c r="F255" s="32" t="str">
        <f t="shared" si="46"/>
        <v>No Gs</v>
      </c>
      <c r="G255" s="32" t="str">
        <f t="shared" si="47"/>
        <v>No Gs</v>
      </c>
      <c r="H255" s="32" t="str">
        <f t="shared" si="50"/>
        <v>Gs is needed</v>
      </c>
      <c r="I255" s="32" t="str">
        <f t="shared" si="51"/>
        <v>Gs is needed</v>
      </c>
      <c r="J255" s="32" t="str">
        <f t="shared" si="52"/>
        <v>Gs is needed</v>
      </c>
      <c r="K255" s="32" t="str">
        <f t="shared" si="42"/>
        <v>Need Max and Min</v>
      </c>
      <c r="L255" s="32" t="str">
        <f t="shared" si="43"/>
        <v>Need Max and Min</v>
      </c>
      <c r="M255" s="32" t="str">
        <f t="shared" si="44"/>
        <v>Fail</v>
      </c>
      <c r="N255" s="32"/>
      <c r="O255" s="31">
        <f>'mnt Data'!A258</f>
        <v>0</v>
      </c>
      <c r="P255" s="31">
        <f>'mnt Data'!B258</f>
        <v>0</v>
      </c>
      <c r="Q255" s="31">
        <f>'mnt Data'!C258</f>
        <v>0</v>
      </c>
      <c r="R255" s="31">
        <f>'mnt Data'!D258</f>
        <v>0</v>
      </c>
      <c r="S255" s="31">
        <f>'mnt Data'!E258</f>
        <v>0</v>
      </c>
      <c r="T255" s="31">
        <f>'mnt Data'!F258</f>
        <v>0</v>
      </c>
      <c r="U255" s="31">
        <f>'mnt Data'!G258</f>
        <v>0</v>
      </c>
      <c r="V255" s="31">
        <f>'mnt Data'!H258</f>
        <v>0</v>
      </c>
      <c r="W255" s="31">
        <f>'mnt Data'!I258</f>
        <v>0</v>
      </c>
      <c r="X255" s="31">
        <f>'mnt Data'!J258</f>
        <v>0</v>
      </c>
      <c r="Y255" s="31">
        <f>'mnt Data'!K258</f>
        <v>0</v>
      </c>
      <c r="Z255" s="31">
        <f>'mnt Data'!L258</f>
        <v>0</v>
      </c>
      <c r="AA255" s="31">
        <f>'mnt Data'!M258</f>
        <v>0</v>
      </c>
      <c r="AB255" s="31">
        <f>'mnt Data'!N258</f>
        <v>0</v>
      </c>
      <c r="AC255" s="31">
        <f>'mnt Data'!O258</f>
        <v>0</v>
      </c>
      <c r="AD255" s="31">
        <f>'mnt Data'!P258</f>
        <v>0</v>
      </c>
      <c r="AE255" s="31">
        <f>'mnt Data'!Q258</f>
        <v>0</v>
      </c>
      <c r="AF255" s="31">
        <f>'mnt Data'!R258</f>
        <v>0</v>
      </c>
      <c r="AG255" s="31">
        <f>'mnt Data'!S258</f>
        <v>0</v>
      </c>
      <c r="AH255" s="31">
        <f>'mnt Data'!T258</f>
        <v>0</v>
      </c>
      <c r="AI255" s="31">
        <f>'mnt Data'!U258</f>
        <v>0</v>
      </c>
      <c r="AJ255" s="31">
        <f>'mnt Data'!V258</f>
        <v>0</v>
      </c>
      <c r="AK255" s="31">
        <f>'mnt Data'!W258</f>
        <v>0</v>
      </c>
      <c r="AL255" s="31">
        <f>'mnt Data'!X258</f>
        <v>0</v>
      </c>
      <c r="AM255" s="31">
        <f>'mnt Data'!Y258</f>
        <v>0</v>
      </c>
      <c r="AN255" s="31">
        <f>'mnt Data'!Z258</f>
        <v>0</v>
      </c>
      <c r="AO255" s="31">
        <f>'mnt Data'!AA258</f>
        <v>0</v>
      </c>
      <c r="AP255" s="31">
        <f>'mnt Data'!AB258</f>
        <v>0</v>
      </c>
      <c r="AQ255" s="31">
        <f>'mnt Data'!AC258</f>
        <v>0</v>
      </c>
      <c r="AR255" s="31">
        <f>'mnt Data'!AD258</f>
        <v>0</v>
      </c>
      <c r="AS255" s="31">
        <f>'mnt Data'!AE258</f>
        <v>0</v>
      </c>
      <c r="AT255" s="31">
        <f>'mnt Data'!AF258</f>
        <v>0</v>
      </c>
      <c r="AU255" s="31">
        <f>'mnt Data'!AG258</f>
        <v>0</v>
      </c>
      <c r="AV255" s="31">
        <f>'mnt Data'!AH258</f>
        <v>0</v>
      </c>
      <c r="AW255" s="31">
        <f>'mnt Data'!AI258</f>
        <v>0</v>
      </c>
      <c r="AX255" s="31">
        <f>'mnt Data'!AJ258</f>
        <v>0</v>
      </c>
      <c r="AY255" s="31">
        <f>'mnt Data'!AK258</f>
        <v>0</v>
      </c>
    </row>
    <row r="256" spans="1:51" x14ac:dyDescent="0.25">
      <c r="A256">
        <v>255</v>
      </c>
      <c r="B256" s="32">
        <f t="shared" si="48"/>
        <v>0</v>
      </c>
      <c r="C256" s="32">
        <f t="shared" si="49"/>
        <v>0</v>
      </c>
      <c r="D256" s="32" t="str">
        <f t="shared" si="41"/>
        <v>No Gs</v>
      </c>
      <c r="E256" s="32">
        <f t="shared" si="45"/>
        <v>0</v>
      </c>
      <c r="F256" s="32" t="str">
        <f t="shared" si="46"/>
        <v>No Gs</v>
      </c>
      <c r="G256" s="32" t="str">
        <f t="shared" si="47"/>
        <v>No Gs</v>
      </c>
      <c r="H256" s="32" t="str">
        <f t="shared" si="50"/>
        <v>Gs is needed</v>
      </c>
      <c r="I256" s="32" t="str">
        <f t="shared" si="51"/>
        <v>Gs is needed</v>
      </c>
      <c r="J256" s="32" t="str">
        <f t="shared" si="52"/>
        <v>Gs is needed</v>
      </c>
      <c r="K256" s="32" t="str">
        <f t="shared" si="42"/>
        <v>Need Max and Min</v>
      </c>
      <c r="L256" s="32" t="str">
        <f t="shared" si="43"/>
        <v>Need Max and Min</v>
      </c>
      <c r="M256" s="32" t="str">
        <f t="shared" si="44"/>
        <v>Fail</v>
      </c>
      <c r="N256" s="32"/>
      <c r="O256" s="31">
        <f>'mnt Data'!A259</f>
        <v>0</v>
      </c>
      <c r="P256" s="31">
        <f>'mnt Data'!B259</f>
        <v>0</v>
      </c>
      <c r="Q256" s="31">
        <f>'mnt Data'!C259</f>
        <v>0</v>
      </c>
      <c r="R256" s="31">
        <f>'mnt Data'!D259</f>
        <v>0</v>
      </c>
      <c r="S256" s="31">
        <f>'mnt Data'!E259</f>
        <v>0</v>
      </c>
      <c r="T256" s="31">
        <f>'mnt Data'!F259</f>
        <v>0</v>
      </c>
      <c r="U256" s="31">
        <f>'mnt Data'!G259</f>
        <v>0</v>
      </c>
      <c r="V256" s="31">
        <f>'mnt Data'!H259</f>
        <v>0</v>
      </c>
      <c r="W256" s="31">
        <f>'mnt Data'!I259</f>
        <v>0</v>
      </c>
      <c r="X256" s="31">
        <f>'mnt Data'!J259</f>
        <v>0</v>
      </c>
      <c r="Y256" s="31">
        <f>'mnt Data'!K259</f>
        <v>0</v>
      </c>
      <c r="Z256" s="31">
        <f>'mnt Data'!L259</f>
        <v>0</v>
      </c>
      <c r="AA256" s="31">
        <f>'mnt Data'!M259</f>
        <v>0</v>
      </c>
      <c r="AB256" s="31">
        <f>'mnt Data'!N259</f>
        <v>0</v>
      </c>
      <c r="AC256" s="31">
        <f>'mnt Data'!O259</f>
        <v>0</v>
      </c>
      <c r="AD256" s="31">
        <f>'mnt Data'!P259</f>
        <v>0</v>
      </c>
      <c r="AE256" s="31">
        <f>'mnt Data'!Q259</f>
        <v>0</v>
      </c>
      <c r="AF256" s="31">
        <f>'mnt Data'!R259</f>
        <v>0</v>
      </c>
      <c r="AG256" s="31">
        <f>'mnt Data'!S259</f>
        <v>0</v>
      </c>
      <c r="AH256" s="31">
        <f>'mnt Data'!T259</f>
        <v>0</v>
      </c>
      <c r="AI256" s="31">
        <f>'mnt Data'!U259</f>
        <v>0</v>
      </c>
      <c r="AJ256" s="31">
        <f>'mnt Data'!V259</f>
        <v>0</v>
      </c>
      <c r="AK256" s="31">
        <f>'mnt Data'!W259</f>
        <v>0</v>
      </c>
      <c r="AL256" s="31">
        <f>'mnt Data'!X259</f>
        <v>0</v>
      </c>
      <c r="AM256" s="31">
        <f>'mnt Data'!Y259</f>
        <v>0</v>
      </c>
      <c r="AN256" s="31">
        <f>'mnt Data'!Z259</f>
        <v>0</v>
      </c>
      <c r="AO256" s="31">
        <f>'mnt Data'!AA259</f>
        <v>0</v>
      </c>
      <c r="AP256" s="31">
        <f>'mnt Data'!AB259</f>
        <v>0</v>
      </c>
      <c r="AQ256" s="31">
        <f>'mnt Data'!AC259</f>
        <v>0</v>
      </c>
      <c r="AR256" s="31">
        <f>'mnt Data'!AD259</f>
        <v>0</v>
      </c>
      <c r="AS256" s="31">
        <f>'mnt Data'!AE259</f>
        <v>0</v>
      </c>
      <c r="AT256" s="31">
        <f>'mnt Data'!AF259</f>
        <v>0</v>
      </c>
      <c r="AU256" s="31">
        <f>'mnt Data'!AG259</f>
        <v>0</v>
      </c>
      <c r="AV256" s="31">
        <f>'mnt Data'!AH259</f>
        <v>0</v>
      </c>
      <c r="AW256" s="31">
        <f>'mnt Data'!AI259</f>
        <v>0</v>
      </c>
      <c r="AX256" s="31">
        <f>'mnt Data'!AJ259</f>
        <v>0</v>
      </c>
      <c r="AY256" s="31">
        <f>'mnt Data'!AK259</f>
        <v>0</v>
      </c>
    </row>
    <row r="257" spans="1:51" x14ac:dyDescent="0.25">
      <c r="A257">
        <v>256</v>
      </c>
      <c r="B257" s="32">
        <f t="shared" si="48"/>
        <v>0</v>
      </c>
      <c r="C257" s="32">
        <f t="shared" si="49"/>
        <v>0</v>
      </c>
      <c r="D257" s="32" t="str">
        <f t="shared" si="41"/>
        <v>No Gs</v>
      </c>
      <c r="E257" s="32">
        <f t="shared" si="45"/>
        <v>0</v>
      </c>
      <c r="F257" s="32" t="str">
        <f t="shared" si="46"/>
        <v>No Gs</v>
      </c>
      <c r="G257" s="32" t="str">
        <f t="shared" si="47"/>
        <v>No Gs</v>
      </c>
      <c r="H257" s="32" t="str">
        <f t="shared" si="50"/>
        <v>Gs is needed</v>
      </c>
      <c r="I257" s="32" t="str">
        <f t="shared" si="51"/>
        <v>Gs is needed</v>
      </c>
      <c r="J257" s="32" t="str">
        <f t="shared" si="52"/>
        <v>Gs is needed</v>
      </c>
      <c r="K257" s="32" t="str">
        <f t="shared" si="42"/>
        <v>Need Max and Min</v>
      </c>
      <c r="L257" s="32" t="str">
        <f t="shared" si="43"/>
        <v>Need Max and Min</v>
      </c>
      <c r="M257" s="32" t="str">
        <f t="shared" si="44"/>
        <v>Fail</v>
      </c>
      <c r="N257" s="32"/>
      <c r="O257" s="31">
        <f>'mnt Data'!A260</f>
        <v>0</v>
      </c>
      <c r="P257" s="31">
        <f>'mnt Data'!B260</f>
        <v>0</v>
      </c>
      <c r="Q257" s="31">
        <f>'mnt Data'!C260</f>
        <v>0</v>
      </c>
      <c r="R257" s="31">
        <f>'mnt Data'!D260</f>
        <v>0</v>
      </c>
      <c r="S257" s="31">
        <f>'mnt Data'!E260</f>
        <v>0</v>
      </c>
      <c r="T257" s="31">
        <f>'mnt Data'!F260</f>
        <v>0</v>
      </c>
      <c r="U257" s="31">
        <f>'mnt Data'!G260</f>
        <v>0</v>
      </c>
      <c r="V257" s="31">
        <f>'mnt Data'!H260</f>
        <v>0</v>
      </c>
      <c r="W257" s="31">
        <f>'mnt Data'!I260</f>
        <v>0</v>
      </c>
      <c r="X257" s="31">
        <f>'mnt Data'!J260</f>
        <v>0</v>
      </c>
      <c r="Y257" s="31">
        <f>'mnt Data'!K260</f>
        <v>0</v>
      </c>
      <c r="Z257" s="31">
        <f>'mnt Data'!L260</f>
        <v>0</v>
      </c>
      <c r="AA257" s="31">
        <f>'mnt Data'!M260</f>
        <v>0</v>
      </c>
      <c r="AB257" s="31">
        <f>'mnt Data'!N260</f>
        <v>0</v>
      </c>
      <c r="AC257" s="31">
        <f>'mnt Data'!O260</f>
        <v>0</v>
      </c>
      <c r="AD257" s="31">
        <f>'mnt Data'!P260</f>
        <v>0</v>
      </c>
      <c r="AE257" s="31">
        <f>'mnt Data'!Q260</f>
        <v>0</v>
      </c>
      <c r="AF257" s="31">
        <f>'mnt Data'!R260</f>
        <v>0</v>
      </c>
      <c r="AG257" s="31">
        <f>'mnt Data'!S260</f>
        <v>0</v>
      </c>
      <c r="AH257" s="31">
        <f>'mnt Data'!T260</f>
        <v>0</v>
      </c>
      <c r="AI257" s="31">
        <f>'mnt Data'!U260</f>
        <v>0</v>
      </c>
      <c r="AJ257" s="31">
        <f>'mnt Data'!V260</f>
        <v>0</v>
      </c>
      <c r="AK257" s="31">
        <f>'mnt Data'!W260</f>
        <v>0</v>
      </c>
      <c r="AL257" s="31">
        <f>'mnt Data'!X260</f>
        <v>0</v>
      </c>
      <c r="AM257" s="31">
        <f>'mnt Data'!Y260</f>
        <v>0</v>
      </c>
      <c r="AN257" s="31">
        <f>'mnt Data'!Z260</f>
        <v>0</v>
      </c>
      <c r="AO257" s="31">
        <f>'mnt Data'!AA260</f>
        <v>0</v>
      </c>
      <c r="AP257" s="31">
        <f>'mnt Data'!AB260</f>
        <v>0</v>
      </c>
      <c r="AQ257" s="31">
        <f>'mnt Data'!AC260</f>
        <v>0</v>
      </c>
      <c r="AR257" s="31">
        <f>'mnt Data'!AD260</f>
        <v>0</v>
      </c>
      <c r="AS257" s="31">
        <f>'mnt Data'!AE260</f>
        <v>0</v>
      </c>
      <c r="AT257" s="31">
        <f>'mnt Data'!AF260</f>
        <v>0</v>
      </c>
      <c r="AU257" s="31">
        <f>'mnt Data'!AG260</f>
        <v>0</v>
      </c>
      <c r="AV257" s="31">
        <f>'mnt Data'!AH260</f>
        <v>0</v>
      </c>
      <c r="AW257" s="31">
        <f>'mnt Data'!AI260</f>
        <v>0</v>
      </c>
      <c r="AX257" s="31">
        <f>'mnt Data'!AJ260</f>
        <v>0</v>
      </c>
      <c r="AY257" s="31">
        <f>'mnt Data'!AK260</f>
        <v>0</v>
      </c>
    </row>
    <row r="258" spans="1:51" x14ac:dyDescent="0.25">
      <c r="A258">
        <v>257</v>
      </c>
      <c r="B258" s="32">
        <f t="shared" si="48"/>
        <v>0</v>
      </c>
      <c r="C258" s="32">
        <f t="shared" si="49"/>
        <v>0</v>
      </c>
      <c r="D258" s="32" t="str">
        <f t="shared" ref="D258:D321" si="53">IFERROR(B258/(Gs*(IF(O258&gt;1000,998,62.4))),"No Gs")</f>
        <v>No Gs</v>
      </c>
      <c r="E258" s="32">
        <f t="shared" si="45"/>
        <v>0</v>
      </c>
      <c r="F258" s="32" t="str">
        <f t="shared" si="46"/>
        <v>No Gs</v>
      </c>
      <c r="G258" s="32" t="str">
        <f t="shared" si="47"/>
        <v>No Gs</v>
      </c>
      <c r="H258" s="32" t="str">
        <f t="shared" si="50"/>
        <v>Gs is needed</v>
      </c>
      <c r="I258" s="32" t="str">
        <f t="shared" si="51"/>
        <v>Gs is needed</v>
      </c>
      <c r="J258" s="32" t="str">
        <f t="shared" si="52"/>
        <v>Gs is needed</v>
      </c>
      <c r="K258" s="32" t="str">
        <f t="shared" ref="K258:K321" si="54">IFERROR((100*(DMax*(O258-DMin))/(O258*(DMax-DMin))),"Need Max and Min")</f>
        <v>Need Max and Min</v>
      </c>
      <c r="L258" s="32" t="str">
        <f t="shared" ref="L258:L321" si="55">IF(K258="Need Max and Min",K258,(100*((O258-DMin)/(DMax-DMin))))</f>
        <v>Need Max and Min</v>
      </c>
      <c r="M258" s="32" t="str">
        <f t="shared" ref="M258:M321" si="56">IF((Min+Max)=0,"Need Max and Min Density",IF(AND(S258&gt;Min,S258&lt;Max),"Pass","Fail"))</f>
        <v>Fail</v>
      </c>
      <c r="N258" s="32"/>
      <c r="O258" s="31">
        <f>'mnt Data'!A261</f>
        <v>0</v>
      </c>
      <c r="P258" s="31">
        <f>'mnt Data'!B261</f>
        <v>0</v>
      </c>
      <c r="Q258" s="31">
        <f>'mnt Data'!C261</f>
        <v>0</v>
      </c>
      <c r="R258" s="31">
        <f>'mnt Data'!D261</f>
        <v>0</v>
      </c>
      <c r="S258" s="31">
        <f>'mnt Data'!E261</f>
        <v>0</v>
      </c>
      <c r="T258" s="31">
        <f>'mnt Data'!F261</f>
        <v>0</v>
      </c>
      <c r="U258" s="31">
        <f>'mnt Data'!G261</f>
        <v>0</v>
      </c>
      <c r="V258" s="31">
        <f>'mnt Data'!H261</f>
        <v>0</v>
      </c>
      <c r="W258" s="31">
        <f>'mnt Data'!I261</f>
        <v>0</v>
      </c>
      <c r="X258" s="31">
        <f>'mnt Data'!J261</f>
        <v>0</v>
      </c>
      <c r="Y258" s="31">
        <f>'mnt Data'!K261</f>
        <v>0</v>
      </c>
      <c r="Z258" s="31">
        <f>'mnt Data'!L261</f>
        <v>0</v>
      </c>
      <c r="AA258" s="31">
        <f>'mnt Data'!M261</f>
        <v>0</v>
      </c>
      <c r="AB258" s="31">
        <f>'mnt Data'!N261</f>
        <v>0</v>
      </c>
      <c r="AC258" s="31">
        <f>'mnt Data'!O261</f>
        <v>0</v>
      </c>
      <c r="AD258" s="31">
        <f>'mnt Data'!P261</f>
        <v>0</v>
      </c>
      <c r="AE258" s="31">
        <f>'mnt Data'!Q261</f>
        <v>0</v>
      </c>
      <c r="AF258" s="31">
        <f>'mnt Data'!R261</f>
        <v>0</v>
      </c>
      <c r="AG258" s="31">
        <f>'mnt Data'!S261</f>
        <v>0</v>
      </c>
      <c r="AH258" s="31">
        <f>'mnt Data'!T261</f>
        <v>0</v>
      </c>
      <c r="AI258" s="31">
        <f>'mnt Data'!U261</f>
        <v>0</v>
      </c>
      <c r="AJ258" s="31">
        <f>'mnt Data'!V261</f>
        <v>0</v>
      </c>
      <c r="AK258" s="31">
        <f>'mnt Data'!W261</f>
        <v>0</v>
      </c>
      <c r="AL258" s="31">
        <f>'mnt Data'!X261</f>
        <v>0</v>
      </c>
      <c r="AM258" s="31">
        <f>'mnt Data'!Y261</f>
        <v>0</v>
      </c>
      <c r="AN258" s="31">
        <f>'mnt Data'!Z261</f>
        <v>0</v>
      </c>
      <c r="AO258" s="31">
        <f>'mnt Data'!AA261</f>
        <v>0</v>
      </c>
      <c r="AP258" s="31">
        <f>'mnt Data'!AB261</f>
        <v>0</v>
      </c>
      <c r="AQ258" s="31">
        <f>'mnt Data'!AC261</f>
        <v>0</v>
      </c>
      <c r="AR258" s="31">
        <f>'mnt Data'!AD261</f>
        <v>0</v>
      </c>
      <c r="AS258" s="31">
        <f>'mnt Data'!AE261</f>
        <v>0</v>
      </c>
      <c r="AT258" s="31">
        <f>'mnt Data'!AF261</f>
        <v>0</v>
      </c>
      <c r="AU258" s="31">
        <f>'mnt Data'!AG261</f>
        <v>0</v>
      </c>
      <c r="AV258" s="31">
        <f>'mnt Data'!AH261</f>
        <v>0</v>
      </c>
      <c r="AW258" s="31">
        <f>'mnt Data'!AI261</f>
        <v>0</v>
      </c>
      <c r="AX258" s="31">
        <f>'mnt Data'!AJ261</f>
        <v>0</v>
      </c>
      <c r="AY258" s="31">
        <f>'mnt Data'!AK261</f>
        <v>0</v>
      </c>
    </row>
    <row r="259" spans="1:51" x14ac:dyDescent="0.25">
      <c r="A259">
        <v>258</v>
      </c>
      <c r="B259" s="32">
        <f t="shared" si="48"/>
        <v>0</v>
      </c>
      <c r="C259" s="32">
        <f t="shared" si="49"/>
        <v>0</v>
      </c>
      <c r="D259" s="32" t="str">
        <f t="shared" si="53"/>
        <v>No Gs</v>
      </c>
      <c r="E259" s="32">
        <f t="shared" ref="E259:E322" si="57">C259/(IF(O259&gt;1000,998,62.4))</f>
        <v>0</v>
      </c>
      <c r="F259" s="32" t="str">
        <f t="shared" ref="F259:F322" si="58">IFERROR(1-D259-E259,"No Gs")</f>
        <v>No Gs</v>
      </c>
      <c r="G259" s="32" t="str">
        <f t="shared" ref="G259:G322" si="59">IFERROR(E259+F259,"No Gs")</f>
        <v>No Gs</v>
      </c>
      <c r="H259" s="32" t="str">
        <f t="shared" si="50"/>
        <v>Gs is needed</v>
      </c>
      <c r="I259" s="32" t="str">
        <f t="shared" si="51"/>
        <v>Gs is needed</v>
      </c>
      <c r="J259" s="32" t="str">
        <f t="shared" si="52"/>
        <v>Gs is needed</v>
      </c>
      <c r="K259" s="32" t="str">
        <f t="shared" si="54"/>
        <v>Need Max and Min</v>
      </c>
      <c r="L259" s="32" t="str">
        <f t="shared" si="55"/>
        <v>Need Max and Min</v>
      </c>
      <c r="M259" s="32" t="str">
        <f t="shared" si="56"/>
        <v>Fail</v>
      </c>
      <c r="N259" s="32"/>
      <c r="O259" s="31">
        <f>'mnt Data'!A262</f>
        <v>0</v>
      </c>
      <c r="P259" s="31">
        <f>'mnt Data'!B262</f>
        <v>0</v>
      </c>
      <c r="Q259" s="31">
        <f>'mnt Data'!C262</f>
        <v>0</v>
      </c>
      <c r="R259" s="31">
        <f>'mnt Data'!D262</f>
        <v>0</v>
      </c>
      <c r="S259" s="31">
        <f>'mnt Data'!E262</f>
        <v>0</v>
      </c>
      <c r="T259" s="31">
        <f>'mnt Data'!F262</f>
        <v>0</v>
      </c>
      <c r="U259" s="31">
        <f>'mnt Data'!G262</f>
        <v>0</v>
      </c>
      <c r="V259" s="31">
        <f>'mnt Data'!H262</f>
        <v>0</v>
      </c>
      <c r="W259" s="31">
        <f>'mnt Data'!I262</f>
        <v>0</v>
      </c>
      <c r="X259" s="31">
        <f>'mnt Data'!J262</f>
        <v>0</v>
      </c>
      <c r="Y259" s="31">
        <f>'mnt Data'!K262</f>
        <v>0</v>
      </c>
      <c r="Z259" s="31">
        <f>'mnt Data'!L262</f>
        <v>0</v>
      </c>
      <c r="AA259" s="31">
        <f>'mnt Data'!M262</f>
        <v>0</v>
      </c>
      <c r="AB259" s="31">
        <f>'mnt Data'!N262</f>
        <v>0</v>
      </c>
      <c r="AC259" s="31">
        <f>'mnt Data'!O262</f>
        <v>0</v>
      </c>
      <c r="AD259" s="31">
        <f>'mnt Data'!P262</f>
        <v>0</v>
      </c>
      <c r="AE259" s="31">
        <f>'mnt Data'!Q262</f>
        <v>0</v>
      </c>
      <c r="AF259" s="31">
        <f>'mnt Data'!R262</f>
        <v>0</v>
      </c>
      <c r="AG259" s="31">
        <f>'mnt Data'!S262</f>
        <v>0</v>
      </c>
      <c r="AH259" s="31">
        <f>'mnt Data'!T262</f>
        <v>0</v>
      </c>
      <c r="AI259" s="31">
        <f>'mnt Data'!U262</f>
        <v>0</v>
      </c>
      <c r="AJ259" s="31">
        <f>'mnt Data'!V262</f>
        <v>0</v>
      </c>
      <c r="AK259" s="31">
        <f>'mnt Data'!W262</f>
        <v>0</v>
      </c>
      <c r="AL259" s="31">
        <f>'mnt Data'!X262</f>
        <v>0</v>
      </c>
      <c r="AM259" s="31">
        <f>'mnt Data'!Y262</f>
        <v>0</v>
      </c>
      <c r="AN259" s="31">
        <f>'mnt Data'!Z262</f>
        <v>0</v>
      </c>
      <c r="AO259" s="31">
        <f>'mnt Data'!AA262</f>
        <v>0</v>
      </c>
      <c r="AP259" s="31">
        <f>'mnt Data'!AB262</f>
        <v>0</v>
      </c>
      <c r="AQ259" s="31">
        <f>'mnt Data'!AC262</f>
        <v>0</v>
      </c>
      <c r="AR259" s="31">
        <f>'mnt Data'!AD262</f>
        <v>0</v>
      </c>
      <c r="AS259" s="31">
        <f>'mnt Data'!AE262</f>
        <v>0</v>
      </c>
      <c r="AT259" s="31">
        <f>'mnt Data'!AF262</f>
        <v>0</v>
      </c>
      <c r="AU259" s="31">
        <f>'mnt Data'!AG262</f>
        <v>0</v>
      </c>
      <c r="AV259" s="31">
        <f>'mnt Data'!AH262</f>
        <v>0</v>
      </c>
      <c r="AW259" s="31">
        <f>'mnt Data'!AI262</f>
        <v>0</v>
      </c>
      <c r="AX259" s="31">
        <f>'mnt Data'!AJ262</f>
        <v>0</v>
      </c>
      <c r="AY259" s="31">
        <f>'mnt Data'!AK262</f>
        <v>0</v>
      </c>
    </row>
    <row r="260" spans="1:51" x14ac:dyDescent="0.25">
      <c r="A260">
        <v>259</v>
      </c>
      <c r="B260" s="32">
        <f t="shared" si="48"/>
        <v>0</v>
      </c>
      <c r="C260" s="32">
        <f t="shared" si="49"/>
        <v>0</v>
      </c>
      <c r="D260" s="32" t="str">
        <f t="shared" si="53"/>
        <v>No Gs</v>
      </c>
      <c r="E260" s="32">
        <f t="shared" si="57"/>
        <v>0</v>
      </c>
      <c r="F260" s="32" t="str">
        <f t="shared" si="58"/>
        <v>No Gs</v>
      </c>
      <c r="G260" s="32" t="str">
        <f t="shared" si="59"/>
        <v>No Gs</v>
      </c>
      <c r="H260" s="32" t="str">
        <f t="shared" si="50"/>
        <v>Gs is needed</v>
      </c>
      <c r="I260" s="32" t="str">
        <f t="shared" si="51"/>
        <v>Gs is needed</v>
      </c>
      <c r="J260" s="32" t="str">
        <f t="shared" si="52"/>
        <v>Gs is needed</v>
      </c>
      <c r="K260" s="32" t="str">
        <f t="shared" si="54"/>
        <v>Need Max and Min</v>
      </c>
      <c r="L260" s="32" t="str">
        <f t="shared" si="55"/>
        <v>Need Max and Min</v>
      </c>
      <c r="M260" s="32" t="str">
        <f t="shared" si="56"/>
        <v>Fail</v>
      </c>
      <c r="N260" s="32"/>
      <c r="O260" s="31">
        <f>'mnt Data'!A263</f>
        <v>0</v>
      </c>
      <c r="P260" s="31">
        <f>'mnt Data'!B263</f>
        <v>0</v>
      </c>
      <c r="Q260" s="31">
        <f>'mnt Data'!C263</f>
        <v>0</v>
      </c>
      <c r="R260" s="31">
        <f>'mnt Data'!D263</f>
        <v>0</v>
      </c>
      <c r="S260" s="31">
        <f>'mnt Data'!E263</f>
        <v>0</v>
      </c>
      <c r="T260" s="31">
        <f>'mnt Data'!F263</f>
        <v>0</v>
      </c>
      <c r="U260" s="31">
        <f>'mnt Data'!G263</f>
        <v>0</v>
      </c>
      <c r="V260" s="31">
        <f>'mnt Data'!H263</f>
        <v>0</v>
      </c>
      <c r="W260" s="31">
        <f>'mnt Data'!I263</f>
        <v>0</v>
      </c>
      <c r="X260" s="31">
        <f>'mnt Data'!J263</f>
        <v>0</v>
      </c>
      <c r="Y260" s="31">
        <f>'mnt Data'!K263</f>
        <v>0</v>
      </c>
      <c r="Z260" s="31">
        <f>'mnt Data'!L263</f>
        <v>0</v>
      </c>
      <c r="AA260" s="31">
        <f>'mnt Data'!M263</f>
        <v>0</v>
      </c>
      <c r="AB260" s="31">
        <f>'mnt Data'!N263</f>
        <v>0</v>
      </c>
      <c r="AC260" s="31">
        <f>'mnt Data'!O263</f>
        <v>0</v>
      </c>
      <c r="AD260" s="31">
        <f>'mnt Data'!P263</f>
        <v>0</v>
      </c>
      <c r="AE260" s="31">
        <f>'mnt Data'!Q263</f>
        <v>0</v>
      </c>
      <c r="AF260" s="31">
        <f>'mnt Data'!R263</f>
        <v>0</v>
      </c>
      <c r="AG260" s="31">
        <f>'mnt Data'!S263</f>
        <v>0</v>
      </c>
      <c r="AH260" s="31">
        <f>'mnt Data'!T263</f>
        <v>0</v>
      </c>
      <c r="AI260" s="31">
        <f>'mnt Data'!U263</f>
        <v>0</v>
      </c>
      <c r="AJ260" s="31">
        <f>'mnt Data'!V263</f>
        <v>0</v>
      </c>
      <c r="AK260" s="31">
        <f>'mnt Data'!W263</f>
        <v>0</v>
      </c>
      <c r="AL260" s="31">
        <f>'mnt Data'!X263</f>
        <v>0</v>
      </c>
      <c r="AM260" s="31">
        <f>'mnt Data'!Y263</f>
        <v>0</v>
      </c>
      <c r="AN260" s="31">
        <f>'mnt Data'!Z263</f>
        <v>0</v>
      </c>
      <c r="AO260" s="31">
        <f>'mnt Data'!AA263</f>
        <v>0</v>
      </c>
      <c r="AP260" s="31">
        <f>'mnt Data'!AB263</f>
        <v>0</v>
      </c>
      <c r="AQ260" s="31">
        <f>'mnt Data'!AC263</f>
        <v>0</v>
      </c>
      <c r="AR260" s="31">
        <f>'mnt Data'!AD263</f>
        <v>0</v>
      </c>
      <c r="AS260" s="31">
        <f>'mnt Data'!AE263</f>
        <v>0</v>
      </c>
      <c r="AT260" s="31">
        <f>'mnt Data'!AF263</f>
        <v>0</v>
      </c>
      <c r="AU260" s="31">
        <f>'mnt Data'!AG263</f>
        <v>0</v>
      </c>
      <c r="AV260" s="31">
        <f>'mnt Data'!AH263</f>
        <v>0</v>
      </c>
      <c r="AW260" s="31">
        <f>'mnt Data'!AI263</f>
        <v>0</v>
      </c>
      <c r="AX260" s="31">
        <f>'mnt Data'!AJ263</f>
        <v>0</v>
      </c>
      <c r="AY260" s="31">
        <f>'mnt Data'!AK263</f>
        <v>0</v>
      </c>
    </row>
    <row r="261" spans="1:51" x14ac:dyDescent="0.25">
      <c r="A261">
        <v>260</v>
      </c>
      <c r="B261" s="32">
        <f t="shared" si="48"/>
        <v>0</v>
      </c>
      <c r="C261" s="32">
        <f t="shared" si="49"/>
        <v>0</v>
      </c>
      <c r="D261" s="32" t="str">
        <f t="shared" si="53"/>
        <v>No Gs</v>
      </c>
      <c r="E261" s="32">
        <f t="shared" si="57"/>
        <v>0</v>
      </c>
      <c r="F261" s="32" t="str">
        <f t="shared" si="58"/>
        <v>No Gs</v>
      </c>
      <c r="G261" s="32" t="str">
        <f t="shared" si="59"/>
        <v>No Gs</v>
      </c>
      <c r="H261" s="32" t="str">
        <f t="shared" si="50"/>
        <v>Gs is needed</v>
      </c>
      <c r="I261" s="32" t="str">
        <f t="shared" si="51"/>
        <v>Gs is needed</v>
      </c>
      <c r="J261" s="32" t="str">
        <f t="shared" si="52"/>
        <v>Gs is needed</v>
      </c>
      <c r="K261" s="32" t="str">
        <f t="shared" si="54"/>
        <v>Need Max and Min</v>
      </c>
      <c r="L261" s="32" t="str">
        <f t="shared" si="55"/>
        <v>Need Max and Min</v>
      </c>
      <c r="M261" s="32" t="str">
        <f t="shared" si="56"/>
        <v>Fail</v>
      </c>
      <c r="N261" s="32"/>
      <c r="O261" s="31">
        <f>'mnt Data'!A264</f>
        <v>0</v>
      </c>
      <c r="P261" s="31">
        <f>'mnt Data'!B264</f>
        <v>0</v>
      </c>
      <c r="Q261" s="31">
        <f>'mnt Data'!C264</f>
        <v>0</v>
      </c>
      <c r="R261" s="31">
        <f>'mnt Data'!D264</f>
        <v>0</v>
      </c>
      <c r="S261" s="31">
        <f>'mnt Data'!E264</f>
        <v>0</v>
      </c>
      <c r="T261" s="31">
        <f>'mnt Data'!F264</f>
        <v>0</v>
      </c>
      <c r="U261" s="31">
        <f>'mnt Data'!G264</f>
        <v>0</v>
      </c>
      <c r="V261" s="31">
        <f>'mnt Data'!H264</f>
        <v>0</v>
      </c>
      <c r="W261" s="31">
        <f>'mnt Data'!I264</f>
        <v>0</v>
      </c>
      <c r="X261" s="31">
        <f>'mnt Data'!J264</f>
        <v>0</v>
      </c>
      <c r="Y261" s="31">
        <f>'mnt Data'!K264</f>
        <v>0</v>
      </c>
      <c r="Z261" s="31">
        <f>'mnt Data'!L264</f>
        <v>0</v>
      </c>
      <c r="AA261" s="31">
        <f>'mnt Data'!M264</f>
        <v>0</v>
      </c>
      <c r="AB261" s="31">
        <f>'mnt Data'!N264</f>
        <v>0</v>
      </c>
      <c r="AC261" s="31">
        <f>'mnt Data'!O264</f>
        <v>0</v>
      </c>
      <c r="AD261" s="31">
        <f>'mnt Data'!P264</f>
        <v>0</v>
      </c>
      <c r="AE261" s="31">
        <f>'mnt Data'!Q264</f>
        <v>0</v>
      </c>
      <c r="AF261" s="31">
        <f>'mnt Data'!R264</f>
        <v>0</v>
      </c>
      <c r="AG261" s="31">
        <f>'mnt Data'!S264</f>
        <v>0</v>
      </c>
      <c r="AH261" s="31">
        <f>'mnt Data'!T264</f>
        <v>0</v>
      </c>
      <c r="AI261" s="31">
        <f>'mnt Data'!U264</f>
        <v>0</v>
      </c>
      <c r="AJ261" s="31">
        <f>'mnt Data'!V264</f>
        <v>0</v>
      </c>
      <c r="AK261" s="31">
        <f>'mnt Data'!W264</f>
        <v>0</v>
      </c>
      <c r="AL261" s="31">
        <f>'mnt Data'!X264</f>
        <v>0</v>
      </c>
      <c r="AM261" s="31">
        <f>'mnt Data'!Y264</f>
        <v>0</v>
      </c>
      <c r="AN261" s="31">
        <f>'mnt Data'!Z264</f>
        <v>0</v>
      </c>
      <c r="AO261" s="31">
        <f>'mnt Data'!AA264</f>
        <v>0</v>
      </c>
      <c r="AP261" s="31">
        <f>'mnt Data'!AB264</f>
        <v>0</v>
      </c>
      <c r="AQ261" s="31">
        <f>'mnt Data'!AC264</f>
        <v>0</v>
      </c>
      <c r="AR261" s="31">
        <f>'mnt Data'!AD264</f>
        <v>0</v>
      </c>
      <c r="AS261" s="31">
        <f>'mnt Data'!AE264</f>
        <v>0</v>
      </c>
      <c r="AT261" s="31">
        <f>'mnt Data'!AF264</f>
        <v>0</v>
      </c>
      <c r="AU261" s="31">
        <f>'mnt Data'!AG264</f>
        <v>0</v>
      </c>
      <c r="AV261" s="31">
        <f>'mnt Data'!AH264</f>
        <v>0</v>
      </c>
      <c r="AW261" s="31">
        <f>'mnt Data'!AI264</f>
        <v>0</v>
      </c>
      <c r="AX261" s="31">
        <f>'mnt Data'!AJ264</f>
        <v>0</v>
      </c>
      <c r="AY261" s="31">
        <f>'mnt Data'!AK264</f>
        <v>0</v>
      </c>
    </row>
    <row r="262" spans="1:51" x14ac:dyDescent="0.25">
      <c r="A262">
        <v>261</v>
      </c>
      <c r="B262" s="32">
        <f t="shared" si="48"/>
        <v>0</v>
      </c>
      <c r="C262" s="32">
        <f t="shared" si="49"/>
        <v>0</v>
      </c>
      <c r="D262" s="32" t="str">
        <f t="shared" si="53"/>
        <v>No Gs</v>
      </c>
      <c r="E262" s="32">
        <f t="shared" si="57"/>
        <v>0</v>
      </c>
      <c r="F262" s="32" t="str">
        <f t="shared" si="58"/>
        <v>No Gs</v>
      </c>
      <c r="G262" s="32" t="str">
        <f t="shared" si="59"/>
        <v>No Gs</v>
      </c>
      <c r="H262" s="32" t="str">
        <f t="shared" si="50"/>
        <v>Gs is needed</v>
      </c>
      <c r="I262" s="32" t="str">
        <f t="shared" si="51"/>
        <v>Gs is needed</v>
      </c>
      <c r="J262" s="32" t="str">
        <f t="shared" si="52"/>
        <v>Gs is needed</v>
      </c>
      <c r="K262" s="32" t="str">
        <f t="shared" si="54"/>
        <v>Need Max and Min</v>
      </c>
      <c r="L262" s="32" t="str">
        <f t="shared" si="55"/>
        <v>Need Max and Min</v>
      </c>
      <c r="M262" s="32" t="str">
        <f t="shared" si="56"/>
        <v>Fail</v>
      </c>
      <c r="N262" s="32"/>
      <c r="O262" s="31">
        <f>'mnt Data'!A265</f>
        <v>0</v>
      </c>
      <c r="P262" s="31">
        <f>'mnt Data'!B265</f>
        <v>0</v>
      </c>
      <c r="Q262" s="31">
        <f>'mnt Data'!C265</f>
        <v>0</v>
      </c>
      <c r="R262" s="31">
        <f>'mnt Data'!D265</f>
        <v>0</v>
      </c>
      <c r="S262" s="31">
        <f>'mnt Data'!E265</f>
        <v>0</v>
      </c>
      <c r="T262" s="31">
        <f>'mnt Data'!F265</f>
        <v>0</v>
      </c>
      <c r="U262" s="31">
        <f>'mnt Data'!G265</f>
        <v>0</v>
      </c>
      <c r="V262" s="31">
        <f>'mnt Data'!H265</f>
        <v>0</v>
      </c>
      <c r="W262" s="31">
        <f>'mnt Data'!I265</f>
        <v>0</v>
      </c>
      <c r="X262" s="31">
        <f>'mnt Data'!J265</f>
        <v>0</v>
      </c>
      <c r="Y262" s="31">
        <f>'mnt Data'!K265</f>
        <v>0</v>
      </c>
      <c r="Z262" s="31">
        <f>'mnt Data'!L265</f>
        <v>0</v>
      </c>
      <c r="AA262" s="31">
        <f>'mnt Data'!M265</f>
        <v>0</v>
      </c>
      <c r="AB262" s="31">
        <f>'mnt Data'!N265</f>
        <v>0</v>
      </c>
      <c r="AC262" s="31">
        <f>'mnt Data'!O265</f>
        <v>0</v>
      </c>
      <c r="AD262" s="31">
        <f>'mnt Data'!P265</f>
        <v>0</v>
      </c>
      <c r="AE262" s="31">
        <f>'mnt Data'!Q265</f>
        <v>0</v>
      </c>
      <c r="AF262" s="31">
        <f>'mnt Data'!R265</f>
        <v>0</v>
      </c>
      <c r="AG262" s="31">
        <f>'mnt Data'!S265</f>
        <v>0</v>
      </c>
      <c r="AH262" s="31">
        <f>'mnt Data'!T265</f>
        <v>0</v>
      </c>
      <c r="AI262" s="31">
        <f>'mnt Data'!U265</f>
        <v>0</v>
      </c>
      <c r="AJ262" s="31">
        <f>'mnt Data'!V265</f>
        <v>0</v>
      </c>
      <c r="AK262" s="31">
        <f>'mnt Data'!W265</f>
        <v>0</v>
      </c>
      <c r="AL262" s="31">
        <f>'mnt Data'!X265</f>
        <v>0</v>
      </c>
      <c r="AM262" s="31">
        <f>'mnt Data'!Y265</f>
        <v>0</v>
      </c>
      <c r="AN262" s="31">
        <f>'mnt Data'!Z265</f>
        <v>0</v>
      </c>
      <c r="AO262" s="31">
        <f>'mnt Data'!AA265</f>
        <v>0</v>
      </c>
      <c r="AP262" s="31">
        <f>'mnt Data'!AB265</f>
        <v>0</v>
      </c>
      <c r="AQ262" s="31">
        <f>'mnt Data'!AC265</f>
        <v>0</v>
      </c>
      <c r="AR262" s="31">
        <f>'mnt Data'!AD265</f>
        <v>0</v>
      </c>
      <c r="AS262" s="31">
        <f>'mnt Data'!AE265</f>
        <v>0</v>
      </c>
      <c r="AT262" s="31">
        <f>'mnt Data'!AF265</f>
        <v>0</v>
      </c>
      <c r="AU262" s="31">
        <f>'mnt Data'!AG265</f>
        <v>0</v>
      </c>
      <c r="AV262" s="31">
        <f>'mnt Data'!AH265</f>
        <v>0</v>
      </c>
      <c r="AW262" s="31">
        <f>'mnt Data'!AI265</f>
        <v>0</v>
      </c>
      <c r="AX262" s="31">
        <f>'mnt Data'!AJ265</f>
        <v>0</v>
      </c>
      <c r="AY262" s="31">
        <f>'mnt Data'!AK265</f>
        <v>0</v>
      </c>
    </row>
    <row r="263" spans="1:51" x14ac:dyDescent="0.25">
      <c r="A263">
        <v>262</v>
      </c>
      <c r="B263" s="32">
        <f t="shared" si="48"/>
        <v>0</v>
      </c>
      <c r="C263" s="32">
        <f t="shared" si="49"/>
        <v>0</v>
      </c>
      <c r="D263" s="32" t="str">
        <f t="shared" si="53"/>
        <v>No Gs</v>
      </c>
      <c r="E263" s="32">
        <f t="shared" si="57"/>
        <v>0</v>
      </c>
      <c r="F263" s="32" t="str">
        <f t="shared" si="58"/>
        <v>No Gs</v>
      </c>
      <c r="G263" s="32" t="str">
        <f t="shared" si="59"/>
        <v>No Gs</v>
      </c>
      <c r="H263" s="32" t="str">
        <f t="shared" si="50"/>
        <v>Gs is needed</v>
      </c>
      <c r="I263" s="32" t="str">
        <f t="shared" si="51"/>
        <v>Gs is needed</v>
      </c>
      <c r="J263" s="32" t="str">
        <f t="shared" si="52"/>
        <v>Gs is needed</v>
      </c>
      <c r="K263" s="32" t="str">
        <f t="shared" si="54"/>
        <v>Need Max and Min</v>
      </c>
      <c r="L263" s="32" t="str">
        <f t="shared" si="55"/>
        <v>Need Max and Min</v>
      </c>
      <c r="M263" s="32" t="str">
        <f t="shared" si="56"/>
        <v>Fail</v>
      </c>
      <c r="N263" s="32"/>
      <c r="O263" s="31">
        <f>'mnt Data'!A266</f>
        <v>0</v>
      </c>
      <c r="P263" s="31">
        <f>'mnt Data'!B266</f>
        <v>0</v>
      </c>
      <c r="Q263" s="31">
        <f>'mnt Data'!C266</f>
        <v>0</v>
      </c>
      <c r="R263" s="31">
        <f>'mnt Data'!D266</f>
        <v>0</v>
      </c>
      <c r="S263" s="31">
        <f>'mnt Data'!E266</f>
        <v>0</v>
      </c>
      <c r="T263" s="31">
        <f>'mnt Data'!F266</f>
        <v>0</v>
      </c>
      <c r="U263" s="31">
        <f>'mnt Data'!G266</f>
        <v>0</v>
      </c>
      <c r="V263" s="31">
        <f>'mnt Data'!H266</f>
        <v>0</v>
      </c>
      <c r="W263" s="31">
        <f>'mnt Data'!I266</f>
        <v>0</v>
      </c>
      <c r="X263" s="31">
        <f>'mnt Data'!J266</f>
        <v>0</v>
      </c>
      <c r="Y263" s="31">
        <f>'mnt Data'!K266</f>
        <v>0</v>
      </c>
      <c r="Z263" s="31">
        <f>'mnt Data'!L266</f>
        <v>0</v>
      </c>
      <c r="AA263" s="31">
        <f>'mnt Data'!M266</f>
        <v>0</v>
      </c>
      <c r="AB263" s="31">
        <f>'mnt Data'!N266</f>
        <v>0</v>
      </c>
      <c r="AC263" s="31">
        <f>'mnt Data'!O266</f>
        <v>0</v>
      </c>
      <c r="AD263" s="31">
        <f>'mnt Data'!P266</f>
        <v>0</v>
      </c>
      <c r="AE263" s="31">
        <f>'mnt Data'!Q266</f>
        <v>0</v>
      </c>
      <c r="AF263" s="31">
        <f>'mnt Data'!R266</f>
        <v>0</v>
      </c>
      <c r="AG263" s="31">
        <f>'mnt Data'!S266</f>
        <v>0</v>
      </c>
      <c r="AH263" s="31">
        <f>'mnt Data'!T266</f>
        <v>0</v>
      </c>
      <c r="AI263" s="31">
        <f>'mnt Data'!U266</f>
        <v>0</v>
      </c>
      <c r="AJ263" s="31">
        <f>'mnt Data'!V266</f>
        <v>0</v>
      </c>
      <c r="AK263" s="31">
        <f>'mnt Data'!W266</f>
        <v>0</v>
      </c>
      <c r="AL263" s="31">
        <f>'mnt Data'!X266</f>
        <v>0</v>
      </c>
      <c r="AM263" s="31">
        <f>'mnt Data'!Y266</f>
        <v>0</v>
      </c>
      <c r="AN263" s="31">
        <f>'mnt Data'!Z266</f>
        <v>0</v>
      </c>
      <c r="AO263" s="31">
        <f>'mnt Data'!AA266</f>
        <v>0</v>
      </c>
      <c r="AP263" s="31">
        <f>'mnt Data'!AB266</f>
        <v>0</v>
      </c>
      <c r="AQ263" s="31">
        <f>'mnt Data'!AC266</f>
        <v>0</v>
      </c>
      <c r="AR263" s="31">
        <f>'mnt Data'!AD266</f>
        <v>0</v>
      </c>
      <c r="AS263" s="31">
        <f>'mnt Data'!AE266</f>
        <v>0</v>
      </c>
      <c r="AT263" s="31">
        <f>'mnt Data'!AF266</f>
        <v>0</v>
      </c>
      <c r="AU263" s="31">
        <f>'mnt Data'!AG266</f>
        <v>0</v>
      </c>
      <c r="AV263" s="31">
        <f>'mnt Data'!AH266</f>
        <v>0</v>
      </c>
      <c r="AW263" s="31">
        <f>'mnt Data'!AI266</f>
        <v>0</v>
      </c>
      <c r="AX263" s="31">
        <f>'mnt Data'!AJ266</f>
        <v>0</v>
      </c>
      <c r="AY263" s="31">
        <f>'mnt Data'!AK266</f>
        <v>0</v>
      </c>
    </row>
    <row r="264" spans="1:51" x14ac:dyDescent="0.25">
      <c r="A264">
        <v>263</v>
      </c>
      <c r="B264" s="32">
        <f t="shared" si="48"/>
        <v>0</v>
      </c>
      <c r="C264" s="32">
        <f t="shared" si="49"/>
        <v>0</v>
      </c>
      <c r="D264" s="32" t="str">
        <f t="shared" si="53"/>
        <v>No Gs</v>
      </c>
      <c r="E264" s="32">
        <f t="shared" si="57"/>
        <v>0</v>
      </c>
      <c r="F264" s="32" t="str">
        <f t="shared" si="58"/>
        <v>No Gs</v>
      </c>
      <c r="G264" s="32" t="str">
        <f t="shared" si="59"/>
        <v>No Gs</v>
      </c>
      <c r="H264" s="32" t="str">
        <f t="shared" si="50"/>
        <v>Gs is needed</v>
      </c>
      <c r="I264" s="32" t="str">
        <f t="shared" si="51"/>
        <v>Gs is needed</v>
      </c>
      <c r="J264" s="32" t="str">
        <f t="shared" si="52"/>
        <v>Gs is needed</v>
      </c>
      <c r="K264" s="32" t="str">
        <f t="shared" si="54"/>
        <v>Need Max and Min</v>
      </c>
      <c r="L264" s="32" t="str">
        <f t="shared" si="55"/>
        <v>Need Max and Min</v>
      </c>
      <c r="M264" s="32" t="str">
        <f t="shared" si="56"/>
        <v>Fail</v>
      </c>
      <c r="N264" s="32"/>
      <c r="O264" s="31">
        <f>'mnt Data'!A267</f>
        <v>0</v>
      </c>
      <c r="P264" s="31">
        <f>'mnt Data'!B267</f>
        <v>0</v>
      </c>
      <c r="Q264" s="31">
        <f>'mnt Data'!C267</f>
        <v>0</v>
      </c>
      <c r="R264" s="31">
        <f>'mnt Data'!D267</f>
        <v>0</v>
      </c>
      <c r="S264" s="31">
        <f>'mnt Data'!E267</f>
        <v>0</v>
      </c>
      <c r="T264" s="31">
        <f>'mnt Data'!F267</f>
        <v>0</v>
      </c>
      <c r="U264" s="31">
        <f>'mnt Data'!G267</f>
        <v>0</v>
      </c>
      <c r="V264" s="31">
        <f>'mnt Data'!H267</f>
        <v>0</v>
      </c>
      <c r="W264" s="31">
        <f>'mnt Data'!I267</f>
        <v>0</v>
      </c>
      <c r="X264" s="31">
        <f>'mnt Data'!J267</f>
        <v>0</v>
      </c>
      <c r="Y264" s="31">
        <f>'mnt Data'!K267</f>
        <v>0</v>
      </c>
      <c r="Z264" s="31">
        <f>'mnt Data'!L267</f>
        <v>0</v>
      </c>
      <c r="AA264" s="31">
        <f>'mnt Data'!M267</f>
        <v>0</v>
      </c>
      <c r="AB264" s="31">
        <f>'mnt Data'!N267</f>
        <v>0</v>
      </c>
      <c r="AC264" s="31">
        <f>'mnt Data'!O267</f>
        <v>0</v>
      </c>
      <c r="AD264" s="31">
        <f>'mnt Data'!P267</f>
        <v>0</v>
      </c>
      <c r="AE264" s="31">
        <f>'mnt Data'!Q267</f>
        <v>0</v>
      </c>
      <c r="AF264" s="31">
        <f>'mnt Data'!R267</f>
        <v>0</v>
      </c>
      <c r="AG264" s="31">
        <f>'mnt Data'!S267</f>
        <v>0</v>
      </c>
      <c r="AH264" s="31">
        <f>'mnt Data'!T267</f>
        <v>0</v>
      </c>
      <c r="AI264" s="31">
        <f>'mnt Data'!U267</f>
        <v>0</v>
      </c>
      <c r="AJ264" s="31">
        <f>'mnt Data'!V267</f>
        <v>0</v>
      </c>
      <c r="AK264" s="31">
        <f>'mnt Data'!W267</f>
        <v>0</v>
      </c>
      <c r="AL264" s="31">
        <f>'mnt Data'!X267</f>
        <v>0</v>
      </c>
      <c r="AM264" s="31">
        <f>'mnt Data'!Y267</f>
        <v>0</v>
      </c>
      <c r="AN264" s="31">
        <f>'mnt Data'!Z267</f>
        <v>0</v>
      </c>
      <c r="AO264" s="31">
        <f>'mnt Data'!AA267</f>
        <v>0</v>
      </c>
      <c r="AP264" s="31">
        <f>'mnt Data'!AB267</f>
        <v>0</v>
      </c>
      <c r="AQ264" s="31">
        <f>'mnt Data'!AC267</f>
        <v>0</v>
      </c>
      <c r="AR264" s="31">
        <f>'mnt Data'!AD267</f>
        <v>0</v>
      </c>
      <c r="AS264" s="31">
        <f>'mnt Data'!AE267</f>
        <v>0</v>
      </c>
      <c r="AT264" s="31">
        <f>'mnt Data'!AF267</f>
        <v>0</v>
      </c>
      <c r="AU264" s="31">
        <f>'mnt Data'!AG267</f>
        <v>0</v>
      </c>
      <c r="AV264" s="31">
        <f>'mnt Data'!AH267</f>
        <v>0</v>
      </c>
      <c r="AW264" s="31">
        <f>'mnt Data'!AI267</f>
        <v>0</v>
      </c>
      <c r="AX264" s="31">
        <f>'mnt Data'!AJ267</f>
        <v>0</v>
      </c>
      <c r="AY264" s="31">
        <f>'mnt Data'!AK267</f>
        <v>0</v>
      </c>
    </row>
    <row r="265" spans="1:51" x14ac:dyDescent="0.25">
      <c r="A265">
        <v>264</v>
      </c>
      <c r="B265" s="32">
        <f t="shared" si="48"/>
        <v>0</v>
      </c>
      <c r="C265" s="32">
        <f t="shared" si="49"/>
        <v>0</v>
      </c>
      <c r="D265" s="32" t="str">
        <f t="shared" si="53"/>
        <v>No Gs</v>
      </c>
      <c r="E265" s="32">
        <f t="shared" si="57"/>
        <v>0</v>
      </c>
      <c r="F265" s="32" t="str">
        <f t="shared" si="58"/>
        <v>No Gs</v>
      </c>
      <c r="G265" s="32" t="str">
        <f t="shared" si="59"/>
        <v>No Gs</v>
      </c>
      <c r="H265" s="32" t="str">
        <f t="shared" si="50"/>
        <v>Gs is needed</v>
      </c>
      <c r="I265" s="32" t="str">
        <f t="shared" si="51"/>
        <v>Gs is needed</v>
      </c>
      <c r="J265" s="32" t="str">
        <f t="shared" si="52"/>
        <v>Gs is needed</v>
      </c>
      <c r="K265" s="32" t="str">
        <f t="shared" si="54"/>
        <v>Need Max and Min</v>
      </c>
      <c r="L265" s="32" t="str">
        <f t="shared" si="55"/>
        <v>Need Max and Min</v>
      </c>
      <c r="M265" s="32" t="str">
        <f t="shared" si="56"/>
        <v>Fail</v>
      </c>
      <c r="N265" s="32"/>
      <c r="O265" s="31">
        <f>'mnt Data'!A268</f>
        <v>0</v>
      </c>
      <c r="P265" s="31">
        <f>'mnt Data'!B268</f>
        <v>0</v>
      </c>
      <c r="Q265" s="31">
        <f>'mnt Data'!C268</f>
        <v>0</v>
      </c>
      <c r="R265" s="31">
        <f>'mnt Data'!D268</f>
        <v>0</v>
      </c>
      <c r="S265" s="31">
        <f>'mnt Data'!E268</f>
        <v>0</v>
      </c>
      <c r="T265" s="31">
        <f>'mnt Data'!F268</f>
        <v>0</v>
      </c>
      <c r="U265" s="31">
        <f>'mnt Data'!G268</f>
        <v>0</v>
      </c>
      <c r="V265" s="31">
        <f>'mnt Data'!H268</f>
        <v>0</v>
      </c>
      <c r="W265" s="31">
        <f>'mnt Data'!I268</f>
        <v>0</v>
      </c>
      <c r="X265" s="31">
        <f>'mnt Data'!J268</f>
        <v>0</v>
      </c>
      <c r="Y265" s="31">
        <f>'mnt Data'!K268</f>
        <v>0</v>
      </c>
      <c r="Z265" s="31">
        <f>'mnt Data'!L268</f>
        <v>0</v>
      </c>
      <c r="AA265" s="31">
        <f>'mnt Data'!M268</f>
        <v>0</v>
      </c>
      <c r="AB265" s="31">
        <f>'mnt Data'!N268</f>
        <v>0</v>
      </c>
      <c r="AC265" s="31">
        <f>'mnt Data'!O268</f>
        <v>0</v>
      </c>
      <c r="AD265" s="31">
        <f>'mnt Data'!P268</f>
        <v>0</v>
      </c>
      <c r="AE265" s="31">
        <f>'mnt Data'!Q268</f>
        <v>0</v>
      </c>
      <c r="AF265" s="31">
        <f>'mnt Data'!R268</f>
        <v>0</v>
      </c>
      <c r="AG265" s="31">
        <f>'mnt Data'!S268</f>
        <v>0</v>
      </c>
      <c r="AH265" s="31">
        <f>'mnt Data'!T268</f>
        <v>0</v>
      </c>
      <c r="AI265" s="31">
        <f>'mnt Data'!U268</f>
        <v>0</v>
      </c>
      <c r="AJ265" s="31">
        <f>'mnt Data'!V268</f>
        <v>0</v>
      </c>
      <c r="AK265" s="31">
        <f>'mnt Data'!W268</f>
        <v>0</v>
      </c>
      <c r="AL265" s="31">
        <f>'mnt Data'!X268</f>
        <v>0</v>
      </c>
      <c r="AM265" s="31">
        <f>'mnt Data'!Y268</f>
        <v>0</v>
      </c>
      <c r="AN265" s="31">
        <f>'mnt Data'!Z268</f>
        <v>0</v>
      </c>
      <c r="AO265" s="31">
        <f>'mnt Data'!AA268</f>
        <v>0</v>
      </c>
      <c r="AP265" s="31">
        <f>'mnt Data'!AB268</f>
        <v>0</v>
      </c>
      <c r="AQ265" s="31">
        <f>'mnt Data'!AC268</f>
        <v>0</v>
      </c>
      <c r="AR265" s="31">
        <f>'mnt Data'!AD268</f>
        <v>0</v>
      </c>
      <c r="AS265" s="31">
        <f>'mnt Data'!AE268</f>
        <v>0</v>
      </c>
      <c r="AT265" s="31">
        <f>'mnt Data'!AF268</f>
        <v>0</v>
      </c>
      <c r="AU265" s="31">
        <f>'mnt Data'!AG268</f>
        <v>0</v>
      </c>
      <c r="AV265" s="31">
        <f>'mnt Data'!AH268</f>
        <v>0</v>
      </c>
      <c r="AW265" s="31">
        <f>'mnt Data'!AI268</f>
        <v>0</v>
      </c>
      <c r="AX265" s="31">
        <f>'mnt Data'!AJ268</f>
        <v>0</v>
      </c>
      <c r="AY265" s="31">
        <f>'mnt Data'!AK268</f>
        <v>0</v>
      </c>
    </row>
    <row r="266" spans="1:51" x14ac:dyDescent="0.25">
      <c r="A266">
        <v>265</v>
      </c>
      <c r="B266" s="32">
        <f t="shared" si="48"/>
        <v>0</v>
      </c>
      <c r="C266" s="32">
        <f t="shared" si="49"/>
        <v>0</v>
      </c>
      <c r="D266" s="32" t="str">
        <f t="shared" si="53"/>
        <v>No Gs</v>
      </c>
      <c r="E266" s="32">
        <f t="shared" si="57"/>
        <v>0</v>
      </c>
      <c r="F266" s="32" t="str">
        <f t="shared" si="58"/>
        <v>No Gs</v>
      </c>
      <c r="G266" s="32" t="str">
        <f t="shared" si="59"/>
        <v>No Gs</v>
      </c>
      <c r="H266" s="32" t="str">
        <f t="shared" si="50"/>
        <v>Gs is needed</v>
      </c>
      <c r="I266" s="32" t="str">
        <f t="shared" si="51"/>
        <v>Gs is needed</v>
      </c>
      <c r="J266" s="32" t="str">
        <f t="shared" si="52"/>
        <v>Gs is needed</v>
      </c>
      <c r="K266" s="32" t="str">
        <f t="shared" si="54"/>
        <v>Need Max and Min</v>
      </c>
      <c r="L266" s="32" t="str">
        <f t="shared" si="55"/>
        <v>Need Max and Min</v>
      </c>
      <c r="M266" s="32" t="str">
        <f t="shared" si="56"/>
        <v>Fail</v>
      </c>
      <c r="N266" s="32"/>
      <c r="O266" s="31">
        <f>'mnt Data'!A269</f>
        <v>0</v>
      </c>
      <c r="P266" s="31">
        <f>'mnt Data'!B269</f>
        <v>0</v>
      </c>
      <c r="Q266" s="31">
        <f>'mnt Data'!C269</f>
        <v>0</v>
      </c>
      <c r="R266" s="31">
        <f>'mnt Data'!D269</f>
        <v>0</v>
      </c>
      <c r="S266" s="31">
        <f>'mnt Data'!E269</f>
        <v>0</v>
      </c>
      <c r="T266" s="31">
        <f>'mnt Data'!F269</f>
        <v>0</v>
      </c>
      <c r="U266" s="31">
        <f>'mnt Data'!G269</f>
        <v>0</v>
      </c>
      <c r="V266" s="31">
        <f>'mnt Data'!H269</f>
        <v>0</v>
      </c>
      <c r="W266" s="31">
        <f>'mnt Data'!I269</f>
        <v>0</v>
      </c>
      <c r="X266" s="31">
        <f>'mnt Data'!J269</f>
        <v>0</v>
      </c>
      <c r="Y266" s="31">
        <f>'mnt Data'!K269</f>
        <v>0</v>
      </c>
      <c r="Z266" s="31">
        <f>'mnt Data'!L269</f>
        <v>0</v>
      </c>
      <c r="AA266" s="31">
        <f>'mnt Data'!M269</f>
        <v>0</v>
      </c>
      <c r="AB266" s="31">
        <f>'mnt Data'!N269</f>
        <v>0</v>
      </c>
      <c r="AC266" s="31">
        <f>'mnt Data'!O269</f>
        <v>0</v>
      </c>
      <c r="AD266" s="31">
        <f>'mnt Data'!P269</f>
        <v>0</v>
      </c>
      <c r="AE266" s="31">
        <f>'mnt Data'!Q269</f>
        <v>0</v>
      </c>
      <c r="AF266" s="31">
        <f>'mnt Data'!R269</f>
        <v>0</v>
      </c>
      <c r="AG266" s="31">
        <f>'mnt Data'!S269</f>
        <v>0</v>
      </c>
      <c r="AH266" s="31">
        <f>'mnt Data'!T269</f>
        <v>0</v>
      </c>
      <c r="AI266" s="31">
        <f>'mnt Data'!U269</f>
        <v>0</v>
      </c>
      <c r="AJ266" s="31">
        <f>'mnt Data'!V269</f>
        <v>0</v>
      </c>
      <c r="AK266" s="31">
        <f>'mnt Data'!W269</f>
        <v>0</v>
      </c>
      <c r="AL266" s="31">
        <f>'mnt Data'!X269</f>
        <v>0</v>
      </c>
      <c r="AM266" s="31">
        <f>'mnt Data'!Y269</f>
        <v>0</v>
      </c>
      <c r="AN266" s="31">
        <f>'mnt Data'!Z269</f>
        <v>0</v>
      </c>
      <c r="AO266" s="31">
        <f>'mnt Data'!AA269</f>
        <v>0</v>
      </c>
      <c r="AP266" s="31">
        <f>'mnt Data'!AB269</f>
        <v>0</v>
      </c>
      <c r="AQ266" s="31">
        <f>'mnt Data'!AC269</f>
        <v>0</v>
      </c>
      <c r="AR266" s="31">
        <f>'mnt Data'!AD269</f>
        <v>0</v>
      </c>
      <c r="AS266" s="31">
        <f>'mnt Data'!AE269</f>
        <v>0</v>
      </c>
      <c r="AT266" s="31">
        <f>'mnt Data'!AF269</f>
        <v>0</v>
      </c>
      <c r="AU266" s="31">
        <f>'mnt Data'!AG269</f>
        <v>0</v>
      </c>
      <c r="AV266" s="31">
        <f>'mnt Data'!AH269</f>
        <v>0</v>
      </c>
      <c r="AW266" s="31">
        <f>'mnt Data'!AI269</f>
        <v>0</v>
      </c>
      <c r="AX266" s="31">
        <f>'mnt Data'!AJ269</f>
        <v>0</v>
      </c>
      <c r="AY266" s="31">
        <f>'mnt Data'!AK269</f>
        <v>0</v>
      </c>
    </row>
    <row r="267" spans="1:51" x14ac:dyDescent="0.25">
      <c r="A267">
        <v>266</v>
      </c>
      <c r="B267" s="32">
        <f t="shared" si="48"/>
        <v>0</v>
      </c>
      <c r="C267" s="32">
        <f t="shared" si="49"/>
        <v>0</v>
      </c>
      <c r="D267" s="32" t="str">
        <f t="shared" si="53"/>
        <v>No Gs</v>
      </c>
      <c r="E267" s="32">
        <f t="shared" si="57"/>
        <v>0</v>
      </c>
      <c r="F267" s="32" t="str">
        <f t="shared" si="58"/>
        <v>No Gs</v>
      </c>
      <c r="G267" s="32" t="str">
        <f t="shared" si="59"/>
        <v>No Gs</v>
      </c>
      <c r="H267" s="32" t="str">
        <f t="shared" si="50"/>
        <v>Gs is needed</v>
      </c>
      <c r="I267" s="32" t="str">
        <f t="shared" si="51"/>
        <v>Gs is needed</v>
      </c>
      <c r="J267" s="32" t="str">
        <f t="shared" si="52"/>
        <v>Gs is needed</v>
      </c>
      <c r="K267" s="32" t="str">
        <f t="shared" si="54"/>
        <v>Need Max and Min</v>
      </c>
      <c r="L267" s="32" t="str">
        <f t="shared" si="55"/>
        <v>Need Max and Min</v>
      </c>
      <c r="M267" s="32" t="str">
        <f t="shared" si="56"/>
        <v>Fail</v>
      </c>
      <c r="N267" s="32"/>
      <c r="O267" s="31">
        <f>'mnt Data'!A270</f>
        <v>0</v>
      </c>
      <c r="P267" s="31">
        <f>'mnt Data'!B270</f>
        <v>0</v>
      </c>
      <c r="Q267" s="31">
        <f>'mnt Data'!C270</f>
        <v>0</v>
      </c>
      <c r="R267" s="31">
        <f>'mnt Data'!D270</f>
        <v>0</v>
      </c>
      <c r="S267" s="31">
        <f>'mnt Data'!E270</f>
        <v>0</v>
      </c>
      <c r="T267" s="31">
        <f>'mnt Data'!F270</f>
        <v>0</v>
      </c>
      <c r="U267" s="31">
        <f>'mnt Data'!G270</f>
        <v>0</v>
      </c>
      <c r="V267" s="31">
        <f>'mnt Data'!H270</f>
        <v>0</v>
      </c>
      <c r="W267" s="31">
        <f>'mnt Data'!I270</f>
        <v>0</v>
      </c>
      <c r="X267" s="31">
        <f>'mnt Data'!J270</f>
        <v>0</v>
      </c>
      <c r="Y267" s="31">
        <f>'mnt Data'!K270</f>
        <v>0</v>
      </c>
      <c r="Z267" s="31">
        <f>'mnt Data'!L270</f>
        <v>0</v>
      </c>
      <c r="AA267" s="31">
        <f>'mnt Data'!M270</f>
        <v>0</v>
      </c>
      <c r="AB267" s="31">
        <f>'mnt Data'!N270</f>
        <v>0</v>
      </c>
      <c r="AC267" s="31">
        <f>'mnt Data'!O270</f>
        <v>0</v>
      </c>
      <c r="AD267" s="31">
        <f>'mnt Data'!P270</f>
        <v>0</v>
      </c>
      <c r="AE267" s="31">
        <f>'mnt Data'!Q270</f>
        <v>0</v>
      </c>
      <c r="AF267" s="31">
        <f>'mnt Data'!R270</f>
        <v>0</v>
      </c>
      <c r="AG267" s="31">
        <f>'mnt Data'!S270</f>
        <v>0</v>
      </c>
      <c r="AH267" s="31">
        <f>'mnt Data'!T270</f>
        <v>0</v>
      </c>
      <c r="AI267" s="31">
        <f>'mnt Data'!U270</f>
        <v>0</v>
      </c>
      <c r="AJ267" s="31">
        <f>'mnt Data'!V270</f>
        <v>0</v>
      </c>
      <c r="AK267" s="31">
        <f>'mnt Data'!W270</f>
        <v>0</v>
      </c>
      <c r="AL267" s="31">
        <f>'mnt Data'!X270</f>
        <v>0</v>
      </c>
      <c r="AM267" s="31">
        <f>'mnt Data'!Y270</f>
        <v>0</v>
      </c>
      <c r="AN267" s="31">
        <f>'mnt Data'!Z270</f>
        <v>0</v>
      </c>
      <c r="AO267" s="31">
        <f>'mnt Data'!AA270</f>
        <v>0</v>
      </c>
      <c r="AP267" s="31">
        <f>'mnt Data'!AB270</f>
        <v>0</v>
      </c>
      <c r="AQ267" s="31">
        <f>'mnt Data'!AC270</f>
        <v>0</v>
      </c>
      <c r="AR267" s="31">
        <f>'mnt Data'!AD270</f>
        <v>0</v>
      </c>
      <c r="AS267" s="31">
        <f>'mnt Data'!AE270</f>
        <v>0</v>
      </c>
      <c r="AT267" s="31">
        <f>'mnt Data'!AF270</f>
        <v>0</v>
      </c>
      <c r="AU267" s="31">
        <f>'mnt Data'!AG270</f>
        <v>0</v>
      </c>
      <c r="AV267" s="31">
        <f>'mnt Data'!AH270</f>
        <v>0</v>
      </c>
      <c r="AW267" s="31">
        <f>'mnt Data'!AI270</f>
        <v>0</v>
      </c>
      <c r="AX267" s="31">
        <f>'mnt Data'!AJ270</f>
        <v>0</v>
      </c>
      <c r="AY267" s="31">
        <f>'mnt Data'!AK270</f>
        <v>0</v>
      </c>
    </row>
    <row r="268" spans="1:51" x14ac:dyDescent="0.25">
      <c r="A268">
        <v>267</v>
      </c>
      <c r="B268" s="32">
        <f t="shared" si="48"/>
        <v>0</v>
      </c>
      <c r="C268" s="32">
        <f t="shared" si="49"/>
        <v>0</v>
      </c>
      <c r="D268" s="32" t="str">
        <f t="shared" si="53"/>
        <v>No Gs</v>
      </c>
      <c r="E268" s="32">
        <f t="shared" si="57"/>
        <v>0</v>
      </c>
      <c r="F268" s="32" t="str">
        <f t="shared" si="58"/>
        <v>No Gs</v>
      </c>
      <c r="G268" s="32" t="str">
        <f t="shared" si="59"/>
        <v>No Gs</v>
      </c>
      <c r="H268" s="32" t="str">
        <f t="shared" si="50"/>
        <v>Gs is needed</v>
      </c>
      <c r="I268" s="32" t="str">
        <f t="shared" si="51"/>
        <v>Gs is needed</v>
      </c>
      <c r="J268" s="32" t="str">
        <f t="shared" si="52"/>
        <v>Gs is needed</v>
      </c>
      <c r="K268" s="32" t="str">
        <f t="shared" si="54"/>
        <v>Need Max and Min</v>
      </c>
      <c r="L268" s="32" t="str">
        <f t="shared" si="55"/>
        <v>Need Max and Min</v>
      </c>
      <c r="M268" s="32" t="str">
        <f t="shared" si="56"/>
        <v>Fail</v>
      </c>
      <c r="N268" s="32"/>
      <c r="O268" s="31">
        <f>'mnt Data'!A271</f>
        <v>0</v>
      </c>
      <c r="P268" s="31">
        <f>'mnt Data'!B271</f>
        <v>0</v>
      </c>
      <c r="Q268" s="31">
        <f>'mnt Data'!C271</f>
        <v>0</v>
      </c>
      <c r="R268" s="31">
        <f>'mnt Data'!D271</f>
        <v>0</v>
      </c>
      <c r="S268" s="31">
        <f>'mnt Data'!E271</f>
        <v>0</v>
      </c>
      <c r="T268" s="31">
        <f>'mnt Data'!F271</f>
        <v>0</v>
      </c>
      <c r="U268" s="31">
        <f>'mnt Data'!G271</f>
        <v>0</v>
      </c>
      <c r="V268" s="31">
        <f>'mnt Data'!H271</f>
        <v>0</v>
      </c>
      <c r="W268" s="31">
        <f>'mnt Data'!I271</f>
        <v>0</v>
      </c>
      <c r="X268" s="31">
        <f>'mnt Data'!J271</f>
        <v>0</v>
      </c>
      <c r="Y268" s="31">
        <f>'mnt Data'!K271</f>
        <v>0</v>
      </c>
      <c r="Z268" s="31">
        <f>'mnt Data'!L271</f>
        <v>0</v>
      </c>
      <c r="AA268" s="31">
        <f>'mnt Data'!M271</f>
        <v>0</v>
      </c>
      <c r="AB268" s="31">
        <f>'mnt Data'!N271</f>
        <v>0</v>
      </c>
      <c r="AC268" s="31">
        <f>'mnt Data'!O271</f>
        <v>0</v>
      </c>
      <c r="AD268" s="31">
        <f>'mnt Data'!P271</f>
        <v>0</v>
      </c>
      <c r="AE268" s="31">
        <f>'mnt Data'!Q271</f>
        <v>0</v>
      </c>
      <c r="AF268" s="31">
        <f>'mnt Data'!R271</f>
        <v>0</v>
      </c>
      <c r="AG268" s="31">
        <f>'mnt Data'!S271</f>
        <v>0</v>
      </c>
      <c r="AH268" s="31">
        <f>'mnt Data'!T271</f>
        <v>0</v>
      </c>
      <c r="AI268" s="31">
        <f>'mnt Data'!U271</f>
        <v>0</v>
      </c>
      <c r="AJ268" s="31">
        <f>'mnt Data'!V271</f>
        <v>0</v>
      </c>
      <c r="AK268" s="31">
        <f>'mnt Data'!W271</f>
        <v>0</v>
      </c>
      <c r="AL268" s="31">
        <f>'mnt Data'!X271</f>
        <v>0</v>
      </c>
      <c r="AM268" s="31">
        <f>'mnt Data'!Y271</f>
        <v>0</v>
      </c>
      <c r="AN268" s="31">
        <f>'mnt Data'!Z271</f>
        <v>0</v>
      </c>
      <c r="AO268" s="31">
        <f>'mnt Data'!AA271</f>
        <v>0</v>
      </c>
      <c r="AP268" s="31">
        <f>'mnt Data'!AB271</f>
        <v>0</v>
      </c>
      <c r="AQ268" s="31">
        <f>'mnt Data'!AC271</f>
        <v>0</v>
      </c>
      <c r="AR268" s="31">
        <f>'mnt Data'!AD271</f>
        <v>0</v>
      </c>
      <c r="AS268" s="31">
        <f>'mnt Data'!AE271</f>
        <v>0</v>
      </c>
      <c r="AT268" s="31">
        <f>'mnt Data'!AF271</f>
        <v>0</v>
      </c>
      <c r="AU268" s="31">
        <f>'mnt Data'!AG271</f>
        <v>0</v>
      </c>
      <c r="AV268" s="31">
        <f>'mnt Data'!AH271</f>
        <v>0</v>
      </c>
      <c r="AW268" s="31">
        <f>'mnt Data'!AI271</f>
        <v>0</v>
      </c>
      <c r="AX268" s="31">
        <f>'mnt Data'!AJ271</f>
        <v>0</v>
      </c>
      <c r="AY268" s="31">
        <f>'mnt Data'!AK271</f>
        <v>0</v>
      </c>
    </row>
    <row r="269" spans="1:51" x14ac:dyDescent="0.25">
      <c r="A269">
        <v>268</v>
      </c>
      <c r="B269" s="32">
        <f t="shared" si="48"/>
        <v>0</v>
      </c>
      <c r="C269" s="32">
        <f t="shared" si="49"/>
        <v>0</v>
      </c>
      <c r="D269" s="32" t="str">
        <f t="shared" si="53"/>
        <v>No Gs</v>
      </c>
      <c r="E269" s="32">
        <f t="shared" si="57"/>
        <v>0</v>
      </c>
      <c r="F269" s="32" t="str">
        <f t="shared" si="58"/>
        <v>No Gs</v>
      </c>
      <c r="G269" s="32" t="str">
        <f t="shared" si="59"/>
        <v>No Gs</v>
      </c>
      <c r="H269" s="32" t="str">
        <f t="shared" si="50"/>
        <v>Gs is needed</v>
      </c>
      <c r="I269" s="32" t="str">
        <f t="shared" si="51"/>
        <v>Gs is needed</v>
      </c>
      <c r="J269" s="32" t="str">
        <f t="shared" si="52"/>
        <v>Gs is needed</v>
      </c>
      <c r="K269" s="32" t="str">
        <f t="shared" si="54"/>
        <v>Need Max and Min</v>
      </c>
      <c r="L269" s="32" t="str">
        <f t="shared" si="55"/>
        <v>Need Max and Min</v>
      </c>
      <c r="M269" s="32" t="str">
        <f t="shared" si="56"/>
        <v>Fail</v>
      </c>
      <c r="N269" s="32"/>
      <c r="O269" s="31">
        <f>'mnt Data'!A272</f>
        <v>0</v>
      </c>
      <c r="P269" s="31">
        <f>'mnt Data'!B272</f>
        <v>0</v>
      </c>
      <c r="Q269" s="31">
        <f>'mnt Data'!C272</f>
        <v>0</v>
      </c>
      <c r="R269" s="31">
        <f>'mnt Data'!D272</f>
        <v>0</v>
      </c>
      <c r="S269" s="31">
        <f>'mnt Data'!E272</f>
        <v>0</v>
      </c>
      <c r="T269" s="31">
        <f>'mnt Data'!F272</f>
        <v>0</v>
      </c>
      <c r="U269" s="31">
        <f>'mnt Data'!G272</f>
        <v>0</v>
      </c>
      <c r="V269" s="31">
        <f>'mnt Data'!H272</f>
        <v>0</v>
      </c>
      <c r="W269" s="31">
        <f>'mnt Data'!I272</f>
        <v>0</v>
      </c>
      <c r="X269" s="31">
        <f>'mnt Data'!J272</f>
        <v>0</v>
      </c>
      <c r="Y269" s="31">
        <f>'mnt Data'!K272</f>
        <v>0</v>
      </c>
      <c r="Z269" s="31">
        <f>'mnt Data'!L272</f>
        <v>0</v>
      </c>
      <c r="AA269" s="31">
        <f>'mnt Data'!M272</f>
        <v>0</v>
      </c>
      <c r="AB269" s="31">
        <f>'mnt Data'!N272</f>
        <v>0</v>
      </c>
      <c r="AC269" s="31">
        <f>'mnt Data'!O272</f>
        <v>0</v>
      </c>
      <c r="AD269" s="31">
        <f>'mnt Data'!P272</f>
        <v>0</v>
      </c>
      <c r="AE269" s="31">
        <f>'mnt Data'!Q272</f>
        <v>0</v>
      </c>
      <c r="AF269" s="31">
        <f>'mnt Data'!R272</f>
        <v>0</v>
      </c>
      <c r="AG269" s="31">
        <f>'mnt Data'!S272</f>
        <v>0</v>
      </c>
      <c r="AH269" s="31">
        <f>'mnt Data'!T272</f>
        <v>0</v>
      </c>
      <c r="AI269" s="31">
        <f>'mnt Data'!U272</f>
        <v>0</v>
      </c>
      <c r="AJ269" s="31">
        <f>'mnt Data'!V272</f>
        <v>0</v>
      </c>
      <c r="AK269" s="31">
        <f>'mnt Data'!W272</f>
        <v>0</v>
      </c>
      <c r="AL269" s="31">
        <f>'mnt Data'!X272</f>
        <v>0</v>
      </c>
      <c r="AM269" s="31">
        <f>'mnt Data'!Y272</f>
        <v>0</v>
      </c>
      <c r="AN269" s="31">
        <f>'mnt Data'!Z272</f>
        <v>0</v>
      </c>
      <c r="AO269" s="31">
        <f>'mnt Data'!AA272</f>
        <v>0</v>
      </c>
      <c r="AP269" s="31">
        <f>'mnt Data'!AB272</f>
        <v>0</v>
      </c>
      <c r="AQ269" s="31">
        <f>'mnt Data'!AC272</f>
        <v>0</v>
      </c>
      <c r="AR269" s="31">
        <f>'mnt Data'!AD272</f>
        <v>0</v>
      </c>
      <c r="AS269" s="31">
        <f>'mnt Data'!AE272</f>
        <v>0</v>
      </c>
      <c r="AT269" s="31">
        <f>'mnt Data'!AF272</f>
        <v>0</v>
      </c>
      <c r="AU269" s="31">
        <f>'mnt Data'!AG272</f>
        <v>0</v>
      </c>
      <c r="AV269" s="31">
        <f>'mnt Data'!AH272</f>
        <v>0</v>
      </c>
      <c r="AW269" s="31">
        <f>'mnt Data'!AI272</f>
        <v>0</v>
      </c>
      <c r="AX269" s="31">
        <f>'mnt Data'!AJ272</f>
        <v>0</v>
      </c>
      <c r="AY269" s="31">
        <f>'mnt Data'!AK272</f>
        <v>0</v>
      </c>
    </row>
    <row r="270" spans="1:51" x14ac:dyDescent="0.25">
      <c r="A270">
        <v>269</v>
      </c>
      <c r="B270" s="32">
        <f t="shared" si="48"/>
        <v>0</v>
      </c>
      <c r="C270" s="32">
        <f t="shared" si="49"/>
        <v>0</v>
      </c>
      <c r="D270" s="32" t="str">
        <f t="shared" si="53"/>
        <v>No Gs</v>
      </c>
      <c r="E270" s="32">
        <f t="shared" si="57"/>
        <v>0</v>
      </c>
      <c r="F270" s="32" t="str">
        <f t="shared" si="58"/>
        <v>No Gs</v>
      </c>
      <c r="G270" s="32" t="str">
        <f t="shared" si="59"/>
        <v>No Gs</v>
      </c>
      <c r="H270" s="32" t="str">
        <f t="shared" si="50"/>
        <v>Gs is needed</v>
      </c>
      <c r="I270" s="32" t="str">
        <f t="shared" si="51"/>
        <v>Gs is needed</v>
      </c>
      <c r="J270" s="32" t="str">
        <f t="shared" si="52"/>
        <v>Gs is needed</v>
      </c>
      <c r="K270" s="32" t="str">
        <f t="shared" si="54"/>
        <v>Need Max and Min</v>
      </c>
      <c r="L270" s="32" t="str">
        <f t="shared" si="55"/>
        <v>Need Max and Min</v>
      </c>
      <c r="M270" s="32" t="str">
        <f t="shared" si="56"/>
        <v>Fail</v>
      </c>
      <c r="N270" s="32"/>
      <c r="O270" s="31">
        <f>'mnt Data'!A273</f>
        <v>0</v>
      </c>
      <c r="P270" s="31">
        <f>'mnt Data'!B273</f>
        <v>0</v>
      </c>
      <c r="Q270" s="31">
        <f>'mnt Data'!C273</f>
        <v>0</v>
      </c>
      <c r="R270" s="31">
        <f>'mnt Data'!D273</f>
        <v>0</v>
      </c>
      <c r="S270" s="31">
        <f>'mnt Data'!E273</f>
        <v>0</v>
      </c>
      <c r="T270" s="31">
        <f>'mnt Data'!F273</f>
        <v>0</v>
      </c>
      <c r="U270" s="31">
        <f>'mnt Data'!G273</f>
        <v>0</v>
      </c>
      <c r="V270" s="31">
        <f>'mnt Data'!H273</f>
        <v>0</v>
      </c>
      <c r="W270" s="31">
        <f>'mnt Data'!I273</f>
        <v>0</v>
      </c>
      <c r="X270" s="31">
        <f>'mnt Data'!J273</f>
        <v>0</v>
      </c>
      <c r="Y270" s="31">
        <f>'mnt Data'!K273</f>
        <v>0</v>
      </c>
      <c r="Z270" s="31">
        <f>'mnt Data'!L273</f>
        <v>0</v>
      </c>
      <c r="AA270" s="31">
        <f>'mnt Data'!M273</f>
        <v>0</v>
      </c>
      <c r="AB270" s="31">
        <f>'mnt Data'!N273</f>
        <v>0</v>
      </c>
      <c r="AC270" s="31">
        <f>'mnt Data'!O273</f>
        <v>0</v>
      </c>
      <c r="AD270" s="31">
        <f>'mnt Data'!P273</f>
        <v>0</v>
      </c>
      <c r="AE270" s="31">
        <f>'mnt Data'!Q273</f>
        <v>0</v>
      </c>
      <c r="AF270" s="31">
        <f>'mnt Data'!R273</f>
        <v>0</v>
      </c>
      <c r="AG270" s="31">
        <f>'mnt Data'!S273</f>
        <v>0</v>
      </c>
      <c r="AH270" s="31">
        <f>'mnt Data'!T273</f>
        <v>0</v>
      </c>
      <c r="AI270" s="31">
        <f>'mnt Data'!U273</f>
        <v>0</v>
      </c>
      <c r="AJ270" s="31">
        <f>'mnt Data'!V273</f>
        <v>0</v>
      </c>
      <c r="AK270" s="31">
        <f>'mnt Data'!W273</f>
        <v>0</v>
      </c>
      <c r="AL270" s="31">
        <f>'mnt Data'!X273</f>
        <v>0</v>
      </c>
      <c r="AM270" s="31">
        <f>'mnt Data'!Y273</f>
        <v>0</v>
      </c>
      <c r="AN270" s="31">
        <f>'mnt Data'!Z273</f>
        <v>0</v>
      </c>
      <c r="AO270" s="31">
        <f>'mnt Data'!AA273</f>
        <v>0</v>
      </c>
      <c r="AP270" s="31">
        <f>'mnt Data'!AB273</f>
        <v>0</v>
      </c>
      <c r="AQ270" s="31">
        <f>'mnt Data'!AC273</f>
        <v>0</v>
      </c>
      <c r="AR270" s="31">
        <f>'mnt Data'!AD273</f>
        <v>0</v>
      </c>
      <c r="AS270" s="31">
        <f>'mnt Data'!AE273</f>
        <v>0</v>
      </c>
      <c r="AT270" s="31">
        <f>'mnt Data'!AF273</f>
        <v>0</v>
      </c>
      <c r="AU270" s="31">
        <f>'mnt Data'!AG273</f>
        <v>0</v>
      </c>
      <c r="AV270" s="31">
        <f>'mnt Data'!AH273</f>
        <v>0</v>
      </c>
      <c r="AW270" s="31">
        <f>'mnt Data'!AI273</f>
        <v>0</v>
      </c>
      <c r="AX270" s="31">
        <f>'mnt Data'!AJ273</f>
        <v>0</v>
      </c>
      <c r="AY270" s="31">
        <f>'mnt Data'!AK273</f>
        <v>0</v>
      </c>
    </row>
    <row r="271" spans="1:51" x14ac:dyDescent="0.25">
      <c r="A271">
        <v>270</v>
      </c>
      <c r="B271" s="32">
        <f t="shared" si="48"/>
        <v>0</v>
      </c>
      <c r="C271" s="32">
        <f t="shared" si="49"/>
        <v>0</v>
      </c>
      <c r="D271" s="32" t="str">
        <f t="shared" si="53"/>
        <v>No Gs</v>
      </c>
      <c r="E271" s="32">
        <f t="shared" si="57"/>
        <v>0</v>
      </c>
      <c r="F271" s="32" t="str">
        <f t="shared" si="58"/>
        <v>No Gs</v>
      </c>
      <c r="G271" s="32" t="str">
        <f t="shared" si="59"/>
        <v>No Gs</v>
      </c>
      <c r="H271" s="32" t="str">
        <f t="shared" si="50"/>
        <v>Gs is needed</v>
      </c>
      <c r="I271" s="32" t="str">
        <f t="shared" si="51"/>
        <v>Gs is needed</v>
      </c>
      <c r="J271" s="32" t="str">
        <f t="shared" si="52"/>
        <v>Gs is needed</v>
      </c>
      <c r="K271" s="32" t="str">
        <f t="shared" si="54"/>
        <v>Need Max and Min</v>
      </c>
      <c r="L271" s="32" t="str">
        <f t="shared" si="55"/>
        <v>Need Max and Min</v>
      </c>
      <c r="M271" s="32" t="str">
        <f t="shared" si="56"/>
        <v>Fail</v>
      </c>
      <c r="N271" s="32"/>
      <c r="O271" s="31">
        <f>'mnt Data'!A274</f>
        <v>0</v>
      </c>
      <c r="P271" s="31">
        <f>'mnt Data'!B274</f>
        <v>0</v>
      </c>
      <c r="Q271" s="31">
        <f>'mnt Data'!C274</f>
        <v>0</v>
      </c>
      <c r="R271" s="31">
        <f>'mnt Data'!D274</f>
        <v>0</v>
      </c>
      <c r="S271" s="31">
        <f>'mnt Data'!E274</f>
        <v>0</v>
      </c>
      <c r="T271" s="31">
        <f>'mnt Data'!F274</f>
        <v>0</v>
      </c>
      <c r="U271" s="31">
        <f>'mnt Data'!G274</f>
        <v>0</v>
      </c>
      <c r="V271" s="31">
        <f>'mnt Data'!H274</f>
        <v>0</v>
      </c>
      <c r="W271" s="31">
        <f>'mnt Data'!I274</f>
        <v>0</v>
      </c>
      <c r="X271" s="31">
        <f>'mnt Data'!J274</f>
        <v>0</v>
      </c>
      <c r="Y271" s="31">
        <f>'mnt Data'!K274</f>
        <v>0</v>
      </c>
      <c r="Z271" s="31">
        <f>'mnt Data'!L274</f>
        <v>0</v>
      </c>
      <c r="AA271" s="31">
        <f>'mnt Data'!M274</f>
        <v>0</v>
      </c>
      <c r="AB271" s="31">
        <f>'mnt Data'!N274</f>
        <v>0</v>
      </c>
      <c r="AC271" s="31">
        <f>'mnt Data'!O274</f>
        <v>0</v>
      </c>
      <c r="AD271" s="31">
        <f>'mnt Data'!P274</f>
        <v>0</v>
      </c>
      <c r="AE271" s="31">
        <f>'mnt Data'!Q274</f>
        <v>0</v>
      </c>
      <c r="AF271" s="31">
        <f>'mnt Data'!R274</f>
        <v>0</v>
      </c>
      <c r="AG271" s="31">
        <f>'mnt Data'!S274</f>
        <v>0</v>
      </c>
      <c r="AH271" s="31">
        <f>'mnt Data'!T274</f>
        <v>0</v>
      </c>
      <c r="AI271" s="31">
        <f>'mnt Data'!U274</f>
        <v>0</v>
      </c>
      <c r="AJ271" s="31">
        <f>'mnt Data'!V274</f>
        <v>0</v>
      </c>
      <c r="AK271" s="31">
        <f>'mnt Data'!W274</f>
        <v>0</v>
      </c>
      <c r="AL271" s="31">
        <f>'mnt Data'!X274</f>
        <v>0</v>
      </c>
      <c r="AM271" s="31">
        <f>'mnt Data'!Y274</f>
        <v>0</v>
      </c>
      <c r="AN271" s="31">
        <f>'mnt Data'!Z274</f>
        <v>0</v>
      </c>
      <c r="AO271" s="31">
        <f>'mnt Data'!AA274</f>
        <v>0</v>
      </c>
      <c r="AP271" s="31">
        <f>'mnt Data'!AB274</f>
        <v>0</v>
      </c>
      <c r="AQ271" s="31">
        <f>'mnt Data'!AC274</f>
        <v>0</v>
      </c>
      <c r="AR271" s="31">
        <f>'mnt Data'!AD274</f>
        <v>0</v>
      </c>
      <c r="AS271" s="31">
        <f>'mnt Data'!AE274</f>
        <v>0</v>
      </c>
      <c r="AT271" s="31">
        <f>'mnt Data'!AF274</f>
        <v>0</v>
      </c>
      <c r="AU271" s="31">
        <f>'mnt Data'!AG274</f>
        <v>0</v>
      </c>
      <c r="AV271" s="31">
        <f>'mnt Data'!AH274</f>
        <v>0</v>
      </c>
      <c r="AW271" s="31">
        <f>'mnt Data'!AI274</f>
        <v>0</v>
      </c>
      <c r="AX271" s="31">
        <f>'mnt Data'!AJ274</f>
        <v>0</v>
      </c>
      <c r="AY271" s="31">
        <f>'mnt Data'!AK274</f>
        <v>0</v>
      </c>
    </row>
    <row r="272" spans="1:51" x14ac:dyDescent="0.25">
      <c r="A272">
        <v>271</v>
      </c>
      <c r="B272" s="32">
        <f t="shared" si="48"/>
        <v>0</v>
      </c>
      <c r="C272" s="32">
        <f t="shared" si="49"/>
        <v>0</v>
      </c>
      <c r="D272" s="32" t="str">
        <f t="shared" si="53"/>
        <v>No Gs</v>
      </c>
      <c r="E272" s="32">
        <f t="shared" si="57"/>
        <v>0</v>
      </c>
      <c r="F272" s="32" t="str">
        <f t="shared" si="58"/>
        <v>No Gs</v>
      </c>
      <c r="G272" s="32" t="str">
        <f t="shared" si="59"/>
        <v>No Gs</v>
      </c>
      <c r="H272" s="32" t="str">
        <f t="shared" si="50"/>
        <v>Gs is needed</v>
      </c>
      <c r="I272" s="32" t="str">
        <f t="shared" si="51"/>
        <v>Gs is needed</v>
      </c>
      <c r="J272" s="32" t="str">
        <f t="shared" si="52"/>
        <v>Gs is needed</v>
      </c>
      <c r="K272" s="32" t="str">
        <f t="shared" si="54"/>
        <v>Need Max and Min</v>
      </c>
      <c r="L272" s="32" t="str">
        <f t="shared" si="55"/>
        <v>Need Max and Min</v>
      </c>
      <c r="M272" s="32" t="str">
        <f t="shared" si="56"/>
        <v>Fail</v>
      </c>
      <c r="N272" s="32"/>
      <c r="O272" s="31">
        <f>'mnt Data'!A275</f>
        <v>0</v>
      </c>
      <c r="P272" s="31">
        <f>'mnt Data'!B275</f>
        <v>0</v>
      </c>
      <c r="Q272" s="31">
        <f>'mnt Data'!C275</f>
        <v>0</v>
      </c>
      <c r="R272" s="31">
        <f>'mnt Data'!D275</f>
        <v>0</v>
      </c>
      <c r="S272" s="31">
        <f>'mnt Data'!E275</f>
        <v>0</v>
      </c>
      <c r="T272" s="31">
        <f>'mnt Data'!F275</f>
        <v>0</v>
      </c>
      <c r="U272" s="31">
        <f>'mnt Data'!G275</f>
        <v>0</v>
      </c>
      <c r="V272" s="31">
        <f>'mnt Data'!H275</f>
        <v>0</v>
      </c>
      <c r="W272" s="31">
        <f>'mnt Data'!I275</f>
        <v>0</v>
      </c>
      <c r="X272" s="31">
        <f>'mnt Data'!J275</f>
        <v>0</v>
      </c>
      <c r="Y272" s="31">
        <f>'mnt Data'!K275</f>
        <v>0</v>
      </c>
      <c r="Z272" s="31">
        <f>'mnt Data'!L275</f>
        <v>0</v>
      </c>
      <c r="AA272" s="31">
        <f>'mnt Data'!M275</f>
        <v>0</v>
      </c>
      <c r="AB272" s="31">
        <f>'mnt Data'!N275</f>
        <v>0</v>
      </c>
      <c r="AC272" s="31">
        <f>'mnt Data'!O275</f>
        <v>0</v>
      </c>
      <c r="AD272" s="31">
        <f>'mnt Data'!P275</f>
        <v>0</v>
      </c>
      <c r="AE272" s="31">
        <f>'mnt Data'!Q275</f>
        <v>0</v>
      </c>
      <c r="AF272" s="31">
        <f>'mnt Data'!R275</f>
        <v>0</v>
      </c>
      <c r="AG272" s="31">
        <f>'mnt Data'!S275</f>
        <v>0</v>
      </c>
      <c r="AH272" s="31">
        <f>'mnt Data'!T275</f>
        <v>0</v>
      </c>
      <c r="AI272" s="31">
        <f>'mnt Data'!U275</f>
        <v>0</v>
      </c>
      <c r="AJ272" s="31">
        <f>'mnt Data'!V275</f>
        <v>0</v>
      </c>
      <c r="AK272" s="31">
        <f>'mnt Data'!W275</f>
        <v>0</v>
      </c>
      <c r="AL272" s="31">
        <f>'mnt Data'!X275</f>
        <v>0</v>
      </c>
      <c r="AM272" s="31">
        <f>'mnt Data'!Y275</f>
        <v>0</v>
      </c>
      <c r="AN272" s="31">
        <f>'mnt Data'!Z275</f>
        <v>0</v>
      </c>
      <c r="AO272" s="31">
        <f>'mnt Data'!AA275</f>
        <v>0</v>
      </c>
      <c r="AP272" s="31">
        <f>'mnt Data'!AB275</f>
        <v>0</v>
      </c>
      <c r="AQ272" s="31">
        <f>'mnt Data'!AC275</f>
        <v>0</v>
      </c>
      <c r="AR272" s="31">
        <f>'mnt Data'!AD275</f>
        <v>0</v>
      </c>
      <c r="AS272" s="31">
        <f>'mnt Data'!AE275</f>
        <v>0</v>
      </c>
      <c r="AT272" s="31">
        <f>'mnt Data'!AF275</f>
        <v>0</v>
      </c>
      <c r="AU272" s="31">
        <f>'mnt Data'!AG275</f>
        <v>0</v>
      </c>
      <c r="AV272" s="31">
        <f>'mnt Data'!AH275</f>
        <v>0</v>
      </c>
      <c r="AW272" s="31">
        <f>'mnt Data'!AI275</f>
        <v>0</v>
      </c>
      <c r="AX272" s="31">
        <f>'mnt Data'!AJ275</f>
        <v>0</v>
      </c>
      <c r="AY272" s="31">
        <f>'mnt Data'!AK275</f>
        <v>0</v>
      </c>
    </row>
    <row r="273" spans="1:51" x14ac:dyDescent="0.25">
      <c r="A273">
        <v>272</v>
      </c>
      <c r="B273" s="32">
        <f t="shared" si="48"/>
        <v>0</v>
      </c>
      <c r="C273" s="32">
        <f t="shared" si="49"/>
        <v>0</v>
      </c>
      <c r="D273" s="32" t="str">
        <f t="shared" si="53"/>
        <v>No Gs</v>
      </c>
      <c r="E273" s="32">
        <f t="shared" si="57"/>
        <v>0</v>
      </c>
      <c r="F273" s="32" t="str">
        <f t="shared" si="58"/>
        <v>No Gs</v>
      </c>
      <c r="G273" s="32" t="str">
        <f t="shared" si="59"/>
        <v>No Gs</v>
      </c>
      <c r="H273" s="32" t="str">
        <f t="shared" si="50"/>
        <v>Gs is needed</v>
      </c>
      <c r="I273" s="32" t="str">
        <f t="shared" si="51"/>
        <v>Gs is needed</v>
      </c>
      <c r="J273" s="32" t="str">
        <f t="shared" si="52"/>
        <v>Gs is needed</v>
      </c>
      <c r="K273" s="32" t="str">
        <f t="shared" si="54"/>
        <v>Need Max and Min</v>
      </c>
      <c r="L273" s="32" t="str">
        <f t="shared" si="55"/>
        <v>Need Max and Min</v>
      </c>
      <c r="M273" s="32" t="str">
        <f t="shared" si="56"/>
        <v>Fail</v>
      </c>
      <c r="N273" s="32"/>
      <c r="O273" s="31">
        <f>'mnt Data'!A276</f>
        <v>0</v>
      </c>
      <c r="P273" s="31">
        <f>'mnt Data'!B276</f>
        <v>0</v>
      </c>
      <c r="Q273" s="31">
        <f>'mnt Data'!C276</f>
        <v>0</v>
      </c>
      <c r="R273" s="31">
        <f>'mnt Data'!D276</f>
        <v>0</v>
      </c>
      <c r="S273" s="31">
        <f>'mnt Data'!E276</f>
        <v>0</v>
      </c>
      <c r="T273" s="31">
        <f>'mnt Data'!F276</f>
        <v>0</v>
      </c>
      <c r="U273" s="31">
        <f>'mnt Data'!G276</f>
        <v>0</v>
      </c>
      <c r="V273" s="31">
        <f>'mnt Data'!H276</f>
        <v>0</v>
      </c>
      <c r="W273" s="31">
        <f>'mnt Data'!I276</f>
        <v>0</v>
      </c>
      <c r="X273" s="31">
        <f>'mnt Data'!J276</f>
        <v>0</v>
      </c>
      <c r="Y273" s="31">
        <f>'mnt Data'!K276</f>
        <v>0</v>
      </c>
      <c r="Z273" s="31">
        <f>'mnt Data'!L276</f>
        <v>0</v>
      </c>
      <c r="AA273" s="31">
        <f>'mnt Data'!M276</f>
        <v>0</v>
      </c>
      <c r="AB273" s="31">
        <f>'mnt Data'!N276</f>
        <v>0</v>
      </c>
      <c r="AC273" s="31">
        <f>'mnt Data'!O276</f>
        <v>0</v>
      </c>
      <c r="AD273" s="31">
        <f>'mnt Data'!P276</f>
        <v>0</v>
      </c>
      <c r="AE273" s="31">
        <f>'mnt Data'!Q276</f>
        <v>0</v>
      </c>
      <c r="AF273" s="31">
        <f>'mnt Data'!R276</f>
        <v>0</v>
      </c>
      <c r="AG273" s="31">
        <f>'mnt Data'!S276</f>
        <v>0</v>
      </c>
      <c r="AH273" s="31">
        <f>'mnt Data'!T276</f>
        <v>0</v>
      </c>
      <c r="AI273" s="31">
        <f>'mnt Data'!U276</f>
        <v>0</v>
      </c>
      <c r="AJ273" s="31">
        <f>'mnt Data'!V276</f>
        <v>0</v>
      </c>
      <c r="AK273" s="31">
        <f>'mnt Data'!W276</f>
        <v>0</v>
      </c>
      <c r="AL273" s="31">
        <f>'mnt Data'!X276</f>
        <v>0</v>
      </c>
      <c r="AM273" s="31">
        <f>'mnt Data'!Y276</f>
        <v>0</v>
      </c>
      <c r="AN273" s="31">
        <f>'mnt Data'!Z276</f>
        <v>0</v>
      </c>
      <c r="AO273" s="31">
        <f>'mnt Data'!AA276</f>
        <v>0</v>
      </c>
      <c r="AP273" s="31">
        <f>'mnt Data'!AB276</f>
        <v>0</v>
      </c>
      <c r="AQ273" s="31">
        <f>'mnt Data'!AC276</f>
        <v>0</v>
      </c>
      <c r="AR273" s="31">
        <f>'mnt Data'!AD276</f>
        <v>0</v>
      </c>
      <c r="AS273" s="31">
        <f>'mnt Data'!AE276</f>
        <v>0</v>
      </c>
      <c r="AT273" s="31">
        <f>'mnt Data'!AF276</f>
        <v>0</v>
      </c>
      <c r="AU273" s="31">
        <f>'mnt Data'!AG276</f>
        <v>0</v>
      </c>
      <c r="AV273" s="31">
        <f>'mnt Data'!AH276</f>
        <v>0</v>
      </c>
      <c r="AW273" s="31">
        <f>'mnt Data'!AI276</f>
        <v>0</v>
      </c>
      <c r="AX273" s="31">
        <f>'mnt Data'!AJ276</f>
        <v>0</v>
      </c>
      <c r="AY273" s="31">
        <f>'mnt Data'!AK276</f>
        <v>0</v>
      </c>
    </row>
    <row r="274" spans="1:51" x14ac:dyDescent="0.25">
      <c r="A274">
        <v>273</v>
      </c>
      <c r="B274" s="32">
        <f t="shared" si="48"/>
        <v>0</v>
      </c>
      <c r="C274" s="32">
        <f t="shared" si="49"/>
        <v>0</v>
      </c>
      <c r="D274" s="32" t="str">
        <f t="shared" si="53"/>
        <v>No Gs</v>
      </c>
      <c r="E274" s="32">
        <f t="shared" si="57"/>
        <v>0</v>
      </c>
      <c r="F274" s="32" t="str">
        <f t="shared" si="58"/>
        <v>No Gs</v>
      </c>
      <c r="G274" s="32" t="str">
        <f t="shared" si="59"/>
        <v>No Gs</v>
      </c>
      <c r="H274" s="32" t="str">
        <f t="shared" si="50"/>
        <v>Gs is needed</v>
      </c>
      <c r="I274" s="32" t="str">
        <f t="shared" si="51"/>
        <v>Gs is needed</v>
      </c>
      <c r="J274" s="32" t="str">
        <f t="shared" si="52"/>
        <v>Gs is needed</v>
      </c>
      <c r="K274" s="32" t="str">
        <f t="shared" si="54"/>
        <v>Need Max and Min</v>
      </c>
      <c r="L274" s="32" t="str">
        <f t="shared" si="55"/>
        <v>Need Max and Min</v>
      </c>
      <c r="M274" s="32" t="str">
        <f t="shared" si="56"/>
        <v>Fail</v>
      </c>
      <c r="N274" s="32"/>
      <c r="O274" s="31">
        <f>'mnt Data'!A277</f>
        <v>0</v>
      </c>
      <c r="P274" s="31">
        <f>'mnt Data'!B277</f>
        <v>0</v>
      </c>
      <c r="Q274" s="31">
        <f>'mnt Data'!C277</f>
        <v>0</v>
      </c>
      <c r="R274" s="31">
        <f>'mnt Data'!D277</f>
        <v>0</v>
      </c>
      <c r="S274" s="31">
        <f>'mnt Data'!E277</f>
        <v>0</v>
      </c>
      <c r="T274" s="31">
        <f>'mnt Data'!F277</f>
        <v>0</v>
      </c>
      <c r="U274" s="31">
        <f>'mnt Data'!G277</f>
        <v>0</v>
      </c>
      <c r="V274" s="31">
        <f>'mnt Data'!H277</f>
        <v>0</v>
      </c>
      <c r="W274" s="31">
        <f>'mnt Data'!I277</f>
        <v>0</v>
      </c>
      <c r="X274" s="31">
        <f>'mnt Data'!J277</f>
        <v>0</v>
      </c>
      <c r="Y274" s="31">
        <f>'mnt Data'!K277</f>
        <v>0</v>
      </c>
      <c r="Z274" s="31">
        <f>'mnt Data'!L277</f>
        <v>0</v>
      </c>
      <c r="AA274" s="31">
        <f>'mnt Data'!M277</f>
        <v>0</v>
      </c>
      <c r="AB274" s="31">
        <f>'mnt Data'!N277</f>
        <v>0</v>
      </c>
      <c r="AC274" s="31">
        <f>'mnt Data'!O277</f>
        <v>0</v>
      </c>
      <c r="AD274" s="31">
        <f>'mnt Data'!P277</f>
        <v>0</v>
      </c>
      <c r="AE274" s="31">
        <f>'mnt Data'!Q277</f>
        <v>0</v>
      </c>
      <c r="AF274" s="31">
        <f>'mnt Data'!R277</f>
        <v>0</v>
      </c>
      <c r="AG274" s="31">
        <f>'mnt Data'!S277</f>
        <v>0</v>
      </c>
      <c r="AH274" s="31">
        <f>'mnt Data'!T277</f>
        <v>0</v>
      </c>
      <c r="AI274" s="31">
        <f>'mnt Data'!U277</f>
        <v>0</v>
      </c>
      <c r="AJ274" s="31">
        <f>'mnt Data'!V277</f>
        <v>0</v>
      </c>
      <c r="AK274" s="31">
        <f>'mnt Data'!W277</f>
        <v>0</v>
      </c>
      <c r="AL274" s="31">
        <f>'mnt Data'!X277</f>
        <v>0</v>
      </c>
      <c r="AM274" s="31">
        <f>'mnt Data'!Y277</f>
        <v>0</v>
      </c>
      <c r="AN274" s="31">
        <f>'mnt Data'!Z277</f>
        <v>0</v>
      </c>
      <c r="AO274" s="31">
        <f>'mnt Data'!AA277</f>
        <v>0</v>
      </c>
      <c r="AP274" s="31">
        <f>'mnt Data'!AB277</f>
        <v>0</v>
      </c>
      <c r="AQ274" s="31">
        <f>'mnt Data'!AC277</f>
        <v>0</v>
      </c>
      <c r="AR274" s="31">
        <f>'mnt Data'!AD277</f>
        <v>0</v>
      </c>
      <c r="AS274" s="31">
        <f>'mnt Data'!AE277</f>
        <v>0</v>
      </c>
      <c r="AT274" s="31">
        <f>'mnt Data'!AF277</f>
        <v>0</v>
      </c>
      <c r="AU274" s="31">
        <f>'mnt Data'!AG277</f>
        <v>0</v>
      </c>
      <c r="AV274" s="31">
        <f>'mnt Data'!AH277</f>
        <v>0</v>
      </c>
      <c r="AW274" s="31">
        <f>'mnt Data'!AI277</f>
        <v>0</v>
      </c>
      <c r="AX274" s="31">
        <f>'mnt Data'!AJ277</f>
        <v>0</v>
      </c>
      <c r="AY274" s="31">
        <f>'mnt Data'!AK277</f>
        <v>0</v>
      </c>
    </row>
    <row r="275" spans="1:51" x14ac:dyDescent="0.25">
      <c r="A275">
        <v>274</v>
      </c>
      <c r="B275" s="32">
        <f t="shared" si="48"/>
        <v>0</v>
      </c>
      <c r="C275" s="32">
        <f t="shared" si="49"/>
        <v>0</v>
      </c>
      <c r="D275" s="32" t="str">
        <f t="shared" si="53"/>
        <v>No Gs</v>
      </c>
      <c r="E275" s="32">
        <f t="shared" si="57"/>
        <v>0</v>
      </c>
      <c r="F275" s="32" t="str">
        <f t="shared" si="58"/>
        <v>No Gs</v>
      </c>
      <c r="G275" s="32" t="str">
        <f t="shared" si="59"/>
        <v>No Gs</v>
      </c>
      <c r="H275" s="32" t="str">
        <f t="shared" si="50"/>
        <v>Gs is needed</v>
      </c>
      <c r="I275" s="32" t="str">
        <f t="shared" si="51"/>
        <v>Gs is needed</v>
      </c>
      <c r="J275" s="32" t="str">
        <f t="shared" si="52"/>
        <v>Gs is needed</v>
      </c>
      <c r="K275" s="32" t="str">
        <f t="shared" si="54"/>
        <v>Need Max and Min</v>
      </c>
      <c r="L275" s="32" t="str">
        <f t="shared" si="55"/>
        <v>Need Max and Min</v>
      </c>
      <c r="M275" s="32" t="str">
        <f t="shared" si="56"/>
        <v>Fail</v>
      </c>
      <c r="N275" s="32"/>
      <c r="O275" s="31">
        <f>'mnt Data'!A278</f>
        <v>0</v>
      </c>
      <c r="P275" s="31">
        <f>'mnt Data'!B278</f>
        <v>0</v>
      </c>
      <c r="Q275" s="31">
        <f>'mnt Data'!C278</f>
        <v>0</v>
      </c>
      <c r="R275" s="31">
        <f>'mnt Data'!D278</f>
        <v>0</v>
      </c>
      <c r="S275" s="31">
        <f>'mnt Data'!E278</f>
        <v>0</v>
      </c>
      <c r="T275" s="31">
        <f>'mnt Data'!F278</f>
        <v>0</v>
      </c>
      <c r="U275" s="31">
        <f>'mnt Data'!G278</f>
        <v>0</v>
      </c>
      <c r="V275" s="31">
        <f>'mnt Data'!H278</f>
        <v>0</v>
      </c>
      <c r="W275" s="31">
        <f>'mnt Data'!I278</f>
        <v>0</v>
      </c>
      <c r="X275" s="31">
        <f>'mnt Data'!J278</f>
        <v>0</v>
      </c>
      <c r="Y275" s="31">
        <f>'mnt Data'!K278</f>
        <v>0</v>
      </c>
      <c r="Z275" s="31">
        <f>'mnt Data'!L278</f>
        <v>0</v>
      </c>
      <c r="AA275" s="31">
        <f>'mnt Data'!M278</f>
        <v>0</v>
      </c>
      <c r="AB275" s="31">
        <f>'mnt Data'!N278</f>
        <v>0</v>
      </c>
      <c r="AC275" s="31">
        <f>'mnt Data'!O278</f>
        <v>0</v>
      </c>
      <c r="AD275" s="31">
        <f>'mnt Data'!P278</f>
        <v>0</v>
      </c>
      <c r="AE275" s="31">
        <f>'mnt Data'!Q278</f>
        <v>0</v>
      </c>
      <c r="AF275" s="31">
        <f>'mnt Data'!R278</f>
        <v>0</v>
      </c>
      <c r="AG275" s="31">
        <f>'mnt Data'!S278</f>
        <v>0</v>
      </c>
      <c r="AH275" s="31">
        <f>'mnt Data'!T278</f>
        <v>0</v>
      </c>
      <c r="AI275" s="31">
        <f>'mnt Data'!U278</f>
        <v>0</v>
      </c>
      <c r="AJ275" s="31">
        <f>'mnt Data'!V278</f>
        <v>0</v>
      </c>
      <c r="AK275" s="31">
        <f>'mnt Data'!W278</f>
        <v>0</v>
      </c>
      <c r="AL275" s="31">
        <f>'mnt Data'!X278</f>
        <v>0</v>
      </c>
      <c r="AM275" s="31">
        <f>'mnt Data'!Y278</f>
        <v>0</v>
      </c>
      <c r="AN275" s="31">
        <f>'mnt Data'!Z278</f>
        <v>0</v>
      </c>
      <c r="AO275" s="31">
        <f>'mnt Data'!AA278</f>
        <v>0</v>
      </c>
      <c r="AP275" s="31">
        <f>'mnt Data'!AB278</f>
        <v>0</v>
      </c>
      <c r="AQ275" s="31">
        <f>'mnt Data'!AC278</f>
        <v>0</v>
      </c>
      <c r="AR275" s="31">
        <f>'mnt Data'!AD278</f>
        <v>0</v>
      </c>
      <c r="AS275" s="31">
        <f>'mnt Data'!AE278</f>
        <v>0</v>
      </c>
      <c r="AT275" s="31">
        <f>'mnt Data'!AF278</f>
        <v>0</v>
      </c>
      <c r="AU275" s="31">
        <f>'mnt Data'!AG278</f>
        <v>0</v>
      </c>
      <c r="AV275" s="31">
        <f>'mnt Data'!AH278</f>
        <v>0</v>
      </c>
      <c r="AW275" s="31">
        <f>'mnt Data'!AI278</f>
        <v>0</v>
      </c>
      <c r="AX275" s="31">
        <f>'mnt Data'!AJ278</f>
        <v>0</v>
      </c>
      <c r="AY275" s="31">
        <f>'mnt Data'!AK278</f>
        <v>0</v>
      </c>
    </row>
    <row r="276" spans="1:51" x14ac:dyDescent="0.25">
      <c r="A276">
        <v>275</v>
      </c>
      <c r="B276" s="32">
        <f t="shared" si="48"/>
        <v>0</v>
      </c>
      <c r="C276" s="32">
        <f t="shared" si="49"/>
        <v>0</v>
      </c>
      <c r="D276" s="32" t="str">
        <f t="shared" si="53"/>
        <v>No Gs</v>
      </c>
      <c r="E276" s="32">
        <f t="shared" si="57"/>
        <v>0</v>
      </c>
      <c r="F276" s="32" t="str">
        <f t="shared" si="58"/>
        <v>No Gs</v>
      </c>
      <c r="G276" s="32" t="str">
        <f t="shared" si="59"/>
        <v>No Gs</v>
      </c>
      <c r="H276" s="32" t="str">
        <f t="shared" si="50"/>
        <v>Gs is needed</v>
      </c>
      <c r="I276" s="32" t="str">
        <f t="shared" si="51"/>
        <v>Gs is needed</v>
      </c>
      <c r="J276" s="32" t="str">
        <f t="shared" si="52"/>
        <v>Gs is needed</v>
      </c>
      <c r="K276" s="32" t="str">
        <f t="shared" si="54"/>
        <v>Need Max and Min</v>
      </c>
      <c r="L276" s="32" t="str">
        <f t="shared" si="55"/>
        <v>Need Max and Min</v>
      </c>
      <c r="M276" s="32" t="str">
        <f t="shared" si="56"/>
        <v>Fail</v>
      </c>
      <c r="N276" s="32"/>
      <c r="O276" s="31">
        <f>'mnt Data'!A279</f>
        <v>0</v>
      </c>
      <c r="P276" s="31">
        <f>'mnt Data'!B279</f>
        <v>0</v>
      </c>
      <c r="Q276" s="31">
        <f>'mnt Data'!C279</f>
        <v>0</v>
      </c>
      <c r="R276" s="31">
        <f>'mnt Data'!D279</f>
        <v>0</v>
      </c>
      <c r="S276" s="31">
        <f>'mnt Data'!E279</f>
        <v>0</v>
      </c>
      <c r="T276" s="31">
        <f>'mnt Data'!F279</f>
        <v>0</v>
      </c>
      <c r="U276" s="31">
        <f>'mnt Data'!G279</f>
        <v>0</v>
      </c>
      <c r="V276" s="31">
        <f>'mnt Data'!H279</f>
        <v>0</v>
      </c>
      <c r="W276" s="31">
        <f>'mnt Data'!I279</f>
        <v>0</v>
      </c>
      <c r="X276" s="31">
        <f>'mnt Data'!J279</f>
        <v>0</v>
      </c>
      <c r="Y276" s="31">
        <f>'mnt Data'!K279</f>
        <v>0</v>
      </c>
      <c r="Z276" s="31">
        <f>'mnt Data'!L279</f>
        <v>0</v>
      </c>
      <c r="AA276" s="31">
        <f>'mnt Data'!M279</f>
        <v>0</v>
      </c>
      <c r="AB276" s="31">
        <f>'mnt Data'!N279</f>
        <v>0</v>
      </c>
      <c r="AC276" s="31">
        <f>'mnt Data'!O279</f>
        <v>0</v>
      </c>
      <c r="AD276" s="31">
        <f>'mnt Data'!P279</f>
        <v>0</v>
      </c>
      <c r="AE276" s="31">
        <f>'mnt Data'!Q279</f>
        <v>0</v>
      </c>
      <c r="AF276" s="31">
        <f>'mnt Data'!R279</f>
        <v>0</v>
      </c>
      <c r="AG276" s="31">
        <f>'mnt Data'!S279</f>
        <v>0</v>
      </c>
      <c r="AH276" s="31">
        <f>'mnt Data'!T279</f>
        <v>0</v>
      </c>
      <c r="AI276" s="31">
        <f>'mnt Data'!U279</f>
        <v>0</v>
      </c>
      <c r="AJ276" s="31">
        <f>'mnt Data'!V279</f>
        <v>0</v>
      </c>
      <c r="AK276" s="31">
        <f>'mnt Data'!W279</f>
        <v>0</v>
      </c>
      <c r="AL276" s="31">
        <f>'mnt Data'!X279</f>
        <v>0</v>
      </c>
      <c r="AM276" s="31">
        <f>'mnt Data'!Y279</f>
        <v>0</v>
      </c>
      <c r="AN276" s="31">
        <f>'mnt Data'!Z279</f>
        <v>0</v>
      </c>
      <c r="AO276" s="31">
        <f>'mnt Data'!AA279</f>
        <v>0</v>
      </c>
      <c r="AP276" s="31">
        <f>'mnt Data'!AB279</f>
        <v>0</v>
      </c>
      <c r="AQ276" s="31">
        <f>'mnt Data'!AC279</f>
        <v>0</v>
      </c>
      <c r="AR276" s="31">
        <f>'mnt Data'!AD279</f>
        <v>0</v>
      </c>
      <c r="AS276" s="31">
        <f>'mnt Data'!AE279</f>
        <v>0</v>
      </c>
      <c r="AT276" s="31">
        <f>'mnt Data'!AF279</f>
        <v>0</v>
      </c>
      <c r="AU276" s="31">
        <f>'mnt Data'!AG279</f>
        <v>0</v>
      </c>
      <c r="AV276" s="31">
        <f>'mnt Data'!AH279</f>
        <v>0</v>
      </c>
      <c r="AW276" s="31">
        <f>'mnt Data'!AI279</f>
        <v>0</v>
      </c>
      <c r="AX276" s="31">
        <f>'mnt Data'!AJ279</f>
        <v>0</v>
      </c>
      <c r="AY276" s="31">
        <f>'mnt Data'!AK279</f>
        <v>0</v>
      </c>
    </row>
    <row r="277" spans="1:51" x14ac:dyDescent="0.25">
      <c r="A277">
        <v>276</v>
      </c>
      <c r="B277" s="32">
        <f t="shared" si="48"/>
        <v>0</v>
      </c>
      <c r="C277" s="32">
        <f t="shared" si="49"/>
        <v>0</v>
      </c>
      <c r="D277" s="32" t="str">
        <f t="shared" si="53"/>
        <v>No Gs</v>
      </c>
      <c r="E277" s="32">
        <f t="shared" si="57"/>
        <v>0</v>
      </c>
      <c r="F277" s="32" t="str">
        <f t="shared" si="58"/>
        <v>No Gs</v>
      </c>
      <c r="G277" s="32" t="str">
        <f t="shared" si="59"/>
        <v>No Gs</v>
      </c>
      <c r="H277" s="32" t="str">
        <f t="shared" si="50"/>
        <v>Gs is needed</v>
      </c>
      <c r="I277" s="32" t="str">
        <f t="shared" si="51"/>
        <v>Gs is needed</v>
      </c>
      <c r="J277" s="32" t="str">
        <f t="shared" si="52"/>
        <v>Gs is needed</v>
      </c>
      <c r="K277" s="32" t="str">
        <f t="shared" si="54"/>
        <v>Need Max and Min</v>
      </c>
      <c r="L277" s="32" t="str">
        <f t="shared" si="55"/>
        <v>Need Max and Min</v>
      </c>
      <c r="M277" s="32" t="str">
        <f t="shared" si="56"/>
        <v>Fail</v>
      </c>
      <c r="N277" s="32"/>
      <c r="O277" s="31">
        <f>'mnt Data'!A280</f>
        <v>0</v>
      </c>
      <c r="P277" s="31">
        <f>'mnt Data'!B280</f>
        <v>0</v>
      </c>
      <c r="Q277" s="31">
        <f>'mnt Data'!C280</f>
        <v>0</v>
      </c>
      <c r="R277" s="31">
        <f>'mnt Data'!D280</f>
        <v>0</v>
      </c>
      <c r="S277" s="31">
        <f>'mnt Data'!E280</f>
        <v>0</v>
      </c>
      <c r="T277" s="31">
        <f>'mnt Data'!F280</f>
        <v>0</v>
      </c>
      <c r="U277" s="31">
        <f>'mnt Data'!G280</f>
        <v>0</v>
      </c>
      <c r="V277" s="31">
        <f>'mnt Data'!H280</f>
        <v>0</v>
      </c>
      <c r="W277" s="31">
        <f>'mnt Data'!I280</f>
        <v>0</v>
      </c>
      <c r="X277" s="31">
        <f>'mnt Data'!J280</f>
        <v>0</v>
      </c>
      <c r="Y277" s="31">
        <f>'mnt Data'!K280</f>
        <v>0</v>
      </c>
      <c r="Z277" s="31">
        <f>'mnt Data'!L280</f>
        <v>0</v>
      </c>
      <c r="AA277" s="31">
        <f>'mnt Data'!M280</f>
        <v>0</v>
      </c>
      <c r="AB277" s="31">
        <f>'mnt Data'!N280</f>
        <v>0</v>
      </c>
      <c r="AC277" s="31">
        <f>'mnt Data'!O280</f>
        <v>0</v>
      </c>
      <c r="AD277" s="31">
        <f>'mnt Data'!P280</f>
        <v>0</v>
      </c>
      <c r="AE277" s="31">
        <f>'mnt Data'!Q280</f>
        <v>0</v>
      </c>
      <c r="AF277" s="31">
        <f>'mnt Data'!R280</f>
        <v>0</v>
      </c>
      <c r="AG277" s="31">
        <f>'mnt Data'!S280</f>
        <v>0</v>
      </c>
      <c r="AH277" s="31">
        <f>'mnt Data'!T280</f>
        <v>0</v>
      </c>
      <c r="AI277" s="31">
        <f>'mnt Data'!U280</f>
        <v>0</v>
      </c>
      <c r="AJ277" s="31">
        <f>'mnt Data'!V280</f>
        <v>0</v>
      </c>
      <c r="AK277" s="31">
        <f>'mnt Data'!W280</f>
        <v>0</v>
      </c>
      <c r="AL277" s="31">
        <f>'mnt Data'!X280</f>
        <v>0</v>
      </c>
      <c r="AM277" s="31">
        <f>'mnt Data'!Y280</f>
        <v>0</v>
      </c>
      <c r="AN277" s="31">
        <f>'mnt Data'!Z280</f>
        <v>0</v>
      </c>
      <c r="AO277" s="31">
        <f>'mnt Data'!AA280</f>
        <v>0</v>
      </c>
      <c r="AP277" s="31">
        <f>'mnt Data'!AB280</f>
        <v>0</v>
      </c>
      <c r="AQ277" s="31">
        <f>'mnt Data'!AC280</f>
        <v>0</v>
      </c>
      <c r="AR277" s="31">
        <f>'mnt Data'!AD280</f>
        <v>0</v>
      </c>
      <c r="AS277" s="31">
        <f>'mnt Data'!AE280</f>
        <v>0</v>
      </c>
      <c r="AT277" s="31">
        <f>'mnt Data'!AF280</f>
        <v>0</v>
      </c>
      <c r="AU277" s="31">
        <f>'mnt Data'!AG280</f>
        <v>0</v>
      </c>
      <c r="AV277" s="31">
        <f>'mnt Data'!AH280</f>
        <v>0</v>
      </c>
      <c r="AW277" s="31">
        <f>'mnt Data'!AI280</f>
        <v>0</v>
      </c>
      <c r="AX277" s="31">
        <f>'mnt Data'!AJ280</f>
        <v>0</v>
      </c>
      <c r="AY277" s="31">
        <f>'mnt Data'!AK280</f>
        <v>0</v>
      </c>
    </row>
    <row r="278" spans="1:51" x14ac:dyDescent="0.25">
      <c r="A278">
        <v>277</v>
      </c>
      <c r="B278" s="32">
        <f t="shared" si="48"/>
        <v>0</v>
      </c>
      <c r="C278" s="32">
        <f t="shared" si="49"/>
        <v>0</v>
      </c>
      <c r="D278" s="32" t="str">
        <f t="shared" si="53"/>
        <v>No Gs</v>
      </c>
      <c r="E278" s="32">
        <f t="shared" si="57"/>
        <v>0</v>
      </c>
      <c r="F278" s="32" t="str">
        <f t="shared" si="58"/>
        <v>No Gs</v>
      </c>
      <c r="G278" s="32" t="str">
        <f t="shared" si="59"/>
        <v>No Gs</v>
      </c>
      <c r="H278" s="32" t="str">
        <f t="shared" si="50"/>
        <v>Gs is needed</v>
      </c>
      <c r="I278" s="32" t="str">
        <f t="shared" si="51"/>
        <v>Gs is needed</v>
      </c>
      <c r="J278" s="32" t="str">
        <f t="shared" si="52"/>
        <v>Gs is needed</v>
      </c>
      <c r="K278" s="32" t="str">
        <f t="shared" si="54"/>
        <v>Need Max and Min</v>
      </c>
      <c r="L278" s="32" t="str">
        <f t="shared" si="55"/>
        <v>Need Max and Min</v>
      </c>
      <c r="M278" s="32" t="str">
        <f t="shared" si="56"/>
        <v>Fail</v>
      </c>
      <c r="N278" s="32"/>
      <c r="O278" s="31">
        <f>'mnt Data'!A281</f>
        <v>0</v>
      </c>
      <c r="P278" s="31">
        <f>'mnt Data'!B281</f>
        <v>0</v>
      </c>
      <c r="Q278" s="31">
        <f>'mnt Data'!C281</f>
        <v>0</v>
      </c>
      <c r="R278" s="31">
        <f>'mnt Data'!D281</f>
        <v>0</v>
      </c>
      <c r="S278" s="31">
        <f>'mnt Data'!E281</f>
        <v>0</v>
      </c>
      <c r="T278" s="31">
        <f>'mnt Data'!F281</f>
        <v>0</v>
      </c>
      <c r="U278" s="31">
        <f>'mnt Data'!G281</f>
        <v>0</v>
      </c>
      <c r="V278" s="31">
        <f>'mnt Data'!H281</f>
        <v>0</v>
      </c>
      <c r="W278" s="31">
        <f>'mnt Data'!I281</f>
        <v>0</v>
      </c>
      <c r="X278" s="31">
        <f>'mnt Data'!J281</f>
        <v>0</v>
      </c>
      <c r="Y278" s="31">
        <f>'mnt Data'!K281</f>
        <v>0</v>
      </c>
      <c r="Z278" s="31">
        <f>'mnt Data'!L281</f>
        <v>0</v>
      </c>
      <c r="AA278" s="31">
        <f>'mnt Data'!M281</f>
        <v>0</v>
      </c>
      <c r="AB278" s="31">
        <f>'mnt Data'!N281</f>
        <v>0</v>
      </c>
      <c r="AC278" s="31">
        <f>'mnt Data'!O281</f>
        <v>0</v>
      </c>
      <c r="AD278" s="31">
        <f>'mnt Data'!P281</f>
        <v>0</v>
      </c>
      <c r="AE278" s="31">
        <f>'mnt Data'!Q281</f>
        <v>0</v>
      </c>
      <c r="AF278" s="31">
        <f>'mnt Data'!R281</f>
        <v>0</v>
      </c>
      <c r="AG278" s="31">
        <f>'mnt Data'!S281</f>
        <v>0</v>
      </c>
      <c r="AH278" s="31">
        <f>'mnt Data'!T281</f>
        <v>0</v>
      </c>
      <c r="AI278" s="31">
        <f>'mnt Data'!U281</f>
        <v>0</v>
      </c>
      <c r="AJ278" s="31">
        <f>'mnt Data'!V281</f>
        <v>0</v>
      </c>
      <c r="AK278" s="31">
        <f>'mnt Data'!W281</f>
        <v>0</v>
      </c>
      <c r="AL278" s="31">
        <f>'mnt Data'!X281</f>
        <v>0</v>
      </c>
      <c r="AM278" s="31">
        <f>'mnt Data'!Y281</f>
        <v>0</v>
      </c>
      <c r="AN278" s="31">
        <f>'mnt Data'!Z281</f>
        <v>0</v>
      </c>
      <c r="AO278" s="31">
        <f>'mnt Data'!AA281</f>
        <v>0</v>
      </c>
      <c r="AP278" s="31">
        <f>'mnt Data'!AB281</f>
        <v>0</v>
      </c>
      <c r="AQ278" s="31">
        <f>'mnt Data'!AC281</f>
        <v>0</v>
      </c>
      <c r="AR278" s="31">
        <f>'mnt Data'!AD281</f>
        <v>0</v>
      </c>
      <c r="AS278" s="31">
        <f>'mnt Data'!AE281</f>
        <v>0</v>
      </c>
      <c r="AT278" s="31">
        <f>'mnt Data'!AF281</f>
        <v>0</v>
      </c>
      <c r="AU278" s="31">
        <f>'mnt Data'!AG281</f>
        <v>0</v>
      </c>
      <c r="AV278" s="31">
        <f>'mnt Data'!AH281</f>
        <v>0</v>
      </c>
      <c r="AW278" s="31">
        <f>'mnt Data'!AI281</f>
        <v>0</v>
      </c>
      <c r="AX278" s="31">
        <f>'mnt Data'!AJ281</f>
        <v>0</v>
      </c>
      <c r="AY278" s="31">
        <f>'mnt Data'!AK281</f>
        <v>0</v>
      </c>
    </row>
    <row r="279" spans="1:51" x14ac:dyDescent="0.25">
      <c r="A279">
        <v>278</v>
      </c>
      <c r="B279" s="32">
        <f t="shared" si="48"/>
        <v>0</v>
      </c>
      <c r="C279" s="32">
        <f t="shared" si="49"/>
        <v>0</v>
      </c>
      <c r="D279" s="32" t="str">
        <f t="shared" si="53"/>
        <v>No Gs</v>
      </c>
      <c r="E279" s="32">
        <f t="shared" si="57"/>
        <v>0</v>
      </c>
      <c r="F279" s="32" t="str">
        <f t="shared" si="58"/>
        <v>No Gs</v>
      </c>
      <c r="G279" s="32" t="str">
        <f t="shared" si="59"/>
        <v>No Gs</v>
      </c>
      <c r="H279" s="32" t="str">
        <f t="shared" si="50"/>
        <v>Gs is needed</v>
      </c>
      <c r="I279" s="32" t="str">
        <f t="shared" si="51"/>
        <v>Gs is needed</v>
      </c>
      <c r="J279" s="32" t="str">
        <f t="shared" si="52"/>
        <v>Gs is needed</v>
      </c>
      <c r="K279" s="32" t="str">
        <f t="shared" si="54"/>
        <v>Need Max and Min</v>
      </c>
      <c r="L279" s="32" t="str">
        <f t="shared" si="55"/>
        <v>Need Max and Min</v>
      </c>
      <c r="M279" s="32" t="str">
        <f t="shared" si="56"/>
        <v>Fail</v>
      </c>
      <c r="N279" s="32"/>
      <c r="O279" s="31">
        <f>'mnt Data'!A282</f>
        <v>0</v>
      </c>
      <c r="P279" s="31">
        <f>'mnt Data'!B282</f>
        <v>0</v>
      </c>
      <c r="Q279" s="31">
        <f>'mnt Data'!C282</f>
        <v>0</v>
      </c>
      <c r="R279" s="31">
        <f>'mnt Data'!D282</f>
        <v>0</v>
      </c>
      <c r="S279" s="31">
        <f>'mnt Data'!E282</f>
        <v>0</v>
      </c>
      <c r="T279" s="31">
        <f>'mnt Data'!F282</f>
        <v>0</v>
      </c>
      <c r="U279" s="31">
        <f>'mnt Data'!G282</f>
        <v>0</v>
      </c>
      <c r="V279" s="31">
        <f>'mnt Data'!H282</f>
        <v>0</v>
      </c>
      <c r="W279" s="31">
        <f>'mnt Data'!I282</f>
        <v>0</v>
      </c>
      <c r="X279" s="31">
        <f>'mnt Data'!J282</f>
        <v>0</v>
      </c>
      <c r="Y279" s="31">
        <f>'mnt Data'!K282</f>
        <v>0</v>
      </c>
      <c r="Z279" s="31">
        <f>'mnt Data'!L282</f>
        <v>0</v>
      </c>
      <c r="AA279" s="31">
        <f>'mnt Data'!M282</f>
        <v>0</v>
      </c>
      <c r="AB279" s="31">
        <f>'mnt Data'!N282</f>
        <v>0</v>
      </c>
      <c r="AC279" s="31">
        <f>'mnt Data'!O282</f>
        <v>0</v>
      </c>
      <c r="AD279" s="31">
        <f>'mnt Data'!P282</f>
        <v>0</v>
      </c>
      <c r="AE279" s="31">
        <f>'mnt Data'!Q282</f>
        <v>0</v>
      </c>
      <c r="AF279" s="31">
        <f>'mnt Data'!R282</f>
        <v>0</v>
      </c>
      <c r="AG279" s="31">
        <f>'mnt Data'!S282</f>
        <v>0</v>
      </c>
      <c r="AH279" s="31">
        <f>'mnt Data'!T282</f>
        <v>0</v>
      </c>
      <c r="AI279" s="31">
        <f>'mnt Data'!U282</f>
        <v>0</v>
      </c>
      <c r="AJ279" s="31">
        <f>'mnt Data'!V282</f>
        <v>0</v>
      </c>
      <c r="AK279" s="31">
        <f>'mnt Data'!W282</f>
        <v>0</v>
      </c>
      <c r="AL279" s="31">
        <f>'mnt Data'!X282</f>
        <v>0</v>
      </c>
      <c r="AM279" s="31">
        <f>'mnt Data'!Y282</f>
        <v>0</v>
      </c>
      <c r="AN279" s="31">
        <f>'mnt Data'!Z282</f>
        <v>0</v>
      </c>
      <c r="AO279" s="31">
        <f>'mnt Data'!AA282</f>
        <v>0</v>
      </c>
      <c r="AP279" s="31">
        <f>'mnt Data'!AB282</f>
        <v>0</v>
      </c>
      <c r="AQ279" s="31">
        <f>'mnt Data'!AC282</f>
        <v>0</v>
      </c>
      <c r="AR279" s="31">
        <f>'mnt Data'!AD282</f>
        <v>0</v>
      </c>
      <c r="AS279" s="31">
        <f>'mnt Data'!AE282</f>
        <v>0</v>
      </c>
      <c r="AT279" s="31">
        <f>'mnt Data'!AF282</f>
        <v>0</v>
      </c>
      <c r="AU279" s="31">
        <f>'mnt Data'!AG282</f>
        <v>0</v>
      </c>
      <c r="AV279" s="31">
        <f>'mnt Data'!AH282</f>
        <v>0</v>
      </c>
      <c r="AW279" s="31">
        <f>'mnt Data'!AI282</f>
        <v>0</v>
      </c>
      <c r="AX279" s="31">
        <f>'mnt Data'!AJ282</f>
        <v>0</v>
      </c>
      <c r="AY279" s="31">
        <f>'mnt Data'!AK282</f>
        <v>0</v>
      </c>
    </row>
    <row r="280" spans="1:51" x14ac:dyDescent="0.25">
      <c r="A280">
        <v>279</v>
      </c>
      <c r="B280" s="32">
        <f t="shared" si="48"/>
        <v>0</v>
      </c>
      <c r="C280" s="32">
        <f t="shared" si="49"/>
        <v>0</v>
      </c>
      <c r="D280" s="32" t="str">
        <f t="shared" si="53"/>
        <v>No Gs</v>
      </c>
      <c r="E280" s="32">
        <f t="shared" si="57"/>
        <v>0</v>
      </c>
      <c r="F280" s="32" t="str">
        <f t="shared" si="58"/>
        <v>No Gs</v>
      </c>
      <c r="G280" s="32" t="str">
        <f t="shared" si="59"/>
        <v>No Gs</v>
      </c>
      <c r="H280" s="32" t="str">
        <f t="shared" si="50"/>
        <v>Gs is needed</v>
      </c>
      <c r="I280" s="32" t="str">
        <f t="shared" si="51"/>
        <v>Gs is needed</v>
      </c>
      <c r="J280" s="32" t="str">
        <f t="shared" si="52"/>
        <v>Gs is needed</v>
      </c>
      <c r="K280" s="32" t="str">
        <f t="shared" si="54"/>
        <v>Need Max and Min</v>
      </c>
      <c r="L280" s="32" t="str">
        <f t="shared" si="55"/>
        <v>Need Max and Min</v>
      </c>
      <c r="M280" s="32" t="str">
        <f t="shared" si="56"/>
        <v>Fail</v>
      </c>
      <c r="N280" s="32"/>
      <c r="O280" s="31">
        <f>'mnt Data'!A283</f>
        <v>0</v>
      </c>
      <c r="P280" s="31">
        <f>'mnt Data'!B283</f>
        <v>0</v>
      </c>
      <c r="Q280" s="31">
        <f>'mnt Data'!C283</f>
        <v>0</v>
      </c>
      <c r="R280" s="31">
        <f>'mnt Data'!D283</f>
        <v>0</v>
      </c>
      <c r="S280" s="31">
        <f>'mnt Data'!E283</f>
        <v>0</v>
      </c>
      <c r="T280" s="31">
        <f>'mnt Data'!F283</f>
        <v>0</v>
      </c>
      <c r="U280" s="31">
        <f>'mnt Data'!G283</f>
        <v>0</v>
      </c>
      <c r="V280" s="31">
        <f>'mnt Data'!H283</f>
        <v>0</v>
      </c>
      <c r="W280" s="31">
        <f>'mnt Data'!I283</f>
        <v>0</v>
      </c>
      <c r="X280" s="31">
        <f>'mnt Data'!J283</f>
        <v>0</v>
      </c>
      <c r="Y280" s="31">
        <f>'mnt Data'!K283</f>
        <v>0</v>
      </c>
      <c r="Z280" s="31">
        <f>'mnt Data'!L283</f>
        <v>0</v>
      </c>
      <c r="AA280" s="31">
        <f>'mnt Data'!M283</f>
        <v>0</v>
      </c>
      <c r="AB280" s="31">
        <f>'mnt Data'!N283</f>
        <v>0</v>
      </c>
      <c r="AC280" s="31">
        <f>'mnt Data'!O283</f>
        <v>0</v>
      </c>
      <c r="AD280" s="31">
        <f>'mnt Data'!P283</f>
        <v>0</v>
      </c>
      <c r="AE280" s="31">
        <f>'mnt Data'!Q283</f>
        <v>0</v>
      </c>
      <c r="AF280" s="31">
        <f>'mnt Data'!R283</f>
        <v>0</v>
      </c>
      <c r="AG280" s="31">
        <f>'mnt Data'!S283</f>
        <v>0</v>
      </c>
      <c r="AH280" s="31">
        <f>'mnt Data'!T283</f>
        <v>0</v>
      </c>
      <c r="AI280" s="31">
        <f>'mnt Data'!U283</f>
        <v>0</v>
      </c>
      <c r="AJ280" s="31">
        <f>'mnt Data'!V283</f>
        <v>0</v>
      </c>
      <c r="AK280" s="31">
        <f>'mnt Data'!W283</f>
        <v>0</v>
      </c>
      <c r="AL280" s="31">
        <f>'mnt Data'!X283</f>
        <v>0</v>
      </c>
      <c r="AM280" s="31">
        <f>'mnt Data'!Y283</f>
        <v>0</v>
      </c>
      <c r="AN280" s="31">
        <f>'mnt Data'!Z283</f>
        <v>0</v>
      </c>
      <c r="AO280" s="31">
        <f>'mnt Data'!AA283</f>
        <v>0</v>
      </c>
      <c r="AP280" s="31">
        <f>'mnt Data'!AB283</f>
        <v>0</v>
      </c>
      <c r="AQ280" s="31">
        <f>'mnt Data'!AC283</f>
        <v>0</v>
      </c>
      <c r="AR280" s="31">
        <f>'mnt Data'!AD283</f>
        <v>0</v>
      </c>
      <c r="AS280" s="31">
        <f>'mnt Data'!AE283</f>
        <v>0</v>
      </c>
      <c r="AT280" s="31">
        <f>'mnt Data'!AF283</f>
        <v>0</v>
      </c>
      <c r="AU280" s="31">
        <f>'mnt Data'!AG283</f>
        <v>0</v>
      </c>
      <c r="AV280" s="31">
        <f>'mnt Data'!AH283</f>
        <v>0</v>
      </c>
      <c r="AW280" s="31">
        <f>'mnt Data'!AI283</f>
        <v>0</v>
      </c>
      <c r="AX280" s="31">
        <f>'mnt Data'!AJ283</f>
        <v>0</v>
      </c>
      <c r="AY280" s="31">
        <f>'mnt Data'!AK283</f>
        <v>0</v>
      </c>
    </row>
    <row r="281" spans="1:51" x14ac:dyDescent="0.25">
      <c r="A281">
        <v>280</v>
      </c>
      <c r="B281" s="32">
        <f t="shared" si="48"/>
        <v>0</v>
      </c>
      <c r="C281" s="32">
        <f t="shared" si="49"/>
        <v>0</v>
      </c>
      <c r="D281" s="32" t="str">
        <f t="shared" si="53"/>
        <v>No Gs</v>
      </c>
      <c r="E281" s="32">
        <f t="shared" si="57"/>
        <v>0</v>
      </c>
      <c r="F281" s="32" t="str">
        <f t="shared" si="58"/>
        <v>No Gs</v>
      </c>
      <c r="G281" s="32" t="str">
        <f t="shared" si="59"/>
        <v>No Gs</v>
      </c>
      <c r="H281" s="32" t="str">
        <f t="shared" si="50"/>
        <v>Gs is needed</v>
      </c>
      <c r="I281" s="32" t="str">
        <f t="shared" si="51"/>
        <v>Gs is needed</v>
      </c>
      <c r="J281" s="32" t="str">
        <f t="shared" si="52"/>
        <v>Gs is needed</v>
      </c>
      <c r="K281" s="32" t="str">
        <f t="shared" si="54"/>
        <v>Need Max and Min</v>
      </c>
      <c r="L281" s="32" t="str">
        <f t="shared" si="55"/>
        <v>Need Max and Min</v>
      </c>
      <c r="M281" s="32" t="str">
        <f t="shared" si="56"/>
        <v>Fail</v>
      </c>
      <c r="N281" s="32"/>
      <c r="O281" s="31">
        <f>'mnt Data'!A284</f>
        <v>0</v>
      </c>
      <c r="P281" s="31">
        <f>'mnt Data'!B284</f>
        <v>0</v>
      </c>
      <c r="Q281" s="31">
        <f>'mnt Data'!C284</f>
        <v>0</v>
      </c>
      <c r="R281" s="31">
        <f>'mnt Data'!D284</f>
        <v>0</v>
      </c>
      <c r="S281" s="31">
        <f>'mnt Data'!E284</f>
        <v>0</v>
      </c>
      <c r="T281" s="31">
        <f>'mnt Data'!F284</f>
        <v>0</v>
      </c>
      <c r="U281" s="31">
        <f>'mnt Data'!G284</f>
        <v>0</v>
      </c>
      <c r="V281" s="31">
        <f>'mnt Data'!H284</f>
        <v>0</v>
      </c>
      <c r="W281" s="31">
        <f>'mnt Data'!I284</f>
        <v>0</v>
      </c>
      <c r="X281" s="31">
        <f>'mnt Data'!J284</f>
        <v>0</v>
      </c>
      <c r="Y281" s="31">
        <f>'mnt Data'!K284</f>
        <v>0</v>
      </c>
      <c r="Z281" s="31">
        <f>'mnt Data'!L284</f>
        <v>0</v>
      </c>
      <c r="AA281" s="31">
        <f>'mnt Data'!M284</f>
        <v>0</v>
      </c>
      <c r="AB281" s="31">
        <f>'mnt Data'!N284</f>
        <v>0</v>
      </c>
      <c r="AC281" s="31">
        <f>'mnt Data'!O284</f>
        <v>0</v>
      </c>
      <c r="AD281" s="31">
        <f>'mnt Data'!P284</f>
        <v>0</v>
      </c>
      <c r="AE281" s="31">
        <f>'mnt Data'!Q284</f>
        <v>0</v>
      </c>
      <c r="AF281" s="31">
        <f>'mnt Data'!R284</f>
        <v>0</v>
      </c>
      <c r="AG281" s="31">
        <f>'mnt Data'!S284</f>
        <v>0</v>
      </c>
      <c r="AH281" s="31">
        <f>'mnt Data'!T284</f>
        <v>0</v>
      </c>
      <c r="AI281" s="31">
        <f>'mnt Data'!U284</f>
        <v>0</v>
      </c>
      <c r="AJ281" s="31">
        <f>'mnt Data'!V284</f>
        <v>0</v>
      </c>
      <c r="AK281" s="31">
        <f>'mnt Data'!W284</f>
        <v>0</v>
      </c>
      <c r="AL281" s="31">
        <f>'mnt Data'!X284</f>
        <v>0</v>
      </c>
      <c r="AM281" s="31">
        <f>'mnt Data'!Y284</f>
        <v>0</v>
      </c>
      <c r="AN281" s="31">
        <f>'mnt Data'!Z284</f>
        <v>0</v>
      </c>
      <c r="AO281" s="31">
        <f>'mnt Data'!AA284</f>
        <v>0</v>
      </c>
      <c r="AP281" s="31">
        <f>'mnt Data'!AB284</f>
        <v>0</v>
      </c>
      <c r="AQ281" s="31">
        <f>'mnt Data'!AC284</f>
        <v>0</v>
      </c>
      <c r="AR281" s="31">
        <f>'mnt Data'!AD284</f>
        <v>0</v>
      </c>
      <c r="AS281" s="31">
        <f>'mnt Data'!AE284</f>
        <v>0</v>
      </c>
      <c r="AT281" s="31">
        <f>'mnt Data'!AF284</f>
        <v>0</v>
      </c>
      <c r="AU281" s="31">
        <f>'mnt Data'!AG284</f>
        <v>0</v>
      </c>
      <c r="AV281" s="31">
        <f>'mnt Data'!AH284</f>
        <v>0</v>
      </c>
      <c r="AW281" s="31">
        <f>'mnt Data'!AI284</f>
        <v>0</v>
      </c>
      <c r="AX281" s="31">
        <f>'mnt Data'!AJ284</f>
        <v>0</v>
      </c>
      <c r="AY281" s="31">
        <f>'mnt Data'!AK284</f>
        <v>0</v>
      </c>
    </row>
    <row r="282" spans="1:51" x14ac:dyDescent="0.25">
      <c r="A282">
        <v>281</v>
      </c>
      <c r="B282" s="32">
        <f t="shared" si="48"/>
        <v>0</v>
      </c>
      <c r="C282" s="32">
        <f t="shared" si="49"/>
        <v>0</v>
      </c>
      <c r="D282" s="32" t="str">
        <f t="shared" si="53"/>
        <v>No Gs</v>
      </c>
      <c r="E282" s="32">
        <f t="shared" si="57"/>
        <v>0</v>
      </c>
      <c r="F282" s="32" t="str">
        <f t="shared" si="58"/>
        <v>No Gs</v>
      </c>
      <c r="G282" s="32" t="str">
        <f t="shared" si="59"/>
        <v>No Gs</v>
      </c>
      <c r="H282" s="32" t="str">
        <f t="shared" si="50"/>
        <v>Gs is needed</v>
      </c>
      <c r="I282" s="32" t="str">
        <f t="shared" si="51"/>
        <v>Gs is needed</v>
      </c>
      <c r="J282" s="32" t="str">
        <f t="shared" si="52"/>
        <v>Gs is needed</v>
      </c>
      <c r="K282" s="32" t="str">
        <f t="shared" si="54"/>
        <v>Need Max and Min</v>
      </c>
      <c r="L282" s="32" t="str">
        <f t="shared" si="55"/>
        <v>Need Max and Min</v>
      </c>
      <c r="M282" s="32" t="str">
        <f t="shared" si="56"/>
        <v>Fail</v>
      </c>
      <c r="N282" s="32"/>
      <c r="O282" s="31">
        <f>'mnt Data'!A285</f>
        <v>0</v>
      </c>
      <c r="P282" s="31">
        <f>'mnt Data'!B285</f>
        <v>0</v>
      </c>
      <c r="Q282" s="31">
        <f>'mnt Data'!C285</f>
        <v>0</v>
      </c>
      <c r="R282" s="31">
        <f>'mnt Data'!D285</f>
        <v>0</v>
      </c>
      <c r="S282" s="31">
        <f>'mnt Data'!E285</f>
        <v>0</v>
      </c>
      <c r="T282" s="31">
        <f>'mnt Data'!F285</f>
        <v>0</v>
      </c>
      <c r="U282" s="31">
        <f>'mnt Data'!G285</f>
        <v>0</v>
      </c>
      <c r="V282" s="31">
        <f>'mnt Data'!H285</f>
        <v>0</v>
      </c>
      <c r="W282" s="31">
        <f>'mnt Data'!I285</f>
        <v>0</v>
      </c>
      <c r="X282" s="31">
        <f>'mnt Data'!J285</f>
        <v>0</v>
      </c>
      <c r="Y282" s="31">
        <f>'mnt Data'!K285</f>
        <v>0</v>
      </c>
      <c r="Z282" s="31">
        <f>'mnt Data'!L285</f>
        <v>0</v>
      </c>
      <c r="AA282" s="31">
        <f>'mnt Data'!M285</f>
        <v>0</v>
      </c>
      <c r="AB282" s="31">
        <f>'mnt Data'!N285</f>
        <v>0</v>
      </c>
      <c r="AC282" s="31">
        <f>'mnt Data'!O285</f>
        <v>0</v>
      </c>
      <c r="AD282" s="31">
        <f>'mnt Data'!P285</f>
        <v>0</v>
      </c>
      <c r="AE282" s="31">
        <f>'mnt Data'!Q285</f>
        <v>0</v>
      </c>
      <c r="AF282" s="31">
        <f>'mnt Data'!R285</f>
        <v>0</v>
      </c>
      <c r="AG282" s="31">
        <f>'mnt Data'!S285</f>
        <v>0</v>
      </c>
      <c r="AH282" s="31">
        <f>'mnt Data'!T285</f>
        <v>0</v>
      </c>
      <c r="AI282" s="31">
        <f>'mnt Data'!U285</f>
        <v>0</v>
      </c>
      <c r="AJ282" s="31">
        <f>'mnt Data'!V285</f>
        <v>0</v>
      </c>
      <c r="AK282" s="31">
        <f>'mnt Data'!W285</f>
        <v>0</v>
      </c>
      <c r="AL282" s="31">
        <f>'mnt Data'!X285</f>
        <v>0</v>
      </c>
      <c r="AM282" s="31">
        <f>'mnt Data'!Y285</f>
        <v>0</v>
      </c>
      <c r="AN282" s="31">
        <f>'mnt Data'!Z285</f>
        <v>0</v>
      </c>
      <c r="AO282" s="31">
        <f>'mnt Data'!AA285</f>
        <v>0</v>
      </c>
      <c r="AP282" s="31">
        <f>'mnt Data'!AB285</f>
        <v>0</v>
      </c>
      <c r="AQ282" s="31">
        <f>'mnt Data'!AC285</f>
        <v>0</v>
      </c>
      <c r="AR282" s="31">
        <f>'mnt Data'!AD285</f>
        <v>0</v>
      </c>
      <c r="AS282" s="31">
        <f>'mnt Data'!AE285</f>
        <v>0</v>
      </c>
      <c r="AT282" s="31">
        <f>'mnt Data'!AF285</f>
        <v>0</v>
      </c>
      <c r="AU282" s="31">
        <f>'mnt Data'!AG285</f>
        <v>0</v>
      </c>
      <c r="AV282" s="31">
        <f>'mnt Data'!AH285</f>
        <v>0</v>
      </c>
      <c r="AW282" s="31">
        <f>'mnt Data'!AI285</f>
        <v>0</v>
      </c>
      <c r="AX282" s="31">
        <f>'mnt Data'!AJ285</f>
        <v>0</v>
      </c>
      <c r="AY282" s="31">
        <f>'mnt Data'!AK285</f>
        <v>0</v>
      </c>
    </row>
    <row r="283" spans="1:51" x14ac:dyDescent="0.25">
      <c r="A283">
        <v>282</v>
      </c>
      <c r="B283" s="32">
        <f t="shared" si="48"/>
        <v>0</v>
      </c>
      <c r="C283" s="32">
        <f t="shared" si="49"/>
        <v>0</v>
      </c>
      <c r="D283" s="32" t="str">
        <f t="shared" si="53"/>
        <v>No Gs</v>
      </c>
      <c r="E283" s="32">
        <f t="shared" si="57"/>
        <v>0</v>
      </c>
      <c r="F283" s="32" t="str">
        <f t="shared" si="58"/>
        <v>No Gs</v>
      </c>
      <c r="G283" s="32" t="str">
        <f t="shared" si="59"/>
        <v>No Gs</v>
      </c>
      <c r="H283" s="32" t="str">
        <f t="shared" si="50"/>
        <v>Gs is needed</v>
      </c>
      <c r="I283" s="32" t="str">
        <f t="shared" si="51"/>
        <v>Gs is needed</v>
      </c>
      <c r="J283" s="32" t="str">
        <f t="shared" si="52"/>
        <v>Gs is needed</v>
      </c>
      <c r="K283" s="32" t="str">
        <f t="shared" si="54"/>
        <v>Need Max and Min</v>
      </c>
      <c r="L283" s="32" t="str">
        <f t="shared" si="55"/>
        <v>Need Max and Min</v>
      </c>
      <c r="M283" s="32" t="str">
        <f t="shared" si="56"/>
        <v>Fail</v>
      </c>
      <c r="N283" s="32"/>
      <c r="O283" s="31">
        <f>'mnt Data'!A286</f>
        <v>0</v>
      </c>
      <c r="P283" s="31">
        <f>'mnt Data'!B286</f>
        <v>0</v>
      </c>
      <c r="Q283" s="31">
        <f>'mnt Data'!C286</f>
        <v>0</v>
      </c>
      <c r="R283" s="31">
        <f>'mnt Data'!D286</f>
        <v>0</v>
      </c>
      <c r="S283" s="31">
        <f>'mnt Data'!E286</f>
        <v>0</v>
      </c>
      <c r="T283" s="31">
        <f>'mnt Data'!F286</f>
        <v>0</v>
      </c>
      <c r="U283" s="31">
        <f>'mnt Data'!G286</f>
        <v>0</v>
      </c>
      <c r="V283" s="31">
        <f>'mnt Data'!H286</f>
        <v>0</v>
      </c>
      <c r="W283" s="31">
        <f>'mnt Data'!I286</f>
        <v>0</v>
      </c>
      <c r="X283" s="31">
        <f>'mnt Data'!J286</f>
        <v>0</v>
      </c>
      <c r="Y283" s="31">
        <f>'mnt Data'!K286</f>
        <v>0</v>
      </c>
      <c r="Z283" s="31">
        <f>'mnt Data'!L286</f>
        <v>0</v>
      </c>
      <c r="AA283" s="31">
        <f>'mnt Data'!M286</f>
        <v>0</v>
      </c>
      <c r="AB283" s="31">
        <f>'mnt Data'!N286</f>
        <v>0</v>
      </c>
      <c r="AC283" s="31">
        <f>'mnt Data'!O286</f>
        <v>0</v>
      </c>
      <c r="AD283" s="31">
        <f>'mnt Data'!P286</f>
        <v>0</v>
      </c>
      <c r="AE283" s="31">
        <f>'mnt Data'!Q286</f>
        <v>0</v>
      </c>
      <c r="AF283" s="31">
        <f>'mnt Data'!R286</f>
        <v>0</v>
      </c>
      <c r="AG283" s="31">
        <f>'mnt Data'!S286</f>
        <v>0</v>
      </c>
      <c r="AH283" s="31">
        <f>'mnt Data'!T286</f>
        <v>0</v>
      </c>
      <c r="AI283" s="31">
        <f>'mnt Data'!U286</f>
        <v>0</v>
      </c>
      <c r="AJ283" s="31">
        <f>'mnt Data'!V286</f>
        <v>0</v>
      </c>
      <c r="AK283" s="31">
        <f>'mnt Data'!W286</f>
        <v>0</v>
      </c>
      <c r="AL283" s="31">
        <f>'mnt Data'!X286</f>
        <v>0</v>
      </c>
      <c r="AM283" s="31">
        <f>'mnt Data'!Y286</f>
        <v>0</v>
      </c>
      <c r="AN283" s="31">
        <f>'mnt Data'!Z286</f>
        <v>0</v>
      </c>
      <c r="AO283" s="31">
        <f>'mnt Data'!AA286</f>
        <v>0</v>
      </c>
      <c r="AP283" s="31">
        <f>'mnt Data'!AB286</f>
        <v>0</v>
      </c>
      <c r="AQ283" s="31">
        <f>'mnt Data'!AC286</f>
        <v>0</v>
      </c>
      <c r="AR283" s="31">
        <f>'mnt Data'!AD286</f>
        <v>0</v>
      </c>
      <c r="AS283" s="31">
        <f>'mnt Data'!AE286</f>
        <v>0</v>
      </c>
      <c r="AT283" s="31">
        <f>'mnt Data'!AF286</f>
        <v>0</v>
      </c>
      <c r="AU283" s="31">
        <f>'mnt Data'!AG286</f>
        <v>0</v>
      </c>
      <c r="AV283" s="31">
        <f>'mnt Data'!AH286</f>
        <v>0</v>
      </c>
      <c r="AW283" s="31">
        <f>'mnt Data'!AI286</f>
        <v>0</v>
      </c>
      <c r="AX283" s="31">
        <f>'mnt Data'!AJ286</f>
        <v>0</v>
      </c>
      <c r="AY283" s="31">
        <f>'mnt Data'!AK286</f>
        <v>0</v>
      </c>
    </row>
    <row r="284" spans="1:51" x14ac:dyDescent="0.25">
      <c r="A284">
        <v>283</v>
      </c>
      <c r="B284" s="32">
        <f t="shared" si="48"/>
        <v>0</v>
      </c>
      <c r="C284" s="32">
        <f t="shared" si="49"/>
        <v>0</v>
      </c>
      <c r="D284" s="32" t="str">
        <f t="shared" si="53"/>
        <v>No Gs</v>
      </c>
      <c r="E284" s="32">
        <f t="shared" si="57"/>
        <v>0</v>
      </c>
      <c r="F284" s="32" t="str">
        <f t="shared" si="58"/>
        <v>No Gs</v>
      </c>
      <c r="G284" s="32" t="str">
        <f t="shared" si="59"/>
        <v>No Gs</v>
      </c>
      <c r="H284" s="32" t="str">
        <f t="shared" si="50"/>
        <v>Gs is needed</v>
      </c>
      <c r="I284" s="32" t="str">
        <f t="shared" si="51"/>
        <v>Gs is needed</v>
      </c>
      <c r="J284" s="32" t="str">
        <f t="shared" si="52"/>
        <v>Gs is needed</v>
      </c>
      <c r="K284" s="32" t="str">
        <f t="shared" si="54"/>
        <v>Need Max and Min</v>
      </c>
      <c r="L284" s="32" t="str">
        <f t="shared" si="55"/>
        <v>Need Max and Min</v>
      </c>
      <c r="M284" s="32" t="str">
        <f t="shared" si="56"/>
        <v>Fail</v>
      </c>
      <c r="N284" s="32"/>
      <c r="O284" s="31">
        <f>'mnt Data'!A287</f>
        <v>0</v>
      </c>
      <c r="P284" s="31">
        <f>'mnt Data'!B287</f>
        <v>0</v>
      </c>
      <c r="Q284" s="31">
        <f>'mnt Data'!C287</f>
        <v>0</v>
      </c>
      <c r="R284" s="31">
        <f>'mnt Data'!D287</f>
        <v>0</v>
      </c>
      <c r="S284" s="31">
        <f>'mnt Data'!E287</f>
        <v>0</v>
      </c>
      <c r="T284" s="31">
        <f>'mnt Data'!F287</f>
        <v>0</v>
      </c>
      <c r="U284" s="31">
        <f>'mnt Data'!G287</f>
        <v>0</v>
      </c>
      <c r="V284" s="31">
        <f>'mnt Data'!H287</f>
        <v>0</v>
      </c>
      <c r="W284" s="31">
        <f>'mnt Data'!I287</f>
        <v>0</v>
      </c>
      <c r="X284" s="31">
        <f>'mnt Data'!J287</f>
        <v>0</v>
      </c>
      <c r="Y284" s="31">
        <f>'mnt Data'!K287</f>
        <v>0</v>
      </c>
      <c r="Z284" s="31">
        <f>'mnt Data'!L287</f>
        <v>0</v>
      </c>
      <c r="AA284" s="31">
        <f>'mnt Data'!M287</f>
        <v>0</v>
      </c>
      <c r="AB284" s="31">
        <f>'mnt Data'!N287</f>
        <v>0</v>
      </c>
      <c r="AC284" s="31">
        <f>'mnt Data'!O287</f>
        <v>0</v>
      </c>
      <c r="AD284" s="31">
        <f>'mnt Data'!P287</f>
        <v>0</v>
      </c>
      <c r="AE284" s="31">
        <f>'mnt Data'!Q287</f>
        <v>0</v>
      </c>
      <c r="AF284" s="31">
        <f>'mnt Data'!R287</f>
        <v>0</v>
      </c>
      <c r="AG284" s="31">
        <f>'mnt Data'!S287</f>
        <v>0</v>
      </c>
      <c r="AH284" s="31">
        <f>'mnt Data'!T287</f>
        <v>0</v>
      </c>
      <c r="AI284" s="31">
        <f>'mnt Data'!U287</f>
        <v>0</v>
      </c>
      <c r="AJ284" s="31">
        <f>'mnt Data'!V287</f>
        <v>0</v>
      </c>
      <c r="AK284" s="31">
        <f>'mnt Data'!W287</f>
        <v>0</v>
      </c>
      <c r="AL284" s="31">
        <f>'mnt Data'!X287</f>
        <v>0</v>
      </c>
      <c r="AM284" s="31">
        <f>'mnt Data'!Y287</f>
        <v>0</v>
      </c>
      <c r="AN284" s="31">
        <f>'mnt Data'!Z287</f>
        <v>0</v>
      </c>
      <c r="AO284" s="31">
        <f>'mnt Data'!AA287</f>
        <v>0</v>
      </c>
      <c r="AP284" s="31">
        <f>'mnt Data'!AB287</f>
        <v>0</v>
      </c>
      <c r="AQ284" s="31">
        <f>'mnt Data'!AC287</f>
        <v>0</v>
      </c>
      <c r="AR284" s="31">
        <f>'mnt Data'!AD287</f>
        <v>0</v>
      </c>
      <c r="AS284" s="31">
        <f>'mnt Data'!AE287</f>
        <v>0</v>
      </c>
      <c r="AT284" s="31">
        <f>'mnt Data'!AF287</f>
        <v>0</v>
      </c>
      <c r="AU284" s="31">
        <f>'mnt Data'!AG287</f>
        <v>0</v>
      </c>
      <c r="AV284" s="31">
        <f>'mnt Data'!AH287</f>
        <v>0</v>
      </c>
      <c r="AW284" s="31">
        <f>'mnt Data'!AI287</f>
        <v>0</v>
      </c>
      <c r="AX284" s="31">
        <f>'mnt Data'!AJ287</f>
        <v>0</v>
      </c>
      <c r="AY284" s="31">
        <f>'mnt Data'!AK287</f>
        <v>0</v>
      </c>
    </row>
    <row r="285" spans="1:51" x14ac:dyDescent="0.25">
      <c r="A285">
        <v>284</v>
      </c>
      <c r="B285" s="32">
        <f t="shared" si="48"/>
        <v>0</v>
      </c>
      <c r="C285" s="32">
        <f t="shared" si="49"/>
        <v>0</v>
      </c>
      <c r="D285" s="32" t="str">
        <f t="shared" si="53"/>
        <v>No Gs</v>
      </c>
      <c r="E285" s="32">
        <f t="shared" si="57"/>
        <v>0</v>
      </c>
      <c r="F285" s="32" t="str">
        <f t="shared" si="58"/>
        <v>No Gs</v>
      </c>
      <c r="G285" s="32" t="str">
        <f t="shared" si="59"/>
        <v>No Gs</v>
      </c>
      <c r="H285" s="32" t="str">
        <f t="shared" si="50"/>
        <v>Gs is needed</v>
      </c>
      <c r="I285" s="32" t="str">
        <f t="shared" si="51"/>
        <v>Gs is needed</v>
      </c>
      <c r="J285" s="32" t="str">
        <f t="shared" si="52"/>
        <v>Gs is needed</v>
      </c>
      <c r="K285" s="32" t="str">
        <f t="shared" si="54"/>
        <v>Need Max and Min</v>
      </c>
      <c r="L285" s="32" t="str">
        <f t="shared" si="55"/>
        <v>Need Max and Min</v>
      </c>
      <c r="M285" s="32" t="str">
        <f t="shared" si="56"/>
        <v>Fail</v>
      </c>
      <c r="N285" s="32"/>
      <c r="O285" s="31">
        <f>'mnt Data'!A288</f>
        <v>0</v>
      </c>
      <c r="P285" s="31">
        <f>'mnt Data'!B288</f>
        <v>0</v>
      </c>
      <c r="Q285" s="31">
        <f>'mnt Data'!C288</f>
        <v>0</v>
      </c>
      <c r="R285" s="31">
        <f>'mnt Data'!D288</f>
        <v>0</v>
      </c>
      <c r="S285" s="31">
        <f>'mnt Data'!E288</f>
        <v>0</v>
      </c>
      <c r="T285" s="31">
        <f>'mnt Data'!F288</f>
        <v>0</v>
      </c>
      <c r="U285" s="31">
        <f>'mnt Data'!G288</f>
        <v>0</v>
      </c>
      <c r="V285" s="31">
        <f>'mnt Data'!H288</f>
        <v>0</v>
      </c>
      <c r="W285" s="31">
        <f>'mnt Data'!I288</f>
        <v>0</v>
      </c>
      <c r="X285" s="31">
        <f>'mnt Data'!J288</f>
        <v>0</v>
      </c>
      <c r="Y285" s="31">
        <f>'mnt Data'!K288</f>
        <v>0</v>
      </c>
      <c r="Z285" s="31">
        <f>'mnt Data'!L288</f>
        <v>0</v>
      </c>
      <c r="AA285" s="31">
        <f>'mnt Data'!M288</f>
        <v>0</v>
      </c>
      <c r="AB285" s="31">
        <f>'mnt Data'!N288</f>
        <v>0</v>
      </c>
      <c r="AC285" s="31">
        <f>'mnt Data'!O288</f>
        <v>0</v>
      </c>
      <c r="AD285" s="31">
        <f>'mnt Data'!P288</f>
        <v>0</v>
      </c>
      <c r="AE285" s="31">
        <f>'mnt Data'!Q288</f>
        <v>0</v>
      </c>
      <c r="AF285" s="31">
        <f>'mnt Data'!R288</f>
        <v>0</v>
      </c>
      <c r="AG285" s="31">
        <f>'mnt Data'!S288</f>
        <v>0</v>
      </c>
      <c r="AH285" s="31">
        <f>'mnt Data'!T288</f>
        <v>0</v>
      </c>
      <c r="AI285" s="31">
        <f>'mnt Data'!U288</f>
        <v>0</v>
      </c>
      <c r="AJ285" s="31">
        <f>'mnt Data'!V288</f>
        <v>0</v>
      </c>
      <c r="AK285" s="31">
        <f>'mnt Data'!W288</f>
        <v>0</v>
      </c>
      <c r="AL285" s="31">
        <f>'mnt Data'!X288</f>
        <v>0</v>
      </c>
      <c r="AM285" s="31">
        <f>'mnt Data'!Y288</f>
        <v>0</v>
      </c>
      <c r="AN285" s="31">
        <f>'mnt Data'!Z288</f>
        <v>0</v>
      </c>
      <c r="AO285" s="31">
        <f>'mnt Data'!AA288</f>
        <v>0</v>
      </c>
      <c r="AP285" s="31">
        <f>'mnt Data'!AB288</f>
        <v>0</v>
      </c>
      <c r="AQ285" s="31">
        <f>'mnt Data'!AC288</f>
        <v>0</v>
      </c>
      <c r="AR285" s="31">
        <f>'mnt Data'!AD288</f>
        <v>0</v>
      </c>
      <c r="AS285" s="31">
        <f>'mnt Data'!AE288</f>
        <v>0</v>
      </c>
      <c r="AT285" s="31">
        <f>'mnt Data'!AF288</f>
        <v>0</v>
      </c>
      <c r="AU285" s="31">
        <f>'mnt Data'!AG288</f>
        <v>0</v>
      </c>
      <c r="AV285" s="31">
        <f>'mnt Data'!AH288</f>
        <v>0</v>
      </c>
      <c r="AW285" s="31">
        <f>'mnt Data'!AI288</f>
        <v>0</v>
      </c>
      <c r="AX285" s="31">
        <f>'mnt Data'!AJ288</f>
        <v>0</v>
      </c>
      <c r="AY285" s="31">
        <f>'mnt Data'!AK288</f>
        <v>0</v>
      </c>
    </row>
    <row r="286" spans="1:51" x14ac:dyDescent="0.25">
      <c r="A286">
        <v>285</v>
      </c>
      <c r="B286" s="32">
        <f t="shared" si="48"/>
        <v>0</v>
      </c>
      <c r="C286" s="32">
        <f t="shared" si="49"/>
        <v>0</v>
      </c>
      <c r="D286" s="32" t="str">
        <f t="shared" si="53"/>
        <v>No Gs</v>
      </c>
      <c r="E286" s="32">
        <f t="shared" si="57"/>
        <v>0</v>
      </c>
      <c r="F286" s="32" t="str">
        <f t="shared" si="58"/>
        <v>No Gs</v>
      </c>
      <c r="G286" s="32" t="str">
        <f t="shared" si="59"/>
        <v>No Gs</v>
      </c>
      <c r="H286" s="32" t="str">
        <f t="shared" si="50"/>
        <v>Gs is needed</v>
      </c>
      <c r="I286" s="32" t="str">
        <f t="shared" si="51"/>
        <v>Gs is needed</v>
      </c>
      <c r="J286" s="32" t="str">
        <f t="shared" si="52"/>
        <v>Gs is needed</v>
      </c>
      <c r="K286" s="32" t="str">
        <f t="shared" si="54"/>
        <v>Need Max and Min</v>
      </c>
      <c r="L286" s="32" t="str">
        <f t="shared" si="55"/>
        <v>Need Max and Min</v>
      </c>
      <c r="M286" s="32" t="str">
        <f t="shared" si="56"/>
        <v>Fail</v>
      </c>
      <c r="N286" s="32"/>
      <c r="O286" s="31">
        <f>'mnt Data'!A289</f>
        <v>0</v>
      </c>
      <c r="P286" s="31">
        <f>'mnt Data'!B289</f>
        <v>0</v>
      </c>
      <c r="Q286" s="31">
        <f>'mnt Data'!C289</f>
        <v>0</v>
      </c>
      <c r="R286" s="31">
        <f>'mnt Data'!D289</f>
        <v>0</v>
      </c>
      <c r="S286" s="31">
        <f>'mnt Data'!E289</f>
        <v>0</v>
      </c>
      <c r="T286" s="31">
        <f>'mnt Data'!F289</f>
        <v>0</v>
      </c>
      <c r="U286" s="31">
        <f>'mnt Data'!G289</f>
        <v>0</v>
      </c>
      <c r="V286" s="31">
        <f>'mnt Data'!H289</f>
        <v>0</v>
      </c>
      <c r="W286" s="31">
        <f>'mnt Data'!I289</f>
        <v>0</v>
      </c>
      <c r="X286" s="31">
        <f>'mnt Data'!J289</f>
        <v>0</v>
      </c>
      <c r="Y286" s="31">
        <f>'mnt Data'!K289</f>
        <v>0</v>
      </c>
      <c r="Z286" s="31">
        <f>'mnt Data'!L289</f>
        <v>0</v>
      </c>
      <c r="AA286" s="31">
        <f>'mnt Data'!M289</f>
        <v>0</v>
      </c>
      <c r="AB286" s="31">
        <f>'mnt Data'!N289</f>
        <v>0</v>
      </c>
      <c r="AC286" s="31">
        <f>'mnt Data'!O289</f>
        <v>0</v>
      </c>
      <c r="AD286" s="31">
        <f>'mnt Data'!P289</f>
        <v>0</v>
      </c>
      <c r="AE286" s="31">
        <f>'mnt Data'!Q289</f>
        <v>0</v>
      </c>
      <c r="AF286" s="31">
        <f>'mnt Data'!R289</f>
        <v>0</v>
      </c>
      <c r="AG286" s="31">
        <f>'mnt Data'!S289</f>
        <v>0</v>
      </c>
      <c r="AH286" s="31">
        <f>'mnt Data'!T289</f>
        <v>0</v>
      </c>
      <c r="AI286" s="31">
        <f>'mnt Data'!U289</f>
        <v>0</v>
      </c>
      <c r="AJ286" s="31">
        <f>'mnt Data'!V289</f>
        <v>0</v>
      </c>
      <c r="AK286" s="31">
        <f>'mnt Data'!W289</f>
        <v>0</v>
      </c>
      <c r="AL286" s="31">
        <f>'mnt Data'!X289</f>
        <v>0</v>
      </c>
      <c r="AM286" s="31">
        <f>'mnt Data'!Y289</f>
        <v>0</v>
      </c>
      <c r="AN286" s="31">
        <f>'mnt Data'!Z289</f>
        <v>0</v>
      </c>
      <c r="AO286" s="31">
        <f>'mnt Data'!AA289</f>
        <v>0</v>
      </c>
      <c r="AP286" s="31">
        <f>'mnt Data'!AB289</f>
        <v>0</v>
      </c>
      <c r="AQ286" s="31">
        <f>'mnt Data'!AC289</f>
        <v>0</v>
      </c>
      <c r="AR286" s="31">
        <f>'mnt Data'!AD289</f>
        <v>0</v>
      </c>
      <c r="AS286" s="31">
        <f>'mnt Data'!AE289</f>
        <v>0</v>
      </c>
      <c r="AT286" s="31">
        <f>'mnt Data'!AF289</f>
        <v>0</v>
      </c>
      <c r="AU286" s="31">
        <f>'mnt Data'!AG289</f>
        <v>0</v>
      </c>
      <c r="AV286" s="31">
        <f>'mnt Data'!AH289</f>
        <v>0</v>
      </c>
      <c r="AW286" s="31">
        <f>'mnt Data'!AI289</f>
        <v>0</v>
      </c>
      <c r="AX286" s="31">
        <f>'mnt Data'!AJ289</f>
        <v>0</v>
      </c>
      <c r="AY286" s="31">
        <f>'mnt Data'!AK289</f>
        <v>0</v>
      </c>
    </row>
    <row r="287" spans="1:51" x14ac:dyDescent="0.25">
      <c r="A287">
        <v>286</v>
      </c>
      <c r="B287" s="32">
        <f t="shared" si="48"/>
        <v>0</v>
      </c>
      <c r="C287" s="32">
        <f t="shared" si="49"/>
        <v>0</v>
      </c>
      <c r="D287" s="32" t="str">
        <f t="shared" si="53"/>
        <v>No Gs</v>
      </c>
      <c r="E287" s="32">
        <f t="shared" si="57"/>
        <v>0</v>
      </c>
      <c r="F287" s="32" t="str">
        <f t="shared" si="58"/>
        <v>No Gs</v>
      </c>
      <c r="G287" s="32" t="str">
        <f t="shared" si="59"/>
        <v>No Gs</v>
      </c>
      <c r="H287" s="32" t="str">
        <f t="shared" si="50"/>
        <v>Gs is needed</v>
      </c>
      <c r="I287" s="32" t="str">
        <f t="shared" si="51"/>
        <v>Gs is needed</v>
      </c>
      <c r="J287" s="32" t="str">
        <f t="shared" si="52"/>
        <v>Gs is needed</v>
      </c>
      <c r="K287" s="32" t="str">
        <f t="shared" si="54"/>
        <v>Need Max and Min</v>
      </c>
      <c r="L287" s="32" t="str">
        <f t="shared" si="55"/>
        <v>Need Max and Min</v>
      </c>
      <c r="M287" s="32" t="str">
        <f t="shared" si="56"/>
        <v>Fail</v>
      </c>
      <c r="N287" s="32"/>
      <c r="O287" s="31">
        <f>'mnt Data'!A290</f>
        <v>0</v>
      </c>
      <c r="P287" s="31">
        <f>'mnt Data'!B290</f>
        <v>0</v>
      </c>
      <c r="Q287" s="31">
        <f>'mnt Data'!C290</f>
        <v>0</v>
      </c>
      <c r="R287" s="31">
        <f>'mnt Data'!D290</f>
        <v>0</v>
      </c>
      <c r="S287" s="31">
        <f>'mnt Data'!E290</f>
        <v>0</v>
      </c>
      <c r="T287" s="31">
        <f>'mnt Data'!F290</f>
        <v>0</v>
      </c>
      <c r="U287" s="31">
        <f>'mnt Data'!G290</f>
        <v>0</v>
      </c>
      <c r="V287" s="31">
        <f>'mnt Data'!H290</f>
        <v>0</v>
      </c>
      <c r="W287" s="31">
        <f>'mnt Data'!I290</f>
        <v>0</v>
      </c>
      <c r="X287" s="31">
        <f>'mnt Data'!J290</f>
        <v>0</v>
      </c>
      <c r="Y287" s="31">
        <f>'mnt Data'!K290</f>
        <v>0</v>
      </c>
      <c r="Z287" s="31">
        <f>'mnt Data'!L290</f>
        <v>0</v>
      </c>
      <c r="AA287" s="31">
        <f>'mnt Data'!M290</f>
        <v>0</v>
      </c>
      <c r="AB287" s="31">
        <f>'mnt Data'!N290</f>
        <v>0</v>
      </c>
      <c r="AC287" s="31">
        <f>'mnt Data'!O290</f>
        <v>0</v>
      </c>
      <c r="AD287" s="31">
        <f>'mnt Data'!P290</f>
        <v>0</v>
      </c>
      <c r="AE287" s="31">
        <f>'mnt Data'!Q290</f>
        <v>0</v>
      </c>
      <c r="AF287" s="31">
        <f>'mnt Data'!R290</f>
        <v>0</v>
      </c>
      <c r="AG287" s="31">
        <f>'mnt Data'!S290</f>
        <v>0</v>
      </c>
      <c r="AH287" s="31">
        <f>'mnt Data'!T290</f>
        <v>0</v>
      </c>
      <c r="AI287" s="31">
        <f>'mnt Data'!U290</f>
        <v>0</v>
      </c>
      <c r="AJ287" s="31">
        <f>'mnt Data'!V290</f>
        <v>0</v>
      </c>
      <c r="AK287" s="31">
        <f>'mnt Data'!W290</f>
        <v>0</v>
      </c>
      <c r="AL287" s="31">
        <f>'mnt Data'!X290</f>
        <v>0</v>
      </c>
      <c r="AM287" s="31">
        <f>'mnt Data'!Y290</f>
        <v>0</v>
      </c>
      <c r="AN287" s="31">
        <f>'mnt Data'!Z290</f>
        <v>0</v>
      </c>
      <c r="AO287" s="31">
        <f>'mnt Data'!AA290</f>
        <v>0</v>
      </c>
      <c r="AP287" s="31">
        <f>'mnt Data'!AB290</f>
        <v>0</v>
      </c>
      <c r="AQ287" s="31">
        <f>'mnt Data'!AC290</f>
        <v>0</v>
      </c>
      <c r="AR287" s="31">
        <f>'mnt Data'!AD290</f>
        <v>0</v>
      </c>
      <c r="AS287" s="31">
        <f>'mnt Data'!AE290</f>
        <v>0</v>
      </c>
      <c r="AT287" s="31">
        <f>'mnt Data'!AF290</f>
        <v>0</v>
      </c>
      <c r="AU287" s="31">
        <f>'mnt Data'!AG290</f>
        <v>0</v>
      </c>
      <c r="AV287" s="31">
        <f>'mnt Data'!AH290</f>
        <v>0</v>
      </c>
      <c r="AW287" s="31">
        <f>'mnt Data'!AI290</f>
        <v>0</v>
      </c>
      <c r="AX287" s="31">
        <f>'mnt Data'!AJ290</f>
        <v>0</v>
      </c>
      <c r="AY287" s="31">
        <f>'mnt Data'!AK290</f>
        <v>0</v>
      </c>
    </row>
    <row r="288" spans="1:51" x14ac:dyDescent="0.25">
      <c r="A288">
        <v>287</v>
      </c>
      <c r="B288" s="32">
        <f t="shared" si="48"/>
        <v>0</v>
      </c>
      <c r="C288" s="32">
        <f t="shared" si="49"/>
        <v>0</v>
      </c>
      <c r="D288" s="32" t="str">
        <f t="shared" si="53"/>
        <v>No Gs</v>
      </c>
      <c r="E288" s="32">
        <f t="shared" si="57"/>
        <v>0</v>
      </c>
      <c r="F288" s="32" t="str">
        <f t="shared" si="58"/>
        <v>No Gs</v>
      </c>
      <c r="G288" s="32" t="str">
        <f t="shared" si="59"/>
        <v>No Gs</v>
      </c>
      <c r="H288" s="32" t="str">
        <f t="shared" si="50"/>
        <v>Gs is needed</v>
      </c>
      <c r="I288" s="32" t="str">
        <f t="shared" si="51"/>
        <v>Gs is needed</v>
      </c>
      <c r="J288" s="32" t="str">
        <f t="shared" si="52"/>
        <v>Gs is needed</v>
      </c>
      <c r="K288" s="32" t="str">
        <f t="shared" si="54"/>
        <v>Need Max and Min</v>
      </c>
      <c r="L288" s="32" t="str">
        <f t="shared" si="55"/>
        <v>Need Max and Min</v>
      </c>
      <c r="M288" s="32" t="str">
        <f t="shared" si="56"/>
        <v>Fail</v>
      </c>
      <c r="N288" s="32"/>
      <c r="O288" s="31">
        <f>'mnt Data'!A291</f>
        <v>0</v>
      </c>
      <c r="P288" s="31">
        <f>'mnt Data'!B291</f>
        <v>0</v>
      </c>
      <c r="Q288" s="31">
        <f>'mnt Data'!C291</f>
        <v>0</v>
      </c>
      <c r="R288" s="31">
        <f>'mnt Data'!D291</f>
        <v>0</v>
      </c>
      <c r="S288" s="31">
        <f>'mnt Data'!E291</f>
        <v>0</v>
      </c>
      <c r="T288" s="31">
        <f>'mnt Data'!F291</f>
        <v>0</v>
      </c>
      <c r="U288" s="31">
        <f>'mnt Data'!G291</f>
        <v>0</v>
      </c>
      <c r="V288" s="31">
        <f>'mnt Data'!H291</f>
        <v>0</v>
      </c>
      <c r="W288" s="31">
        <f>'mnt Data'!I291</f>
        <v>0</v>
      </c>
      <c r="X288" s="31">
        <f>'mnt Data'!J291</f>
        <v>0</v>
      </c>
      <c r="Y288" s="31">
        <f>'mnt Data'!K291</f>
        <v>0</v>
      </c>
      <c r="Z288" s="31">
        <f>'mnt Data'!L291</f>
        <v>0</v>
      </c>
      <c r="AA288" s="31">
        <f>'mnt Data'!M291</f>
        <v>0</v>
      </c>
      <c r="AB288" s="31">
        <f>'mnt Data'!N291</f>
        <v>0</v>
      </c>
      <c r="AC288" s="31">
        <f>'mnt Data'!O291</f>
        <v>0</v>
      </c>
      <c r="AD288" s="31">
        <f>'mnt Data'!P291</f>
        <v>0</v>
      </c>
      <c r="AE288" s="31">
        <f>'mnt Data'!Q291</f>
        <v>0</v>
      </c>
      <c r="AF288" s="31">
        <f>'mnt Data'!R291</f>
        <v>0</v>
      </c>
      <c r="AG288" s="31">
        <f>'mnt Data'!S291</f>
        <v>0</v>
      </c>
      <c r="AH288" s="31">
        <f>'mnt Data'!T291</f>
        <v>0</v>
      </c>
      <c r="AI288" s="31">
        <f>'mnt Data'!U291</f>
        <v>0</v>
      </c>
      <c r="AJ288" s="31">
        <f>'mnt Data'!V291</f>
        <v>0</v>
      </c>
      <c r="AK288" s="31">
        <f>'mnt Data'!W291</f>
        <v>0</v>
      </c>
      <c r="AL288" s="31">
        <f>'mnt Data'!X291</f>
        <v>0</v>
      </c>
      <c r="AM288" s="31">
        <f>'mnt Data'!Y291</f>
        <v>0</v>
      </c>
      <c r="AN288" s="31">
        <f>'mnt Data'!Z291</f>
        <v>0</v>
      </c>
      <c r="AO288" s="31">
        <f>'mnt Data'!AA291</f>
        <v>0</v>
      </c>
      <c r="AP288" s="31">
        <f>'mnt Data'!AB291</f>
        <v>0</v>
      </c>
      <c r="AQ288" s="31">
        <f>'mnt Data'!AC291</f>
        <v>0</v>
      </c>
      <c r="AR288" s="31">
        <f>'mnt Data'!AD291</f>
        <v>0</v>
      </c>
      <c r="AS288" s="31">
        <f>'mnt Data'!AE291</f>
        <v>0</v>
      </c>
      <c r="AT288" s="31">
        <f>'mnt Data'!AF291</f>
        <v>0</v>
      </c>
      <c r="AU288" s="31">
        <f>'mnt Data'!AG291</f>
        <v>0</v>
      </c>
      <c r="AV288" s="31">
        <f>'mnt Data'!AH291</f>
        <v>0</v>
      </c>
      <c r="AW288" s="31">
        <f>'mnt Data'!AI291</f>
        <v>0</v>
      </c>
      <c r="AX288" s="31">
        <f>'mnt Data'!AJ291</f>
        <v>0</v>
      </c>
      <c r="AY288" s="31">
        <f>'mnt Data'!AK291</f>
        <v>0</v>
      </c>
    </row>
    <row r="289" spans="1:51" x14ac:dyDescent="0.25">
      <c r="A289">
        <v>288</v>
      </c>
      <c r="B289" s="32">
        <f t="shared" si="48"/>
        <v>0</v>
      </c>
      <c r="C289" s="32">
        <f t="shared" si="49"/>
        <v>0</v>
      </c>
      <c r="D289" s="32" t="str">
        <f t="shared" si="53"/>
        <v>No Gs</v>
      </c>
      <c r="E289" s="32">
        <f t="shared" si="57"/>
        <v>0</v>
      </c>
      <c r="F289" s="32" t="str">
        <f t="shared" si="58"/>
        <v>No Gs</v>
      </c>
      <c r="G289" s="32" t="str">
        <f t="shared" si="59"/>
        <v>No Gs</v>
      </c>
      <c r="H289" s="32" t="str">
        <f t="shared" si="50"/>
        <v>Gs is needed</v>
      </c>
      <c r="I289" s="32" t="str">
        <f t="shared" si="51"/>
        <v>Gs is needed</v>
      </c>
      <c r="J289" s="32" t="str">
        <f t="shared" si="52"/>
        <v>Gs is needed</v>
      </c>
      <c r="K289" s="32" t="str">
        <f t="shared" si="54"/>
        <v>Need Max and Min</v>
      </c>
      <c r="L289" s="32" t="str">
        <f t="shared" si="55"/>
        <v>Need Max and Min</v>
      </c>
      <c r="M289" s="32" t="str">
        <f t="shared" si="56"/>
        <v>Fail</v>
      </c>
      <c r="N289" s="32"/>
      <c r="O289" s="31">
        <f>'mnt Data'!A292</f>
        <v>0</v>
      </c>
      <c r="P289" s="31">
        <f>'mnt Data'!B292</f>
        <v>0</v>
      </c>
      <c r="Q289" s="31">
        <f>'mnt Data'!C292</f>
        <v>0</v>
      </c>
      <c r="R289" s="31">
        <f>'mnt Data'!D292</f>
        <v>0</v>
      </c>
      <c r="S289" s="31">
        <f>'mnt Data'!E292</f>
        <v>0</v>
      </c>
      <c r="T289" s="31">
        <f>'mnt Data'!F292</f>
        <v>0</v>
      </c>
      <c r="U289" s="31">
        <f>'mnt Data'!G292</f>
        <v>0</v>
      </c>
      <c r="V289" s="31">
        <f>'mnt Data'!H292</f>
        <v>0</v>
      </c>
      <c r="W289" s="31">
        <f>'mnt Data'!I292</f>
        <v>0</v>
      </c>
      <c r="X289" s="31">
        <f>'mnt Data'!J292</f>
        <v>0</v>
      </c>
      <c r="Y289" s="31">
        <f>'mnt Data'!K292</f>
        <v>0</v>
      </c>
      <c r="Z289" s="31">
        <f>'mnt Data'!L292</f>
        <v>0</v>
      </c>
      <c r="AA289" s="31">
        <f>'mnt Data'!M292</f>
        <v>0</v>
      </c>
      <c r="AB289" s="31">
        <f>'mnt Data'!N292</f>
        <v>0</v>
      </c>
      <c r="AC289" s="31">
        <f>'mnt Data'!O292</f>
        <v>0</v>
      </c>
      <c r="AD289" s="31">
        <f>'mnt Data'!P292</f>
        <v>0</v>
      </c>
      <c r="AE289" s="31">
        <f>'mnt Data'!Q292</f>
        <v>0</v>
      </c>
      <c r="AF289" s="31">
        <f>'mnt Data'!R292</f>
        <v>0</v>
      </c>
      <c r="AG289" s="31">
        <f>'mnt Data'!S292</f>
        <v>0</v>
      </c>
      <c r="AH289" s="31">
        <f>'mnt Data'!T292</f>
        <v>0</v>
      </c>
      <c r="AI289" s="31">
        <f>'mnt Data'!U292</f>
        <v>0</v>
      </c>
      <c r="AJ289" s="31">
        <f>'mnt Data'!V292</f>
        <v>0</v>
      </c>
      <c r="AK289" s="31">
        <f>'mnt Data'!W292</f>
        <v>0</v>
      </c>
      <c r="AL289" s="31">
        <f>'mnt Data'!X292</f>
        <v>0</v>
      </c>
      <c r="AM289" s="31">
        <f>'mnt Data'!Y292</f>
        <v>0</v>
      </c>
      <c r="AN289" s="31">
        <f>'mnt Data'!Z292</f>
        <v>0</v>
      </c>
      <c r="AO289" s="31">
        <f>'mnt Data'!AA292</f>
        <v>0</v>
      </c>
      <c r="AP289" s="31">
        <f>'mnt Data'!AB292</f>
        <v>0</v>
      </c>
      <c r="AQ289" s="31">
        <f>'mnt Data'!AC292</f>
        <v>0</v>
      </c>
      <c r="AR289" s="31">
        <f>'mnt Data'!AD292</f>
        <v>0</v>
      </c>
      <c r="AS289" s="31">
        <f>'mnt Data'!AE292</f>
        <v>0</v>
      </c>
      <c r="AT289" s="31">
        <f>'mnt Data'!AF292</f>
        <v>0</v>
      </c>
      <c r="AU289" s="31">
        <f>'mnt Data'!AG292</f>
        <v>0</v>
      </c>
      <c r="AV289" s="31">
        <f>'mnt Data'!AH292</f>
        <v>0</v>
      </c>
      <c r="AW289" s="31">
        <f>'mnt Data'!AI292</f>
        <v>0</v>
      </c>
      <c r="AX289" s="31">
        <f>'mnt Data'!AJ292</f>
        <v>0</v>
      </c>
      <c r="AY289" s="31">
        <f>'mnt Data'!AK292</f>
        <v>0</v>
      </c>
    </row>
    <row r="290" spans="1:51" x14ac:dyDescent="0.25">
      <c r="A290">
        <v>289</v>
      </c>
      <c r="B290" s="32">
        <f t="shared" si="48"/>
        <v>0</v>
      </c>
      <c r="C290" s="32">
        <f t="shared" si="49"/>
        <v>0</v>
      </c>
      <c r="D290" s="32" t="str">
        <f t="shared" si="53"/>
        <v>No Gs</v>
      </c>
      <c r="E290" s="32">
        <f t="shared" si="57"/>
        <v>0</v>
      </c>
      <c r="F290" s="32" t="str">
        <f t="shared" si="58"/>
        <v>No Gs</v>
      </c>
      <c r="G290" s="32" t="str">
        <f t="shared" si="59"/>
        <v>No Gs</v>
      </c>
      <c r="H290" s="32" t="str">
        <f t="shared" si="50"/>
        <v>Gs is needed</v>
      </c>
      <c r="I290" s="32" t="str">
        <f t="shared" si="51"/>
        <v>Gs is needed</v>
      </c>
      <c r="J290" s="32" t="str">
        <f t="shared" si="52"/>
        <v>Gs is needed</v>
      </c>
      <c r="K290" s="32" t="str">
        <f t="shared" si="54"/>
        <v>Need Max and Min</v>
      </c>
      <c r="L290" s="32" t="str">
        <f t="shared" si="55"/>
        <v>Need Max and Min</v>
      </c>
      <c r="M290" s="32" t="str">
        <f t="shared" si="56"/>
        <v>Fail</v>
      </c>
      <c r="N290" s="32"/>
      <c r="O290" s="31">
        <f>'mnt Data'!A293</f>
        <v>0</v>
      </c>
      <c r="P290" s="31">
        <f>'mnt Data'!B293</f>
        <v>0</v>
      </c>
      <c r="Q290" s="31">
        <f>'mnt Data'!C293</f>
        <v>0</v>
      </c>
      <c r="R290" s="31">
        <f>'mnt Data'!D293</f>
        <v>0</v>
      </c>
      <c r="S290" s="31">
        <f>'mnt Data'!E293</f>
        <v>0</v>
      </c>
      <c r="T290" s="31">
        <f>'mnt Data'!F293</f>
        <v>0</v>
      </c>
      <c r="U290" s="31">
        <f>'mnt Data'!G293</f>
        <v>0</v>
      </c>
      <c r="V290" s="31">
        <f>'mnt Data'!H293</f>
        <v>0</v>
      </c>
      <c r="W290" s="31">
        <f>'mnt Data'!I293</f>
        <v>0</v>
      </c>
      <c r="X290" s="31">
        <f>'mnt Data'!J293</f>
        <v>0</v>
      </c>
      <c r="Y290" s="31">
        <f>'mnt Data'!K293</f>
        <v>0</v>
      </c>
      <c r="Z290" s="31">
        <f>'mnt Data'!L293</f>
        <v>0</v>
      </c>
      <c r="AA290" s="31">
        <f>'mnt Data'!M293</f>
        <v>0</v>
      </c>
      <c r="AB290" s="31">
        <f>'mnt Data'!N293</f>
        <v>0</v>
      </c>
      <c r="AC290" s="31">
        <f>'mnt Data'!O293</f>
        <v>0</v>
      </c>
      <c r="AD290" s="31">
        <f>'mnt Data'!P293</f>
        <v>0</v>
      </c>
      <c r="AE290" s="31">
        <f>'mnt Data'!Q293</f>
        <v>0</v>
      </c>
      <c r="AF290" s="31">
        <f>'mnt Data'!R293</f>
        <v>0</v>
      </c>
      <c r="AG290" s="31">
        <f>'mnt Data'!S293</f>
        <v>0</v>
      </c>
      <c r="AH290" s="31">
        <f>'mnt Data'!T293</f>
        <v>0</v>
      </c>
      <c r="AI290" s="31">
        <f>'mnt Data'!U293</f>
        <v>0</v>
      </c>
      <c r="AJ290" s="31">
        <f>'mnt Data'!V293</f>
        <v>0</v>
      </c>
      <c r="AK290" s="31">
        <f>'mnt Data'!W293</f>
        <v>0</v>
      </c>
      <c r="AL290" s="31">
        <f>'mnt Data'!X293</f>
        <v>0</v>
      </c>
      <c r="AM290" s="31">
        <f>'mnt Data'!Y293</f>
        <v>0</v>
      </c>
      <c r="AN290" s="31">
        <f>'mnt Data'!Z293</f>
        <v>0</v>
      </c>
      <c r="AO290" s="31">
        <f>'mnt Data'!AA293</f>
        <v>0</v>
      </c>
      <c r="AP290" s="31">
        <f>'mnt Data'!AB293</f>
        <v>0</v>
      </c>
      <c r="AQ290" s="31">
        <f>'mnt Data'!AC293</f>
        <v>0</v>
      </c>
      <c r="AR290" s="31">
        <f>'mnt Data'!AD293</f>
        <v>0</v>
      </c>
      <c r="AS290" s="31">
        <f>'mnt Data'!AE293</f>
        <v>0</v>
      </c>
      <c r="AT290" s="31">
        <f>'mnt Data'!AF293</f>
        <v>0</v>
      </c>
      <c r="AU290" s="31">
        <f>'mnt Data'!AG293</f>
        <v>0</v>
      </c>
      <c r="AV290" s="31">
        <f>'mnt Data'!AH293</f>
        <v>0</v>
      </c>
      <c r="AW290" s="31">
        <f>'mnt Data'!AI293</f>
        <v>0</v>
      </c>
      <c r="AX290" s="31">
        <f>'mnt Data'!AJ293</f>
        <v>0</v>
      </c>
      <c r="AY290" s="31">
        <f>'mnt Data'!AK293</f>
        <v>0</v>
      </c>
    </row>
    <row r="291" spans="1:51" x14ac:dyDescent="0.25">
      <c r="A291">
        <v>290</v>
      </c>
      <c r="B291" s="32">
        <f t="shared" si="48"/>
        <v>0</v>
      </c>
      <c r="C291" s="32">
        <f t="shared" si="49"/>
        <v>0</v>
      </c>
      <c r="D291" s="32" t="str">
        <f t="shared" si="53"/>
        <v>No Gs</v>
      </c>
      <c r="E291" s="32">
        <f t="shared" si="57"/>
        <v>0</v>
      </c>
      <c r="F291" s="32" t="str">
        <f t="shared" si="58"/>
        <v>No Gs</v>
      </c>
      <c r="G291" s="32" t="str">
        <f t="shared" si="59"/>
        <v>No Gs</v>
      </c>
      <c r="H291" s="32" t="str">
        <f t="shared" si="50"/>
        <v>Gs is needed</v>
      </c>
      <c r="I291" s="32" t="str">
        <f t="shared" si="51"/>
        <v>Gs is needed</v>
      </c>
      <c r="J291" s="32" t="str">
        <f t="shared" si="52"/>
        <v>Gs is needed</v>
      </c>
      <c r="K291" s="32" t="str">
        <f t="shared" si="54"/>
        <v>Need Max and Min</v>
      </c>
      <c r="L291" s="32" t="str">
        <f t="shared" si="55"/>
        <v>Need Max and Min</v>
      </c>
      <c r="M291" s="32" t="str">
        <f t="shared" si="56"/>
        <v>Fail</v>
      </c>
      <c r="N291" s="32"/>
      <c r="O291" s="31">
        <f>'mnt Data'!A294</f>
        <v>0</v>
      </c>
      <c r="P291" s="31">
        <f>'mnt Data'!B294</f>
        <v>0</v>
      </c>
      <c r="Q291" s="31">
        <f>'mnt Data'!C294</f>
        <v>0</v>
      </c>
      <c r="R291" s="31">
        <f>'mnt Data'!D294</f>
        <v>0</v>
      </c>
      <c r="S291" s="31">
        <f>'mnt Data'!E294</f>
        <v>0</v>
      </c>
      <c r="T291" s="31">
        <f>'mnt Data'!F294</f>
        <v>0</v>
      </c>
      <c r="U291" s="31">
        <f>'mnt Data'!G294</f>
        <v>0</v>
      </c>
      <c r="V291" s="31">
        <f>'mnt Data'!H294</f>
        <v>0</v>
      </c>
      <c r="W291" s="31">
        <f>'mnt Data'!I294</f>
        <v>0</v>
      </c>
      <c r="X291" s="31">
        <f>'mnt Data'!J294</f>
        <v>0</v>
      </c>
      <c r="Y291" s="31">
        <f>'mnt Data'!K294</f>
        <v>0</v>
      </c>
      <c r="Z291" s="31">
        <f>'mnt Data'!L294</f>
        <v>0</v>
      </c>
      <c r="AA291" s="31">
        <f>'mnt Data'!M294</f>
        <v>0</v>
      </c>
      <c r="AB291" s="31">
        <f>'mnt Data'!N294</f>
        <v>0</v>
      </c>
      <c r="AC291" s="31">
        <f>'mnt Data'!O294</f>
        <v>0</v>
      </c>
      <c r="AD291" s="31">
        <f>'mnt Data'!P294</f>
        <v>0</v>
      </c>
      <c r="AE291" s="31">
        <f>'mnt Data'!Q294</f>
        <v>0</v>
      </c>
      <c r="AF291" s="31">
        <f>'mnt Data'!R294</f>
        <v>0</v>
      </c>
      <c r="AG291" s="31">
        <f>'mnt Data'!S294</f>
        <v>0</v>
      </c>
      <c r="AH291" s="31">
        <f>'mnt Data'!T294</f>
        <v>0</v>
      </c>
      <c r="AI291" s="31">
        <f>'mnt Data'!U294</f>
        <v>0</v>
      </c>
      <c r="AJ291" s="31">
        <f>'mnt Data'!V294</f>
        <v>0</v>
      </c>
      <c r="AK291" s="31">
        <f>'mnt Data'!W294</f>
        <v>0</v>
      </c>
      <c r="AL291" s="31">
        <f>'mnt Data'!X294</f>
        <v>0</v>
      </c>
      <c r="AM291" s="31">
        <f>'mnt Data'!Y294</f>
        <v>0</v>
      </c>
      <c r="AN291" s="31">
        <f>'mnt Data'!Z294</f>
        <v>0</v>
      </c>
      <c r="AO291" s="31">
        <f>'mnt Data'!AA294</f>
        <v>0</v>
      </c>
      <c r="AP291" s="31">
        <f>'mnt Data'!AB294</f>
        <v>0</v>
      </c>
      <c r="AQ291" s="31">
        <f>'mnt Data'!AC294</f>
        <v>0</v>
      </c>
      <c r="AR291" s="31">
        <f>'mnt Data'!AD294</f>
        <v>0</v>
      </c>
      <c r="AS291" s="31">
        <f>'mnt Data'!AE294</f>
        <v>0</v>
      </c>
      <c r="AT291" s="31">
        <f>'mnt Data'!AF294</f>
        <v>0</v>
      </c>
      <c r="AU291" s="31">
        <f>'mnt Data'!AG294</f>
        <v>0</v>
      </c>
      <c r="AV291" s="31">
        <f>'mnt Data'!AH294</f>
        <v>0</v>
      </c>
      <c r="AW291" s="31">
        <f>'mnt Data'!AI294</f>
        <v>0</v>
      </c>
      <c r="AX291" s="31">
        <f>'mnt Data'!AJ294</f>
        <v>0</v>
      </c>
      <c r="AY291" s="31">
        <f>'mnt Data'!AK294</f>
        <v>0</v>
      </c>
    </row>
    <row r="292" spans="1:51" x14ac:dyDescent="0.25">
      <c r="A292">
        <v>291</v>
      </c>
      <c r="B292" s="32">
        <f t="shared" si="48"/>
        <v>0</v>
      </c>
      <c r="C292" s="32">
        <f t="shared" si="49"/>
        <v>0</v>
      </c>
      <c r="D292" s="32" t="str">
        <f t="shared" si="53"/>
        <v>No Gs</v>
      </c>
      <c r="E292" s="32">
        <f t="shared" si="57"/>
        <v>0</v>
      </c>
      <c r="F292" s="32" t="str">
        <f t="shared" si="58"/>
        <v>No Gs</v>
      </c>
      <c r="G292" s="32" t="str">
        <f t="shared" si="59"/>
        <v>No Gs</v>
      </c>
      <c r="H292" s="32" t="str">
        <f t="shared" si="50"/>
        <v>Gs is needed</v>
      </c>
      <c r="I292" s="32" t="str">
        <f t="shared" si="51"/>
        <v>Gs is needed</v>
      </c>
      <c r="J292" s="32" t="str">
        <f t="shared" si="52"/>
        <v>Gs is needed</v>
      </c>
      <c r="K292" s="32" t="str">
        <f t="shared" si="54"/>
        <v>Need Max and Min</v>
      </c>
      <c r="L292" s="32" t="str">
        <f t="shared" si="55"/>
        <v>Need Max and Min</v>
      </c>
      <c r="M292" s="32" t="str">
        <f t="shared" si="56"/>
        <v>Fail</v>
      </c>
      <c r="N292" s="32"/>
      <c r="O292" s="31">
        <f>'mnt Data'!A295</f>
        <v>0</v>
      </c>
      <c r="P292" s="31">
        <f>'mnt Data'!B295</f>
        <v>0</v>
      </c>
      <c r="Q292" s="31">
        <f>'mnt Data'!C295</f>
        <v>0</v>
      </c>
      <c r="R292" s="31">
        <f>'mnt Data'!D295</f>
        <v>0</v>
      </c>
      <c r="S292" s="31">
        <f>'mnt Data'!E295</f>
        <v>0</v>
      </c>
      <c r="T292" s="31">
        <f>'mnt Data'!F295</f>
        <v>0</v>
      </c>
      <c r="U292" s="31">
        <f>'mnt Data'!G295</f>
        <v>0</v>
      </c>
      <c r="V292" s="31">
        <f>'mnt Data'!H295</f>
        <v>0</v>
      </c>
      <c r="W292" s="31">
        <f>'mnt Data'!I295</f>
        <v>0</v>
      </c>
      <c r="X292" s="31">
        <f>'mnt Data'!J295</f>
        <v>0</v>
      </c>
      <c r="Y292" s="31">
        <f>'mnt Data'!K295</f>
        <v>0</v>
      </c>
      <c r="Z292" s="31">
        <f>'mnt Data'!L295</f>
        <v>0</v>
      </c>
      <c r="AA292" s="31">
        <f>'mnt Data'!M295</f>
        <v>0</v>
      </c>
      <c r="AB292" s="31">
        <f>'mnt Data'!N295</f>
        <v>0</v>
      </c>
      <c r="AC292" s="31">
        <f>'mnt Data'!O295</f>
        <v>0</v>
      </c>
      <c r="AD292" s="31">
        <f>'mnt Data'!P295</f>
        <v>0</v>
      </c>
      <c r="AE292" s="31">
        <f>'mnt Data'!Q295</f>
        <v>0</v>
      </c>
      <c r="AF292" s="31">
        <f>'mnt Data'!R295</f>
        <v>0</v>
      </c>
      <c r="AG292" s="31">
        <f>'mnt Data'!S295</f>
        <v>0</v>
      </c>
      <c r="AH292" s="31">
        <f>'mnt Data'!T295</f>
        <v>0</v>
      </c>
      <c r="AI292" s="31">
        <f>'mnt Data'!U295</f>
        <v>0</v>
      </c>
      <c r="AJ292" s="31">
        <f>'mnt Data'!V295</f>
        <v>0</v>
      </c>
      <c r="AK292" s="31">
        <f>'mnt Data'!W295</f>
        <v>0</v>
      </c>
      <c r="AL292" s="31">
        <f>'mnt Data'!X295</f>
        <v>0</v>
      </c>
      <c r="AM292" s="31">
        <f>'mnt Data'!Y295</f>
        <v>0</v>
      </c>
      <c r="AN292" s="31">
        <f>'mnt Data'!Z295</f>
        <v>0</v>
      </c>
      <c r="AO292" s="31">
        <f>'mnt Data'!AA295</f>
        <v>0</v>
      </c>
      <c r="AP292" s="31">
        <f>'mnt Data'!AB295</f>
        <v>0</v>
      </c>
      <c r="AQ292" s="31">
        <f>'mnt Data'!AC295</f>
        <v>0</v>
      </c>
      <c r="AR292" s="31">
        <f>'mnt Data'!AD295</f>
        <v>0</v>
      </c>
      <c r="AS292" s="31">
        <f>'mnt Data'!AE295</f>
        <v>0</v>
      </c>
      <c r="AT292" s="31">
        <f>'mnt Data'!AF295</f>
        <v>0</v>
      </c>
      <c r="AU292" s="31">
        <f>'mnt Data'!AG295</f>
        <v>0</v>
      </c>
      <c r="AV292" s="31">
        <f>'mnt Data'!AH295</f>
        <v>0</v>
      </c>
      <c r="AW292" s="31">
        <f>'mnt Data'!AI295</f>
        <v>0</v>
      </c>
      <c r="AX292" s="31">
        <f>'mnt Data'!AJ295</f>
        <v>0</v>
      </c>
      <c r="AY292" s="31">
        <f>'mnt Data'!AK295</f>
        <v>0</v>
      </c>
    </row>
    <row r="293" spans="1:51" x14ac:dyDescent="0.25">
      <c r="A293">
        <v>292</v>
      </c>
      <c r="B293" s="32">
        <f t="shared" si="48"/>
        <v>0</v>
      </c>
      <c r="C293" s="32">
        <f t="shared" si="49"/>
        <v>0</v>
      </c>
      <c r="D293" s="32" t="str">
        <f t="shared" si="53"/>
        <v>No Gs</v>
      </c>
      <c r="E293" s="32">
        <f t="shared" si="57"/>
        <v>0</v>
      </c>
      <c r="F293" s="32" t="str">
        <f t="shared" si="58"/>
        <v>No Gs</v>
      </c>
      <c r="G293" s="32" t="str">
        <f t="shared" si="59"/>
        <v>No Gs</v>
      </c>
      <c r="H293" s="32" t="str">
        <f t="shared" si="50"/>
        <v>Gs is needed</v>
      </c>
      <c r="I293" s="32" t="str">
        <f t="shared" si="51"/>
        <v>Gs is needed</v>
      </c>
      <c r="J293" s="32" t="str">
        <f t="shared" si="52"/>
        <v>Gs is needed</v>
      </c>
      <c r="K293" s="32" t="str">
        <f t="shared" si="54"/>
        <v>Need Max and Min</v>
      </c>
      <c r="L293" s="32" t="str">
        <f t="shared" si="55"/>
        <v>Need Max and Min</v>
      </c>
      <c r="M293" s="32" t="str">
        <f t="shared" si="56"/>
        <v>Fail</v>
      </c>
      <c r="N293" s="32"/>
      <c r="O293" s="31">
        <f>'mnt Data'!A296</f>
        <v>0</v>
      </c>
      <c r="P293" s="31">
        <f>'mnt Data'!B296</f>
        <v>0</v>
      </c>
      <c r="Q293" s="31">
        <f>'mnt Data'!C296</f>
        <v>0</v>
      </c>
      <c r="R293" s="31">
        <f>'mnt Data'!D296</f>
        <v>0</v>
      </c>
      <c r="S293" s="31">
        <f>'mnt Data'!E296</f>
        <v>0</v>
      </c>
      <c r="T293" s="31">
        <f>'mnt Data'!F296</f>
        <v>0</v>
      </c>
      <c r="U293" s="31">
        <f>'mnt Data'!G296</f>
        <v>0</v>
      </c>
      <c r="V293" s="31">
        <f>'mnt Data'!H296</f>
        <v>0</v>
      </c>
      <c r="W293" s="31">
        <f>'mnt Data'!I296</f>
        <v>0</v>
      </c>
      <c r="X293" s="31">
        <f>'mnt Data'!J296</f>
        <v>0</v>
      </c>
      <c r="Y293" s="31">
        <f>'mnt Data'!K296</f>
        <v>0</v>
      </c>
      <c r="Z293" s="31">
        <f>'mnt Data'!L296</f>
        <v>0</v>
      </c>
      <c r="AA293" s="31">
        <f>'mnt Data'!M296</f>
        <v>0</v>
      </c>
      <c r="AB293" s="31">
        <f>'mnt Data'!N296</f>
        <v>0</v>
      </c>
      <c r="AC293" s="31">
        <f>'mnt Data'!O296</f>
        <v>0</v>
      </c>
      <c r="AD293" s="31">
        <f>'mnt Data'!P296</f>
        <v>0</v>
      </c>
      <c r="AE293" s="31">
        <f>'mnt Data'!Q296</f>
        <v>0</v>
      </c>
      <c r="AF293" s="31">
        <f>'mnt Data'!R296</f>
        <v>0</v>
      </c>
      <c r="AG293" s="31">
        <f>'mnt Data'!S296</f>
        <v>0</v>
      </c>
      <c r="AH293" s="31">
        <f>'mnt Data'!T296</f>
        <v>0</v>
      </c>
      <c r="AI293" s="31">
        <f>'mnt Data'!U296</f>
        <v>0</v>
      </c>
      <c r="AJ293" s="31">
        <f>'mnt Data'!V296</f>
        <v>0</v>
      </c>
      <c r="AK293" s="31">
        <f>'mnt Data'!W296</f>
        <v>0</v>
      </c>
      <c r="AL293" s="31">
        <f>'mnt Data'!X296</f>
        <v>0</v>
      </c>
      <c r="AM293" s="31">
        <f>'mnt Data'!Y296</f>
        <v>0</v>
      </c>
      <c r="AN293" s="31">
        <f>'mnt Data'!Z296</f>
        <v>0</v>
      </c>
      <c r="AO293" s="31">
        <f>'mnt Data'!AA296</f>
        <v>0</v>
      </c>
      <c r="AP293" s="31">
        <f>'mnt Data'!AB296</f>
        <v>0</v>
      </c>
      <c r="AQ293" s="31">
        <f>'mnt Data'!AC296</f>
        <v>0</v>
      </c>
      <c r="AR293" s="31">
        <f>'mnt Data'!AD296</f>
        <v>0</v>
      </c>
      <c r="AS293" s="31">
        <f>'mnt Data'!AE296</f>
        <v>0</v>
      </c>
      <c r="AT293" s="31">
        <f>'mnt Data'!AF296</f>
        <v>0</v>
      </c>
      <c r="AU293" s="31">
        <f>'mnt Data'!AG296</f>
        <v>0</v>
      </c>
      <c r="AV293" s="31">
        <f>'mnt Data'!AH296</f>
        <v>0</v>
      </c>
      <c r="AW293" s="31">
        <f>'mnt Data'!AI296</f>
        <v>0</v>
      </c>
      <c r="AX293" s="31">
        <f>'mnt Data'!AJ296</f>
        <v>0</v>
      </c>
      <c r="AY293" s="31">
        <f>'mnt Data'!AK296</f>
        <v>0</v>
      </c>
    </row>
    <row r="294" spans="1:51" x14ac:dyDescent="0.25">
      <c r="A294">
        <v>293</v>
      </c>
      <c r="B294" s="32">
        <f t="shared" si="48"/>
        <v>0</v>
      </c>
      <c r="C294" s="32">
        <f t="shared" si="49"/>
        <v>0</v>
      </c>
      <c r="D294" s="32" t="str">
        <f t="shared" si="53"/>
        <v>No Gs</v>
      </c>
      <c r="E294" s="32">
        <f t="shared" si="57"/>
        <v>0</v>
      </c>
      <c r="F294" s="32" t="str">
        <f t="shared" si="58"/>
        <v>No Gs</v>
      </c>
      <c r="G294" s="32" t="str">
        <f t="shared" si="59"/>
        <v>No Gs</v>
      </c>
      <c r="H294" s="32" t="str">
        <f t="shared" si="50"/>
        <v>Gs is needed</v>
      </c>
      <c r="I294" s="32" t="str">
        <f t="shared" si="51"/>
        <v>Gs is needed</v>
      </c>
      <c r="J294" s="32" t="str">
        <f t="shared" si="52"/>
        <v>Gs is needed</v>
      </c>
      <c r="K294" s="32" t="str">
        <f t="shared" si="54"/>
        <v>Need Max and Min</v>
      </c>
      <c r="L294" s="32" t="str">
        <f t="shared" si="55"/>
        <v>Need Max and Min</v>
      </c>
      <c r="M294" s="32" t="str">
        <f t="shared" si="56"/>
        <v>Fail</v>
      </c>
      <c r="N294" s="32"/>
      <c r="O294" s="31">
        <f>'mnt Data'!A297</f>
        <v>0</v>
      </c>
      <c r="P294" s="31">
        <f>'mnt Data'!B297</f>
        <v>0</v>
      </c>
      <c r="Q294" s="31">
        <f>'mnt Data'!C297</f>
        <v>0</v>
      </c>
      <c r="R294" s="31">
        <f>'mnt Data'!D297</f>
        <v>0</v>
      </c>
      <c r="S294" s="31">
        <f>'mnt Data'!E297</f>
        <v>0</v>
      </c>
      <c r="T294" s="31">
        <f>'mnt Data'!F297</f>
        <v>0</v>
      </c>
      <c r="U294" s="31">
        <f>'mnt Data'!G297</f>
        <v>0</v>
      </c>
      <c r="V294" s="31">
        <f>'mnt Data'!H297</f>
        <v>0</v>
      </c>
      <c r="W294" s="31">
        <f>'mnt Data'!I297</f>
        <v>0</v>
      </c>
      <c r="X294" s="31">
        <f>'mnt Data'!J297</f>
        <v>0</v>
      </c>
      <c r="Y294" s="31">
        <f>'mnt Data'!K297</f>
        <v>0</v>
      </c>
      <c r="Z294" s="31">
        <f>'mnt Data'!L297</f>
        <v>0</v>
      </c>
      <c r="AA294" s="31">
        <f>'mnt Data'!M297</f>
        <v>0</v>
      </c>
      <c r="AB294" s="31">
        <f>'mnt Data'!N297</f>
        <v>0</v>
      </c>
      <c r="AC294" s="31">
        <f>'mnt Data'!O297</f>
        <v>0</v>
      </c>
      <c r="AD294" s="31">
        <f>'mnt Data'!P297</f>
        <v>0</v>
      </c>
      <c r="AE294" s="31">
        <f>'mnt Data'!Q297</f>
        <v>0</v>
      </c>
      <c r="AF294" s="31">
        <f>'mnt Data'!R297</f>
        <v>0</v>
      </c>
      <c r="AG294" s="31">
        <f>'mnt Data'!S297</f>
        <v>0</v>
      </c>
      <c r="AH294" s="31">
        <f>'mnt Data'!T297</f>
        <v>0</v>
      </c>
      <c r="AI294" s="31">
        <f>'mnt Data'!U297</f>
        <v>0</v>
      </c>
      <c r="AJ294" s="31">
        <f>'mnt Data'!V297</f>
        <v>0</v>
      </c>
      <c r="AK294" s="31">
        <f>'mnt Data'!W297</f>
        <v>0</v>
      </c>
      <c r="AL294" s="31">
        <f>'mnt Data'!X297</f>
        <v>0</v>
      </c>
      <c r="AM294" s="31">
        <f>'mnt Data'!Y297</f>
        <v>0</v>
      </c>
      <c r="AN294" s="31">
        <f>'mnt Data'!Z297</f>
        <v>0</v>
      </c>
      <c r="AO294" s="31">
        <f>'mnt Data'!AA297</f>
        <v>0</v>
      </c>
      <c r="AP294" s="31">
        <f>'mnt Data'!AB297</f>
        <v>0</v>
      </c>
      <c r="AQ294" s="31">
        <f>'mnt Data'!AC297</f>
        <v>0</v>
      </c>
      <c r="AR294" s="31">
        <f>'mnt Data'!AD297</f>
        <v>0</v>
      </c>
      <c r="AS294" s="31">
        <f>'mnt Data'!AE297</f>
        <v>0</v>
      </c>
      <c r="AT294" s="31">
        <f>'mnt Data'!AF297</f>
        <v>0</v>
      </c>
      <c r="AU294" s="31">
        <f>'mnt Data'!AG297</f>
        <v>0</v>
      </c>
      <c r="AV294" s="31">
        <f>'mnt Data'!AH297</f>
        <v>0</v>
      </c>
      <c r="AW294" s="31">
        <f>'mnt Data'!AI297</f>
        <v>0</v>
      </c>
      <c r="AX294" s="31">
        <f>'mnt Data'!AJ297</f>
        <v>0</v>
      </c>
      <c r="AY294" s="31">
        <f>'mnt Data'!AK297</f>
        <v>0</v>
      </c>
    </row>
    <row r="295" spans="1:51" x14ac:dyDescent="0.25">
      <c r="A295">
        <v>294</v>
      </c>
      <c r="B295" s="32">
        <f t="shared" si="48"/>
        <v>0</v>
      </c>
      <c r="C295" s="32">
        <f t="shared" si="49"/>
        <v>0</v>
      </c>
      <c r="D295" s="32" t="str">
        <f t="shared" si="53"/>
        <v>No Gs</v>
      </c>
      <c r="E295" s="32">
        <f t="shared" si="57"/>
        <v>0</v>
      </c>
      <c r="F295" s="32" t="str">
        <f t="shared" si="58"/>
        <v>No Gs</v>
      </c>
      <c r="G295" s="32" t="str">
        <f t="shared" si="59"/>
        <v>No Gs</v>
      </c>
      <c r="H295" s="32" t="str">
        <f t="shared" si="50"/>
        <v>Gs is needed</v>
      </c>
      <c r="I295" s="32" t="str">
        <f t="shared" si="51"/>
        <v>Gs is needed</v>
      </c>
      <c r="J295" s="32" t="str">
        <f t="shared" si="52"/>
        <v>Gs is needed</v>
      </c>
      <c r="K295" s="32" t="str">
        <f t="shared" si="54"/>
        <v>Need Max and Min</v>
      </c>
      <c r="L295" s="32" t="str">
        <f t="shared" si="55"/>
        <v>Need Max and Min</v>
      </c>
      <c r="M295" s="32" t="str">
        <f t="shared" si="56"/>
        <v>Fail</v>
      </c>
      <c r="N295" s="32"/>
      <c r="O295" s="31">
        <f>'mnt Data'!A298</f>
        <v>0</v>
      </c>
      <c r="P295" s="31">
        <f>'mnt Data'!B298</f>
        <v>0</v>
      </c>
      <c r="Q295" s="31">
        <f>'mnt Data'!C298</f>
        <v>0</v>
      </c>
      <c r="R295" s="31">
        <f>'mnt Data'!D298</f>
        <v>0</v>
      </c>
      <c r="S295" s="31">
        <f>'mnt Data'!E298</f>
        <v>0</v>
      </c>
      <c r="T295" s="31">
        <f>'mnt Data'!F298</f>
        <v>0</v>
      </c>
      <c r="U295" s="31">
        <f>'mnt Data'!G298</f>
        <v>0</v>
      </c>
      <c r="V295" s="31">
        <f>'mnt Data'!H298</f>
        <v>0</v>
      </c>
      <c r="W295" s="31">
        <f>'mnt Data'!I298</f>
        <v>0</v>
      </c>
      <c r="X295" s="31">
        <f>'mnt Data'!J298</f>
        <v>0</v>
      </c>
      <c r="Y295" s="31">
        <f>'mnt Data'!K298</f>
        <v>0</v>
      </c>
      <c r="Z295" s="31">
        <f>'mnt Data'!L298</f>
        <v>0</v>
      </c>
      <c r="AA295" s="31">
        <f>'mnt Data'!M298</f>
        <v>0</v>
      </c>
      <c r="AB295" s="31">
        <f>'mnt Data'!N298</f>
        <v>0</v>
      </c>
      <c r="AC295" s="31">
        <f>'mnt Data'!O298</f>
        <v>0</v>
      </c>
      <c r="AD295" s="31">
        <f>'mnt Data'!P298</f>
        <v>0</v>
      </c>
      <c r="AE295" s="31">
        <f>'mnt Data'!Q298</f>
        <v>0</v>
      </c>
      <c r="AF295" s="31">
        <f>'mnt Data'!R298</f>
        <v>0</v>
      </c>
      <c r="AG295" s="31">
        <f>'mnt Data'!S298</f>
        <v>0</v>
      </c>
      <c r="AH295" s="31">
        <f>'mnt Data'!T298</f>
        <v>0</v>
      </c>
      <c r="AI295" s="31">
        <f>'mnt Data'!U298</f>
        <v>0</v>
      </c>
      <c r="AJ295" s="31">
        <f>'mnt Data'!V298</f>
        <v>0</v>
      </c>
      <c r="AK295" s="31">
        <f>'mnt Data'!W298</f>
        <v>0</v>
      </c>
      <c r="AL295" s="31">
        <f>'mnt Data'!X298</f>
        <v>0</v>
      </c>
      <c r="AM295" s="31">
        <f>'mnt Data'!Y298</f>
        <v>0</v>
      </c>
      <c r="AN295" s="31">
        <f>'mnt Data'!Z298</f>
        <v>0</v>
      </c>
      <c r="AO295" s="31">
        <f>'mnt Data'!AA298</f>
        <v>0</v>
      </c>
      <c r="AP295" s="31">
        <f>'mnt Data'!AB298</f>
        <v>0</v>
      </c>
      <c r="AQ295" s="31">
        <f>'mnt Data'!AC298</f>
        <v>0</v>
      </c>
      <c r="AR295" s="31">
        <f>'mnt Data'!AD298</f>
        <v>0</v>
      </c>
      <c r="AS295" s="31">
        <f>'mnt Data'!AE298</f>
        <v>0</v>
      </c>
      <c r="AT295" s="31">
        <f>'mnt Data'!AF298</f>
        <v>0</v>
      </c>
      <c r="AU295" s="31">
        <f>'mnt Data'!AG298</f>
        <v>0</v>
      </c>
      <c r="AV295" s="31">
        <f>'mnt Data'!AH298</f>
        <v>0</v>
      </c>
      <c r="AW295" s="31">
        <f>'mnt Data'!AI298</f>
        <v>0</v>
      </c>
      <c r="AX295" s="31">
        <f>'mnt Data'!AJ298</f>
        <v>0</v>
      </c>
      <c r="AY295" s="31">
        <f>'mnt Data'!AK298</f>
        <v>0</v>
      </c>
    </row>
    <row r="296" spans="1:51" x14ac:dyDescent="0.25">
      <c r="A296">
        <v>295</v>
      </c>
      <c r="B296" s="32">
        <f t="shared" si="48"/>
        <v>0</v>
      </c>
      <c r="C296" s="32">
        <f t="shared" si="49"/>
        <v>0</v>
      </c>
      <c r="D296" s="32" t="str">
        <f t="shared" si="53"/>
        <v>No Gs</v>
      </c>
      <c r="E296" s="32">
        <f t="shared" si="57"/>
        <v>0</v>
      </c>
      <c r="F296" s="32" t="str">
        <f t="shared" si="58"/>
        <v>No Gs</v>
      </c>
      <c r="G296" s="32" t="str">
        <f t="shared" si="59"/>
        <v>No Gs</v>
      </c>
      <c r="H296" s="32" t="str">
        <f t="shared" si="50"/>
        <v>Gs is needed</v>
      </c>
      <c r="I296" s="32" t="str">
        <f t="shared" si="51"/>
        <v>Gs is needed</v>
      </c>
      <c r="J296" s="32" t="str">
        <f t="shared" si="52"/>
        <v>Gs is needed</v>
      </c>
      <c r="K296" s="32" t="str">
        <f t="shared" si="54"/>
        <v>Need Max and Min</v>
      </c>
      <c r="L296" s="32" t="str">
        <f t="shared" si="55"/>
        <v>Need Max and Min</v>
      </c>
      <c r="M296" s="32" t="str">
        <f t="shared" si="56"/>
        <v>Fail</v>
      </c>
      <c r="N296" s="32"/>
      <c r="O296" s="31">
        <f>'mnt Data'!A299</f>
        <v>0</v>
      </c>
      <c r="P296" s="31">
        <f>'mnt Data'!B299</f>
        <v>0</v>
      </c>
      <c r="Q296" s="31">
        <f>'mnt Data'!C299</f>
        <v>0</v>
      </c>
      <c r="R296" s="31">
        <f>'mnt Data'!D299</f>
        <v>0</v>
      </c>
      <c r="S296" s="31">
        <f>'mnt Data'!E299</f>
        <v>0</v>
      </c>
      <c r="T296" s="31">
        <f>'mnt Data'!F299</f>
        <v>0</v>
      </c>
      <c r="U296" s="31">
        <f>'mnt Data'!G299</f>
        <v>0</v>
      </c>
      <c r="V296" s="31">
        <f>'mnt Data'!H299</f>
        <v>0</v>
      </c>
      <c r="W296" s="31">
        <f>'mnt Data'!I299</f>
        <v>0</v>
      </c>
      <c r="X296" s="31">
        <f>'mnt Data'!J299</f>
        <v>0</v>
      </c>
      <c r="Y296" s="31">
        <f>'mnt Data'!K299</f>
        <v>0</v>
      </c>
      <c r="Z296" s="31">
        <f>'mnt Data'!L299</f>
        <v>0</v>
      </c>
      <c r="AA296" s="31">
        <f>'mnt Data'!M299</f>
        <v>0</v>
      </c>
      <c r="AB296" s="31">
        <f>'mnt Data'!N299</f>
        <v>0</v>
      </c>
      <c r="AC296" s="31">
        <f>'mnt Data'!O299</f>
        <v>0</v>
      </c>
      <c r="AD296" s="31">
        <f>'mnt Data'!P299</f>
        <v>0</v>
      </c>
      <c r="AE296" s="31">
        <f>'mnt Data'!Q299</f>
        <v>0</v>
      </c>
      <c r="AF296" s="31">
        <f>'mnt Data'!R299</f>
        <v>0</v>
      </c>
      <c r="AG296" s="31">
        <f>'mnt Data'!S299</f>
        <v>0</v>
      </c>
      <c r="AH296" s="31">
        <f>'mnt Data'!T299</f>
        <v>0</v>
      </c>
      <c r="AI296" s="31">
        <f>'mnt Data'!U299</f>
        <v>0</v>
      </c>
      <c r="AJ296" s="31">
        <f>'mnt Data'!V299</f>
        <v>0</v>
      </c>
      <c r="AK296" s="31">
        <f>'mnt Data'!W299</f>
        <v>0</v>
      </c>
      <c r="AL296" s="31">
        <f>'mnt Data'!X299</f>
        <v>0</v>
      </c>
      <c r="AM296" s="31">
        <f>'mnt Data'!Y299</f>
        <v>0</v>
      </c>
      <c r="AN296" s="31">
        <f>'mnt Data'!Z299</f>
        <v>0</v>
      </c>
      <c r="AO296" s="31">
        <f>'mnt Data'!AA299</f>
        <v>0</v>
      </c>
      <c r="AP296" s="31">
        <f>'mnt Data'!AB299</f>
        <v>0</v>
      </c>
      <c r="AQ296" s="31">
        <f>'mnt Data'!AC299</f>
        <v>0</v>
      </c>
      <c r="AR296" s="31">
        <f>'mnt Data'!AD299</f>
        <v>0</v>
      </c>
      <c r="AS296" s="31">
        <f>'mnt Data'!AE299</f>
        <v>0</v>
      </c>
      <c r="AT296" s="31">
        <f>'mnt Data'!AF299</f>
        <v>0</v>
      </c>
      <c r="AU296" s="31">
        <f>'mnt Data'!AG299</f>
        <v>0</v>
      </c>
      <c r="AV296" s="31">
        <f>'mnt Data'!AH299</f>
        <v>0</v>
      </c>
      <c r="AW296" s="31">
        <f>'mnt Data'!AI299</f>
        <v>0</v>
      </c>
      <c r="AX296" s="31">
        <f>'mnt Data'!AJ299</f>
        <v>0</v>
      </c>
      <c r="AY296" s="31">
        <f>'mnt Data'!AK299</f>
        <v>0</v>
      </c>
    </row>
    <row r="297" spans="1:51" x14ac:dyDescent="0.25">
      <c r="A297">
        <v>296</v>
      </c>
      <c r="B297" s="32">
        <f t="shared" ref="B297:B360" si="60">O297</f>
        <v>0</v>
      </c>
      <c r="C297" s="32">
        <f t="shared" ref="C297:C360" si="61">O297*(Q297/100)</f>
        <v>0</v>
      </c>
      <c r="D297" s="32" t="str">
        <f t="shared" si="53"/>
        <v>No Gs</v>
      </c>
      <c r="E297" s="32">
        <f t="shared" si="57"/>
        <v>0</v>
      </c>
      <c r="F297" s="32" t="str">
        <f t="shared" si="58"/>
        <v>No Gs</v>
      </c>
      <c r="G297" s="32" t="str">
        <f t="shared" si="59"/>
        <v>No Gs</v>
      </c>
      <c r="H297" s="32" t="str">
        <f t="shared" ref="H297:H360" si="62">IFERROR(E297/G297,"Gs is needed")</f>
        <v>Gs is needed</v>
      </c>
      <c r="I297" s="32" t="str">
        <f t="shared" ref="I297:I360" si="63">IFERROR(G297/1,"Gs is needed")</f>
        <v>Gs is needed</v>
      </c>
      <c r="J297" s="32" t="str">
        <f t="shared" ref="J297:J360" si="64">IFERROR(G297/D297,"Gs is needed")</f>
        <v>Gs is needed</v>
      </c>
      <c r="K297" s="32" t="str">
        <f t="shared" si="54"/>
        <v>Need Max and Min</v>
      </c>
      <c r="L297" s="32" t="str">
        <f t="shared" si="55"/>
        <v>Need Max and Min</v>
      </c>
      <c r="M297" s="32" t="str">
        <f t="shared" si="56"/>
        <v>Fail</v>
      </c>
      <c r="N297" s="32"/>
      <c r="O297" s="31">
        <f>'mnt Data'!A300</f>
        <v>0</v>
      </c>
      <c r="P297" s="31">
        <f>'mnt Data'!B300</f>
        <v>0</v>
      </c>
      <c r="Q297" s="31">
        <f>'mnt Data'!C300</f>
        <v>0</v>
      </c>
      <c r="R297" s="31">
        <f>'mnt Data'!D300</f>
        <v>0</v>
      </c>
      <c r="S297" s="31">
        <f>'mnt Data'!E300</f>
        <v>0</v>
      </c>
      <c r="T297" s="31">
        <f>'mnt Data'!F300</f>
        <v>0</v>
      </c>
      <c r="U297" s="31">
        <f>'mnt Data'!G300</f>
        <v>0</v>
      </c>
      <c r="V297" s="31">
        <f>'mnt Data'!H300</f>
        <v>0</v>
      </c>
      <c r="W297" s="31">
        <f>'mnt Data'!I300</f>
        <v>0</v>
      </c>
      <c r="X297" s="31">
        <f>'mnt Data'!J300</f>
        <v>0</v>
      </c>
      <c r="Y297" s="31">
        <f>'mnt Data'!K300</f>
        <v>0</v>
      </c>
      <c r="Z297" s="31">
        <f>'mnt Data'!L300</f>
        <v>0</v>
      </c>
      <c r="AA297" s="31">
        <f>'mnt Data'!M300</f>
        <v>0</v>
      </c>
      <c r="AB297" s="31">
        <f>'mnt Data'!N300</f>
        <v>0</v>
      </c>
      <c r="AC297" s="31">
        <f>'mnt Data'!O300</f>
        <v>0</v>
      </c>
      <c r="AD297" s="31">
        <f>'mnt Data'!P300</f>
        <v>0</v>
      </c>
      <c r="AE297" s="31">
        <f>'mnt Data'!Q300</f>
        <v>0</v>
      </c>
      <c r="AF297" s="31">
        <f>'mnt Data'!R300</f>
        <v>0</v>
      </c>
      <c r="AG297" s="31">
        <f>'mnt Data'!S300</f>
        <v>0</v>
      </c>
      <c r="AH297" s="31">
        <f>'mnt Data'!T300</f>
        <v>0</v>
      </c>
      <c r="AI297" s="31">
        <f>'mnt Data'!U300</f>
        <v>0</v>
      </c>
      <c r="AJ297" s="31">
        <f>'mnt Data'!V300</f>
        <v>0</v>
      </c>
      <c r="AK297" s="31">
        <f>'mnt Data'!W300</f>
        <v>0</v>
      </c>
      <c r="AL297" s="31">
        <f>'mnt Data'!X300</f>
        <v>0</v>
      </c>
      <c r="AM297" s="31">
        <f>'mnt Data'!Y300</f>
        <v>0</v>
      </c>
      <c r="AN297" s="31">
        <f>'mnt Data'!Z300</f>
        <v>0</v>
      </c>
      <c r="AO297" s="31">
        <f>'mnt Data'!AA300</f>
        <v>0</v>
      </c>
      <c r="AP297" s="31">
        <f>'mnt Data'!AB300</f>
        <v>0</v>
      </c>
      <c r="AQ297" s="31">
        <f>'mnt Data'!AC300</f>
        <v>0</v>
      </c>
      <c r="AR297" s="31">
        <f>'mnt Data'!AD300</f>
        <v>0</v>
      </c>
      <c r="AS297" s="31">
        <f>'mnt Data'!AE300</f>
        <v>0</v>
      </c>
      <c r="AT297" s="31">
        <f>'mnt Data'!AF300</f>
        <v>0</v>
      </c>
      <c r="AU297" s="31">
        <f>'mnt Data'!AG300</f>
        <v>0</v>
      </c>
      <c r="AV297" s="31">
        <f>'mnt Data'!AH300</f>
        <v>0</v>
      </c>
      <c r="AW297" s="31">
        <f>'mnt Data'!AI300</f>
        <v>0</v>
      </c>
      <c r="AX297" s="31">
        <f>'mnt Data'!AJ300</f>
        <v>0</v>
      </c>
      <c r="AY297" s="31">
        <f>'mnt Data'!AK300</f>
        <v>0</v>
      </c>
    </row>
    <row r="298" spans="1:51" x14ac:dyDescent="0.25">
      <c r="A298">
        <v>297</v>
      </c>
      <c r="B298" s="32">
        <f t="shared" si="60"/>
        <v>0</v>
      </c>
      <c r="C298" s="32">
        <f t="shared" si="61"/>
        <v>0</v>
      </c>
      <c r="D298" s="32" t="str">
        <f t="shared" si="53"/>
        <v>No Gs</v>
      </c>
      <c r="E298" s="32">
        <f t="shared" si="57"/>
        <v>0</v>
      </c>
      <c r="F298" s="32" t="str">
        <f t="shared" si="58"/>
        <v>No Gs</v>
      </c>
      <c r="G298" s="32" t="str">
        <f t="shared" si="59"/>
        <v>No Gs</v>
      </c>
      <c r="H298" s="32" t="str">
        <f t="shared" si="62"/>
        <v>Gs is needed</v>
      </c>
      <c r="I298" s="32" t="str">
        <f t="shared" si="63"/>
        <v>Gs is needed</v>
      </c>
      <c r="J298" s="32" t="str">
        <f t="shared" si="64"/>
        <v>Gs is needed</v>
      </c>
      <c r="K298" s="32" t="str">
        <f t="shared" si="54"/>
        <v>Need Max and Min</v>
      </c>
      <c r="L298" s="32" t="str">
        <f t="shared" si="55"/>
        <v>Need Max and Min</v>
      </c>
      <c r="M298" s="32" t="str">
        <f t="shared" si="56"/>
        <v>Fail</v>
      </c>
      <c r="N298" s="32"/>
      <c r="O298" s="31">
        <f>'mnt Data'!A301</f>
        <v>0</v>
      </c>
      <c r="P298" s="31">
        <f>'mnt Data'!B301</f>
        <v>0</v>
      </c>
      <c r="Q298" s="31">
        <f>'mnt Data'!C301</f>
        <v>0</v>
      </c>
      <c r="R298" s="31">
        <f>'mnt Data'!D301</f>
        <v>0</v>
      </c>
      <c r="S298" s="31">
        <f>'mnt Data'!E301</f>
        <v>0</v>
      </c>
      <c r="T298" s="31">
        <f>'mnt Data'!F301</f>
        <v>0</v>
      </c>
      <c r="U298" s="31">
        <f>'mnt Data'!G301</f>
        <v>0</v>
      </c>
      <c r="V298" s="31">
        <f>'mnt Data'!H301</f>
        <v>0</v>
      </c>
      <c r="W298" s="31">
        <f>'mnt Data'!I301</f>
        <v>0</v>
      </c>
      <c r="X298" s="31">
        <f>'mnt Data'!J301</f>
        <v>0</v>
      </c>
      <c r="Y298" s="31">
        <f>'mnt Data'!K301</f>
        <v>0</v>
      </c>
      <c r="Z298" s="31">
        <f>'mnt Data'!L301</f>
        <v>0</v>
      </c>
      <c r="AA298" s="31">
        <f>'mnt Data'!M301</f>
        <v>0</v>
      </c>
      <c r="AB298" s="31">
        <f>'mnt Data'!N301</f>
        <v>0</v>
      </c>
      <c r="AC298" s="31">
        <f>'mnt Data'!O301</f>
        <v>0</v>
      </c>
      <c r="AD298" s="31">
        <f>'mnt Data'!P301</f>
        <v>0</v>
      </c>
      <c r="AE298" s="31">
        <f>'mnt Data'!Q301</f>
        <v>0</v>
      </c>
      <c r="AF298" s="31">
        <f>'mnt Data'!R301</f>
        <v>0</v>
      </c>
      <c r="AG298" s="31">
        <f>'mnt Data'!S301</f>
        <v>0</v>
      </c>
      <c r="AH298" s="31">
        <f>'mnt Data'!T301</f>
        <v>0</v>
      </c>
      <c r="AI298" s="31">
        <f>'mnt Data'!U301</f>
        <v>0</v>
      </c>
      <c r="AJ298" s="31">
        <f>'mnt Data'!V301</f>
        <v>0</v>
      </c>
      <c r="AK298" s="31">
        <f>'mnt Data'!W301</f>
        <v>0</v>
      </c>
      <c r="AL298" s="31">
        <f>'mnt Data'!X301</f>
        <v>0</v>
      </c>
      <c r="AM298" s="31">
        <f>'mnt Data'!Y301</f>
        <v>0</v>
      </c>
      <c r="AN298" s="31">
        <f>'mnt Data'!Z301</f>
        <v>0</v>
      </c>
      <c r="AO298" s="31">
        <f>'mnt Data'!AA301</f>
        <v>0</v>
      </c>
      <c r="AP298" s="31">
        <f>'mnt Data'!AB301</f>
        <v>0</v>
      </c>
      <c r="AQ298" s="31">
        <f>'mnt Data'!AC301</f>
        <v>0</v>
      </c>
      <c r="AR298" s="31">
        <f>'mnt Data'!AD301</f>
        <v>0</v>
      </c>
      <c r="AS298" s="31">
        <f>'mnt Data'!AE301</f>
        <v>0</v>
      </c>
      <c r="AT298" s="31">
        <f>'mnt Data'!AF301</f>
        <v>0</v>
      </c>
      <c r="AU298" s="31">
        <f>'mnt Data'!AG301</f>
        <v>0</v>
      </c>
      <c r="AV298" s="31">
        <f>'mnt Data'!AH301</f>
        <v>0</v>
      </c>
      <c r="AW298" s="31">
        <f>'mnt Data'!AI301</f>
        <v>0</v>
      </c>
      <c r="AX298" s="31">
        <f>'mnt Data'!AJ301</f>
        <v>0</v>
      </c>
      <c r="AY298" s="31">
        <f>'mnt Data'!AK301</f>
        <v>0</v>
      </c>
    </row>
    <row r="299" spans="1:51" x14ac:dyDescent="0.25">
      <c r="A299">
        <v>298</v>
      </c>
      <c r="B299" s="32">
        <f t="shared" si="60"/>
        <v>0</v>
      </c>
      <c r="C299" s="32">
        <f t="shared" si="61"/>
        <v>0</v>
      </c>
      <c r="D299" s="32" t="str">
        <f t="shared" si="53"/>
        <v>No Gs</v>
      </c>
      <c r="E299" s="32">
        <f t="shared" si="57"/>
        <v>0</v>
      </c>
      <c r="F299" s="32" t="str">
        <f t="shared" si="58"/>
        <v>No Gs</v>
      </c>
      <c r="G299" s="32" t="str">
        <f t="shared" si="59"/>
        <v>No Gs</v>
      </c>
      <c r="H299" s="32" t="str">
        <f t="shared" si="62"/>
        <v>Gs is needed</v>
      </c>
      <c r="I299" s="32" t="str">
        <f t="shared" si="63"/>
        <v>Gs is needed</v>
      </c>
      <c r="J299" s="32" t="str">
        <f t="shared" si="64"/>
        <v>Gs is needed</v>
      </c>
      <c r="K299" s="32" t="str">
        <f t="shared" si="54"/>
        <v>Need Max and Min</v>
      </c>
      <c r="L299" s="32" t="str">
        <f t="shared" si="55"/>
        <v>Need Max and Min</v>
      </c>
      <c r="M299" s="32" t="str">
        <f t="shared" si="56"/>
        <v>Fail</v>
      </c>
      <c r="N299" s="32"/>
      <c r="O299" s="31">
        <f>'mnt Data'!A302</f>
        <v>0</v>
      </c>
      <c r="P299" s="31">
        <f>'mnt Data'!B302</f>
        <v>0</v>
      </c>
      <c r="Q299" s="31">
        <f>'mnt Data'!C302</f>
        <v>0</v>
      </c>
      <c r="R299" s="31">
        <f>'mnt Data'!D302</f>
        <v>0</v>
      </c>
      <c r="S299" s="31">
        <f>'mnt Data'!E302</f>
        <v>0</v>
      </c>
      <c r="T299" s="31">
        <f>'mnt Data'!F302</f>
        <v>0</v>
      </c>
      <c r="U299" s="31">
        <f>'mnt Data'!G302</f>
        <v>0</v>
      </c>
      <c r="V299" s="31">
        <f>'mnt Data'!H302</f>
        <v>0</v>
      </c>
      <c r="W299" s="31">
        <f>'mnt Data'!I302</f>
        <v>0</v>
      </c>
      <c r="X299" s="31">
        <f>'mnt Data'!J302</f>
        <v>0</v>
      </c>
      <c r="Y299" s="31">
        <f>'mnt Data'!K302</f>
        <v>0</v>
      </c>
      <c r="Z299" s="31">
        <f>'mnt Data'!L302</f>
        <v>0</v>
      </c>
      <c r="AA299" s="31">
        <f>'mnt Data'!M302</f>
        <v>0</v>
      </c>
      <c r="AB299" s="31">
        <f>'mnt Data'!N302</f>
        <v>0</v>
      </c>
      <c r="AC299" s="31">
        <f>'mnt Data'!O302</f>
        <v>0</v>
      </c>
      <c r="AD299" s="31">
        <f>'mnt Data'!P302</f>
        <v>0</v>
      </c>
      <c r="AE299" s="31">
        <f>'mnt Data'!Q302</f>
        <v>0</v>
      </c>
      <c r="AF299" s="31">
        <f>'mnt Data'!R302</f>
        <v>0</v>
      </c>
      <c r="AG299" s="31">
        <f>'mnt Data'!S302</f>
        <v>0</v>
      </c>
      <c r="AH299" s="31">
        <f>'mnt Data'!T302</f>
        <v>0</v>
      </c>
      <c r="AI299" s="31">
        <f>'mnt Data'!U302</f>
        <v>0</v>
      </c>
      <c r="AJ299" s="31">
        <f>'mnt Data'!V302</f>
        <v>0</v>
      </c>
      <c r="AK299" s="31">
        <f>'mnt Data'!W302</f>
        <v>0</v>
      </c>
      <c r="AL299" s="31">
        <f>'mnt Data'!X302</f>
        <v>0</v>
      </c>
      <c r="AM299" s="31">
        <f>'mnt Data'!Y302</f>
        <v>0</v>
      </c>
      <c r="AN299" s="31">
        <f>'mnt Data'!Z302</f>
        <v>0</v>
      </c>
      <c r="AO299" s="31">
        <f>'mnt Data'!AA302</f>
        <v>0</v>
      </c>
      <c r="AP299" s="31">
        <f>'mnt Data'!AB302</f>
        <v>0</v>
      </c>
      <c r="AQ299" s="31">
        <f>'mnt Data'!AC302</f>
        <v>0</v>
      </c>
      <c r="AR299" s="31">
        <f>'mnt Data'!AD302</f>
        <v>0</v>
      </c>
      <c r="AS299" s="31">
        <f>'mnt Data'!AE302</f>
        <v>0</v>
      </c>
      <c r="AT299" s="31">
        <f>'mnt Data'!AF302</f>
        <v>0</v>
      </c>
      <c r="AU299" s="31">
        <f>'mnt Data'!AG302</f>
        <v>0</v>
      </c>
      <c r="AV299" s="31">
        <f>'mnt Data'!AH302</f>
        <v>0</v>
      </c>
      <c r="AW299" s="31">
        <f>'mnt Data'!AI302</f>
        <v>0</v>
      </c>
      <c r="AX299" s="31">
        <f>'mnt Data'!AJ302</f>
        <v>0</v>
      </c>
      <c r="AY299" s="31">
        <f>'mnt Data'!AK302</f>
        <v>0</v>
      </c>
    </row>
    <row r="300" spans="1:51" x14ac:dyDescent="0.25">
      <c r="A300">
        <v>299</v>
      </c>
      <c r="B300" s="32">
        <f t="shared" si="60"/>
        <v>0</v>
      </c>
      <c r="C300" s="32">
        <f t="shared" si="61"/>
        <v>0</v>
      </c>
      <c r="D300" s="32" t="str">
        <f t="shared" si="53"/>
        <v>No Gs</v>
      </c>
      <c r="E300" s="32">
        <f t="shared" si="57"/>
        <v>0</v>
      </c>
      <c r="F300" s="32" t="str">
        <f t="shared" si="58"/>
        <v>No Gs</v>
      </c>
      <c r="G300" s="32" t="str">
        <f t="shared" si="59"/>
        <v>No Gs</v>
      </c>
      <c r="H300" s="32" t="str">
        <f t="shared" si="62"/>
        <v>Gs is needed</v>
      </c>
      <c r="I300" s="32" t="str">
        <f t="shared" si="63"/>
        <v>Gs is needed</v>
      </c>
      <c r="J300" s="32" t="str">
        <f t="shared" si="64"/>
        <v>Gs is needed</v>
      </c>
      <c r="K300" s="32" t="str">
        <f t="shared" si="54"/>
        <v>Need Max and Min</v>
      </c>
      <c r="L300" s="32" t="str">
        <f t="shared" si="55"/>
        <v>Need Max and Min</v>
      </c>
      <c r="M300" s="32" t="str">
        <f t="shared" si="56"/>
        <v>Fail</v>
      </c>
      <c r="N300" s="32"/>
      <c r="O300" s="31">
        <f>'mnt Data'!A303</f>
        <v>0</v>
      </c>
      <c r="P300" s="31">
        <f>'mnt Data'!B303</f>
        <v>0</v>
      </c>
      <c r="Q300" s="31">
        <f>'mnt Data'!C303</f>
        <v>0</v>
      </c>
      <c r="R300" s="31">
        <f>'mnt Data'!D303</f>
        <v>0</v>
      </c>
      <c r="S300" s="31">
        <f>'mnt Data'!E303</f>
        <v>0</v>
      </c>
      <c r="T300" s="31">
        <f>'mnt Data'!F303</f>
        <v>0</v>
      </c>
      <c r="U300" s="31">
        <f>'mnt Data'!G303</f>
        <v>0</v>
      </c>
      <c r="V300" s="31">
        <f>'mnt Data'!H303</f>
        <v>0</v>
      </c>
      <c r="W300" s="31">
        <f>'mnt Data'!I303</f>
        <v>0</v>
      </c>
      <c r="X300" s="31">
        <f>'mnt Data'!J303</f>
        <v>0</v>
      </c>
      <c r="Y300" s="31">
        <f>'mnt Data'!K303</f>
        <v>0</v>
      </c>
      <c r="Z300" s="31">
        <f>'mnt Data'!L303</f>
        <v>0</v>
      </c>
      <c r="AA300" s="31">
        <f>'mnt Data'!M303</f>
        <v>0</v>
      </c>
      <c r="AB300" s="31">
        <f>'mnt Data'!N303</f>
        <v>0</v>
      </c>
      <c r="AC300" s="31">
        <f>'mnt Data'!O303</f>
        <v>0</v>
      </c>
      <c r="AD300" s="31">
        <f>'mnt Data'!P303</f>
        <v>0</v>
      </c>
      <c r="AE300" s="31">
        <f>'mnt Data'!Q303</f>
        <v>0</v>
      </c>
      <c r="AF300" s="31">
        <f>'mnt Data'!R303</f>
        <v>0</v>
      </c>
      <c r="AG300" s="31">
        <f>'mnt Data'!S303</f>
        <v>0</v>
      </c>
      <c r="AH300" s="31">
        <f>'mnt Data'!T303</f>
        <v>0</v>
      </c>
      <c r="AI300" s="31">
        <f>'mnt Data'!U303</f>
        <v>0</v>
      </c>
      <c r="AJ300" s="31">
        <f>'mnt Data'!V303</f>
        <v>0</v>
      </c>
      <c r="AK300" s="31">
        <f>'mnt Data'!W303</f>
        <v>0</v>
      </c>
      <c r="AL300" s="31">
        <f>'mnt Data'!X303</f>
        <v>0</v>
      </c>
      <c r="AM300" s="31">
        <f>'mnt Data'!Y303</f>
        <v>0</v>
      </c>
      <c r="AN300" s="31">
        <f>'mnt Data'!Z303</f>
        <v>0</v>
      </c>
      <c r="AO300" s="31">
        <f>'mnt Data'!AA303</f>
        <v>0</v>
      </c>
      <c r="AP300" s="31">
        <f>'mnt Data'!AB303</f>
        <v>0</v>
      </c>
      <c r="AQ300" s="31">
        <f>'mnt Data'!AC303</f>
        <v>0</v>
      </c>
      <c r="AR300" s="31">
        <f>'mnt Data'!AD303</f>
        <v>0</v>
      </c>
      <c r="AS300" s="31">
        <f>'mnt Data'!AE303</f>
        <v>0</v>
      </c>
      <c r="AT300" s="31">
        <f>'mnt Data'!AF303</f>
        <v>0</v>
      </c>
      <c r="AU300" s="31">
        <f>'mnt Data'!AG303</f>
        <v>0</v>
      </c>
      <c r="AV300" s="31">
        <f>'mnt Data'!AH303</f>
        <v>0</v>
      </c>
      <c r="AW300" s="31">
        <f>'mnt Data'!AI303</f>
        <v>0</v>
      </c>
      <c r="AX300" s="31">
        <f>'mnt Data'!AJ303</f>
        <v>0</v>
      </c>
      <c r="AY300" s="31">
        <f>'mnt Data'!AK303</f>
        <v>0</v>
      </c>
    </row>
    <row r="301" spans="1:51" x14ac:dyDescent="0.25">
      <c r="A301">
        <v>300</v>
      </c>
      <c r="B301" s="32">
        <f t="shared" si="60"/>
        <v>0</v>
      </c>
      <c r="C301" s="32">
        <f t="shared" si="61"/>
        <v>0</v>
      </c>
      <c r="D301" s="32" t="str">
        <f t="shared" si="53"/>
        <v>No Gs</v>
      </c>
      <c r="E301" s="32">
        <f t="shared" si="57"/>
        <v>0</v>
      </c>
      <c r="F301" s="32" t="str">
        <f t="shared" si="58"/>
        <v>No Gs</v>
      </c>
      <c r="G301" s="32" t="str">
        <f t="shared" si="59"/>
        <v>No Gs</v>
      </c>
      <c r="H301" s="32" t="str">
        <f t="shared" si="62"/>
        <v>Gs is needed</v>
      </c>
      <c r="I301" s="32" t="str">
        <f t="shared" si="63"/>
        <v>Gs is needed</v>
      </c>
      <c r="J301" s="32" t="str">
        <f t="shared" si="64"/>
        <v>Gs is needed</v>
      </c>
      <c r="K301" s="32" t="str">
        <f t="shared" si="54"/>
        <v>Need Max and Min</v>
      </c>
      <c r="L301" s="32" t="str">
        <f t="shared" si="55"/>
        <v>Need Max and Min</v>
      </c>
      <c r="M301" s="32" t="str">
        <f t="shared" si="56"/>
        <v>Fail</v>
      </c>
      <c r="N301" s="32"/>
      <c r="O301" s="31">
        <f>'mnt Data'!A304</f>
        <v>0</v>
      </c>
      <c r="P301" s="31">
        <f>'mnt Data'!B304</f>
        <v>0</v>
      </c>
      <c r="Q301" s="31">
        <f>'mnt Data'!C304</f>
        <v>0</v>
      </c>
      <c r="R301" s="31">
        <f>'mnt Data'!D304</f>
        <v>0</v>
      </c>
      <c r="S301" s="31">
        <f>'mnt Data'!E304</f>
        <v>0</v>
      </c>
      <c r="T301" s="31">
        <f>'mnt Data'!F304</f>
        <v>0</v>
      </c>
      <c r="U301" s="31">
        <f>'mnt Data'!G304</f>
        <v>0</v>
      </c>
      <c r="V301" s="31">
        <f>'mnt Data'!H304</f>
        <v>0</v>
      </c>
      <c r="W301" s="31">
        <f>'mnt Data'!I304</f>
        <v>0</v>
      </c>
      <c r="X301" s="31">
        <f>'mnt Data'!J304</f>
        <v>0</v>
      </c>
      <c r="Y301" s="31">
        <f>'mnt Data'!K304</f>
        <v>0</v>
      </c>
      <c r="Z301" s="31">
        <f>'mnt Data'!L304</f>
        <v>0</v>
      </c>
      <c r="AA301" s="31">
        <f>'mnt Data'!M304</f>
        <v>0</v>
      </c>
      <c r="AB301" s="31">
        <f>'mnt Data'!N304</f>
        <v>0</v>
      </c>
      <c r="AC301" s="31">
        <f>'mnt Data'!O304</f>
        <v>0</v>
      </c>
      <c r="AD301" s="31">
        <f>'mnt Data'!P304</f>
        <v>0</v>
      </c>
      <c r="AE301" s="31">
        <f>'mnt Data'!Q304</f>
        <v>0</v>
      </c>
      <c r="AF301" s="31">
        <f>'mnt Data'!R304</f>
        <v>0</v>
      </c>
      <c r="AG301" s="31">
        <f>'mnt Data'!S304</f>
        <v>0</v>
      </c>
      <c r="AH301" s="31">
        <f>'mnt Data'!T304</f>
        <v>0</v>
      </c>
      <c r="AI301" s="31">
        <f>'mnt Data'!U304</f>
        <v>0</v>
      </c>
      <c r="AJ301" s="31">
        <f>'mnt Data'!V304</f>
        <v>0</v>
      </c>
      <c r="AK301" s="31">
        <f>'mnt Data'!W304</f>
        <v>0</v>
      </c>
      <c r="AL301" s="31">
        <f>'mnt Data'!X304</f>
        <v>0</v>
      </c>
      <c r="AM301" s="31">
        <f>'mnt Data'!Y304</f>
        <v>0</v>
      </c>
      <c r="AN301" s="31">
        <f>'mnt Data'!Z304</f>
        <v>0</v>
      </c>
      <c r="AO301" s="31">
        <f>'mnt Data'!AA304</f>
        <v>0</v>
      </c>
      <c r="AP301" s="31">
        <f>'mnt Data'!AB304</f>
        <v>0</v>
      </c>
      <c r="AQ301" s="31">
        <f>'mnt Data'!AC304</f>
        <v>0</v>
      </c>
      <c r="AR301" s="31">
        <f>'mnt Data'!AD304</f>
        <v>0</v>
      </c>
      <c r="AS301" s="31">
        <f>'mnt Data'!AE304</f>
        <v>0</v>
      </c>
      <c r="AT301" s="31">
        <f>'mnt Data'!AF304</f>
        <v>0</v>
      </c>
      <c r="AU301" s="31">
        <f>'mnt Data'!AG304</f>
        <v>0</v>
      </c>
      <c r="AV301" s="31">
        <f>'mnt Data'!AH304</f>
        <v>0</v>
      </c>
      <c r="AW301" s="31">
        <f>'mnt Data'!AI304</f>
        <v>0</v>
      </c>
      <c r="AX301" s="31">
        <f>'mnt Data'!AJ304</f>
        <v>0</v>
      </c>
      <c r="AY301" s="31">
        <f>'mnt Data'!AK304</f>
        <v>0</v>
      </c>
    </row>
    <row r="302" spans="1:51" x14ac:dyDescent="0.25">
      <c r="A302">
        <v>301</v>
      </c>
      <c r="B302" s="32">
        <f t="shared" si="60"/>
        <v>0</v>
      </c>
      <c r="C302" s="32">
        <f t="shared" si="61"/>
        <v>0</v>
      </c>
      <c r="D302" s="32" t="str">
        <f t="shared" si="53"/>
        <v>No Gs</v>
      </c>
      <c r="E302" s="32">
        <f t="shared" si="57"/>
        <v>0</v>
      </c>
      <c r="F302" s="32" t="str">
        <f t="shared" si="58"/>
        <v>No Gs</v>
      </c>
      <c r="G302" s="32" t="str">
        <f t="shared" si="59"/>
        <v>No Gs</v>
      </c>
      <c r="H302" s="32" t="str">
        <f t="shared" si="62"/>
        <v>Gs is needed</v>
      </c>
      <c r="I302" s="32" t="str">
        <f t="shared" si="63"/>
        <v>Gs is needed</v>
      </c>
      <c r="J302" s="32" t="str">
        <f t="shared" si="64"/>
        <v>Gs is needed</v>
      </c>
      <c r="K302" s="32" t="str">
        <f t="shared" si="54"/>
        <v>Need Max and Min</v>
      </c>
      <c r="L302" s="32" t="str">
        <f t="shared" si="55"/>
        <v>Need Max and Min</v>
      </c>
      <c r="M302" s="32" t="str">
        <f t="shared" si="56"/>
        <v>Fail</v>
      </c>
      <c r="N302" s="32"/>
      <c r="O302" s="31">
        <f>'mnt Data'!A305</f>
        <v>0</v>
      </c>
      <c r="P302" s="31">
        <f>'mnt Data'!B305</f>
        <v>0</v>
      </c>
      <c r="Q302" s="31">
        <f>'mnt Data'!C305</f>
        <v>0</v>
      </c>
      <c r="R302" s="31">
        <f>'mnt Data'!D305</f>
        <v>0</v>
      </c>
      <c r="S302" s="31">
        <f>'mnt Data'!E305</f>
        <v>0</v>
      </c>
      <c r="T302" s="31">
        <f>'mnt Data'!F305</f>
        <v>0</v>
      </c>
      <c r="U302" s="31">
        <f>'mnt Data'!G305</f>
        <v>0</v>
      </c>
      <c r="V302" s="31">
        <f>'mnt Data'!H305</f>
        <v>0</v>
      </c>
      <c r="W302" s="31">
        <f>'mnt Data'!I305</f>
        <v>0</v>
      </c>
      <c r="X302" s="31">
        <f>'mnt Data'!J305</f>
        <v>0</v>
      </c>
      <c r="Y302" s="31">
        <f>'mnt Data'!K305</f>
        <v>0</v>
      </c>
      <c r="Z302" s="31">
        <f>'mnt Data'!L305</f>
        <v>0</v>
      </c>
      <c r="AA302" s="31">
        <f>'mnt Data'!M305</f>
        <v>0</v>
      </c>
      <c r="AB302" s="31">
        <f>'mnt Data'!N305</f>
        <v>0</v>
      </c>
      <c r="AC302" s="31">
        <f>'mnt Data'!O305</f>
        <v>0</v>
      </c>
      <c r="AD302" s="31">
        <f>'mnt Data'!P305</f>
        <v>0</v>
      </c>
      <c r="AE302" s="31">
        <f>'mnt Data'!Q305</f>
        <v>0</v>
      </c>
      <c r="AF302" s="31">
        <f>'mnt Data'!R305</f>
        <v>0</v>
      </c>
      <c r="AG302" s="31">
        <f>'mnt Data'!S305</f>
        <v>0</v>
      </c>
      <c r="AH302" s="31">
        <f>'mnt Data'!T305</f>
        <v>0</v>
      </c>
      <c r="AI302" s="31">
        <f>'mnt Data'!U305</f>
        <v>0</v>
      </c>
      <c r="AJ302" s="31">
        <f>'mnt Data'!V305</f>
        <v>0</v>
      </c>
      <c r="AK302" s="31">
        <f>'mnt Data'!W305</f>
        <v>0</v>
      </c>
      <c r="AL302" s="31">
        <f>'mnt Data'!X305</f>
        <v>0</v>
      </c>
      <c r="AM302" s="31">
        <f>'mnt Data'!Y305</f>
        <v>0</v>
      </c>
      <c r="AN302" s="31">
        <f>'mnt Data'!Z305</f>
        <v>0</v>
      </c>
      <c r="AO302" s="31">
        <f>'mnt Data'!AA305</f>
        <v>0</v>
      </c>
      <c r="AP302" s="31">
        <f>'mnt Data'!AB305</f>
        <v>0</v>
      </c>
      <c r="AQ302" s="31">
        <f>'mnt Data'!AC305</f>
        <v>0</v>
      </c>
      <c r="AR302" s="31">
        <f>'mnt Data'!AD305</f>
        <v>0</v>
      </c>
      <c r="AS302" s="31">
        <f>'mnt Data'!AE305</f>
        <v>0</v>
      </c>
      <c r="AT302" s="31">
        <f>'mnt Data'!AF305</f>
        <v>0</v>
      </c>
      <c r="AU302" s="31">
        <f>'mnt Data'!AG305</f>
        <v>0</v>
      </c>
      <c r="AV302" s="31">
        <f>'mnt Data'!AH305</f>
        <v>0</v>
      </c>
      <c r="AW302" s="31">
        <f>'mnt Data'!AI305</f>
        <v>0</v>
      </c>
      <c r="AX302" s="31">
        <f>'mnt Data'!AJ305</f>
        <v>0</v>
      </c>
      <c r="AY302" s="31">
        <f>'mnt Data'!AK305</f>
        <v>0</v>
      </c>
    </row>
    <row r="303" spans="1:51" x14ac:dyDescent="0.25">
      <c r="A303">
        <v>302</v>
      </c>
      <c r="B303" s="32">
        <f t="shared" si="60"/>
        <v>0</v>
      </c>
      <c r="C303" s="32">
        <f t="shared" si="61"/>
        <v>0</v>
      </c>
      <c r="D303" s="32" t="str">
        <f t="shared" si="53"/>
        <v>No Gs</v>
      </c>
      <c r="E303" s="32">
        <f t="shared" si="57"/>
        <v>0</v>
      </c>
      <c r="F303" s="32" t="str">
        <f t="shared" si="58"/>
        <v>No Gs</v>
      </c>
      <c r="G303" s="32" t="str">
        <f t="shared" si="59"/>
        <v>No Gs</v>
      </c>
      <c r="H303" s="32" t="str">
        <f t="shared" si="62"/>
        <v>Gs is needed</v>
      </c>
      <c r="I303" s="32" t="str">
        <f t="shared" si="63"/>
        <v>Gs is needed</v>
      </c>
      <c r="J303" s="32" t="str">
        <f t="shared" si="64"/>
        <v>Gs is needed</v>
      </c>
      <c r="K303" s="32" t="str">
        <f t="shared" si="54"/>
        <v>Need Max and Min</v>
      </c>
      <c r="L303" s="32" t="str">
        <f t="shared" si="55"/>
        <v>Need Max and Min</v>
      </c>
      <c r="M303" s="32" t="str">
        <f t="shared" si="56"/>
        <v>Fail</v>
      </c>
      <c r="N303" s="32"/>
      <c r="O303" s="31">
        <f>'mnt Data'!A306</f>
        <v>0</v>
      </c>
      <c r="P303" s="31">
        <f>'mnt Data'!B306</f>
        <v>0</v>
      </c>
      <c r="Q303" s="31">
        <f>'mnt Data'!C306</f>
        <v>0</v>
      </c>
      <c r="R303" s="31">
        <f>'mnt Data'!D306</f>
        <v>0</v>
      </c>
      <c r="S303" s="31">
        <f>'mnt Data'!E306</f>
        <v>0</v>
      </c>
      <c r="T303" s="31">
        <f>'mnt Data'!F306</f>
        <v>0</v>
      </c>
      <c r="U303" s="31">
        <f>'mnt Data'!G306</f>
        <v>0</v>
      </c>
      <c r="V303" s="31">
        <f>'mnt Data'!H306</f>
        <v>0</v>
      </c>
      <c r="W303" s="31">
        <f>'mnt Data'!I306</f>
        <v>0</v>
      </c>
      <c r="X303" s="31">
        <f>'mnt Data'!J306</f>
        <v>0</v>
      </c>
      <c r="Y303" s="31">
        <f>'mnt Data'!K306</f>
        <v>0</v>
      </c>
      <c r="Z303" s="31">
        <f>'mnt Data'!L306</f>
        <v>0</v>
      </c>
      <c r="AA303" s="31">
        <f>'mnt Data'!M306</f>
        <v>0</v>
      </c>
      <c r="AB303" s="31">
        <f>'mnt Data'!N306</f>
        <v>0</v>
      </c>
      <c r="AC303" s="31">
        <f>'mnt Data'!O306</f>
        <v>0</v>
      </c>
      <c r="AD303" s="31">
        <f>'mnt Data'!P306</f>
        <v>0</v>
      </c>
      <c r="AE303" s="31">
        <f>'mnt Data'!Q306</f>
        <v>0</v>
      </c>
      <c r="AF303" s="31">
        <f>'mnt Data'!R306</f>
        <v>0</v>
      </c>
      <c r="AG303" s="31">
        <f>'mnt Data'!S306</f>
        <v>0</v>
      </c>
      <c r="AH303" s="31">
        <f>'mnt Data'!T306</f>
        <v>0</v>
      </c>
      <c r="AI303" s="31">
        <f>'mnt Data'!U306</f>
        <v>0</v>
      </c>
      <c r="AJ303" s="31">
        <f>'mnt Data'!V306</f>
        <v>0</v>
      </c>
      <c r="AK303" s="31">
        <f>'mnt Data'!W306</f>
        <v>0</v>
      </c>
      <c r="AL303" s="31">
        <f>'mnt Data'!X306</f>
        <v>0</v>
      </c>
      <c r="AM303" s="31">
        <f>'mnt Data'!Y306</f>
        <v>0</v>
      </c>
      <c r="AN303" s="31">
        <f>'mnt Data'!Z306</f>
        <v>0</v>
      </c>
      <c r="AO303" s="31">
        <f>'mnt Data'!AA306</f>
        <v>0</v>
      </c>
      <c r="AP303" s="31">
        <f>'mnt Data'!AB306</f>
        <v>0</v>
      </c>
      <c r="AQ303" s="31">
        <f>'mnt Data'!AC306</f>
        <v>0</v>
      </c>
      <c r="AR303" s="31">
        <f>'mnt Data'!AD306</f>
        <v>0</v>
      </c>
      <c r="AS303" s="31">
        <f>'mnt Data'!AE306</f>
        <v>0</v>
      </c>
      <c r="AT303" s="31">
        <f>'mnt Data'!AF306</f>
        <v>0</v>
      </c>
      <c r="AU303" s="31">
        <f>'mnt Data'!AG306</f>
        <v>0</v>
      </c>
      <c r="AV303" s="31">
        <f>'mnt Data'!AH306</f>
        <v>0</v>
      </c>
      <c r="AW303" s="31">
        <f>'mnt Data'!AI306</f>
        <v>0</v>
      </c>
      <c r="AX303" s="31">
        <f>'mnt Data'!AJ306</f>
        <v>0</v>
      </c>
      <c r="AY303" s="31">
        <f>'mnt Data'!AK306</f>
        <v>0</v>
      </c>
    </row>
    <row r="304" spans="1:51" x14ac:dyDescent="0.25">
      <c r="A304">
        <v>303</v>
      </c>
      <c r="B304" s="32">
        <f t="shared" si="60"/>
        <v>0</v>
      </c>
      <c r="C304" s="32">
        <f t="shared" si="61"/>
        <v>0</v>
      </c>
      <c r="D304" s="32" t="str">
        <f t="shared" si="53"/>
        <v>No Gs</v>
      </c>
      <c r="E304" s="32">
        <f t="shared" si="57"/>
        <v>0</v>
      </c>
      <c r="F304" s="32" t="str">
        <f t="shared" si="58"/>
        <v>No Gs</v>
      </c>
      <c r="G304" s="32" t="str">
        <f t="shared" si="59"/>
        <v>No Gs</v>
      </c>
      <c r="H304" s="32" t="str">
        <f t="shared" si="62"/>
        <v>Gs is needed</v>
      </c>
      <c r="I304" s="32" t="str">
        <f t="shared" si="63"/>
        <v>Gs is needed</v>
      </c>
      <c r="J304" s="32" t="str">
        <f t="shared" si="64"/>
        <v>Gs is needed</v>
      </c>
      <c r="K304" s="32" t="str">
        <f t="shared" si="54"/>
        <v>Need Max and Min</v>
      </c>
      <c r="L304" s="32" t="str">
        <f t="shared" si="55"/>
        <v>Need Max and Min</v>
      </c>
      <c r="M304" s="32" t="str">
        <f t="shared" si="56"/>
        <v>Fail</v>
      </c>
      <c r="N304" s="32"/>
      <c r="O304" s="31">
        <f>'mnt Data'!A307</f>
        <v>0</v>
      </c>
      <c r="P304" s="31">
        <f>'mnt Data'!B307</f>
        <v>0</v>
      </c>
      <c r="Q304" s="31">
        <f>'mnt Data'!C307</f>
        <v>0</v>
      </c>
      <c r="R304" s="31">
        <f>'mnt Data'!D307</f>
        <v>0</v>
      </c>
      <c r="S304" s="31">
        <f>'mnt Data'!E307</f>
        <v>0</v>
      </c>
      <c r="T304" s="31">
        <f>'mnt Data'!F307</f>
        <v>0</v>
      </c>
      <c r="U304" s="31">
        <f>'mnt Data'!G307</f>
        <v>0</v>
      </c>
      <c r="V304" s="31">
        <f>'mnt Data'!H307</f>
        <v>0</v>
      </c>
      <c r="W304" s="31">
        <f>'mnt Data'!I307</f>
        <v>0</v>
      </c>
      <c r="X304" s="31">
        <f>'mnt Data'!J307</f>
        <v>0</v>
      </c>
      <c r="Y304" s="31">
        <f>'mnt Data'!K307</f>
        <v>0</v>
      </c>
      <c r="Z304" s="31">
        <f>'mnt Data'!L307</f>
        <v>0</v>
      </c>
      <c r="AA304" s="31">
        <f>'mnt Data'!M307</f>
        <v>0</v>
      </c>
      <c r="AB304" s="31">
        <f>'mnt Data'!N307</f>
        <v>0</v>
      </c>
      <c r="AC304" s="31">
        <f>'mnt Data'!O307</f>
        <v>0</v>
      </c>
      <c r="AD304" s="31">
        <f>'mnt Data'!P307</f>
        <v>0</v>
      </c>
      <c r="AE304" s="31">
        <f>'mnt Data'!Q307</f>
        <v>0</v>
      </c>
      <c r="AF304" s="31">
        <f>'mnt Data'!R307</f>
        <v>0</v>
      </c>
      <c r="AG304" s="31">
        <f>'mnt Data'!S307</f>
        <v>0</v>
      </c>
      <c r="AH304" s="31">
        <f>'mnt Data'!T307</f>
        <v>0</v>
      </c>
      <c r="AI304" s="31">
        <f>'mnt Data'!U307</f>
        <v>0</v>
      </c>
      <c r="AJ304" s="31">
        <f>'mnt Data'!V307</f>
        <v>0</v>
      </c>
      <c r="AK304" s="31">
        <f>'mnt Data'!W307</f>
        <v>0</v>
      </c>
      <c r="AL304" s="31">
        <f>'mnt Data'!X307</f>
        <v>0</v>
      </c>
      <c r="AM304" s="31">
        <f>'mnt Data'!Y307</f>
        <v>0</v>
      </c>
      <c r="AN304" s="31">
        <f>'mnt Data'!Z307</f>
        <v>0</v>
      </c>
      <c r="AO304" s="31">
        <f>'mnt Data'!AA307</f>
        <v>0</v>
      </c>
      <c r="AP304" s="31">
        <f>'mnt Data'!AB307</f>
        <v>0</v>
      </c>
      <c r="AQ304" s="31">
        <f>'mnt Data'!AC307</f>
        <v>0</v>
      </c>
      <c r="AR304" s="31">
        <f>'mnt Data'!AD307</f>
        <v>0</v>
      </c>
      <c r="AS304" s="31">
        <f>'mnt Data'!AE307</f>
        <v>0</v>
      </c>
      <c r="AT304" s="31">
        <f>'mnt Data'!AF307</f>
        <v>0</v>
      </c>
      <c r="AU304" s="31">
        <f>'mnt Data'!AG307</f>
        <v>0</v>
      </c>
      <c r="AV304" s="31">
        <f>'mnt Data'!AH307</f>
        <v>0</v>
      </c>
      <c r="AW304" s="31">
        <f>'mnt Data'!AI307</f>
        <v>0</v>
      </c>
      <c r="AX304" s="31">
        <f>'mnt Data'!AJ307</f>
        <v>0</v>
      </c>
      <c r="AY304" s="31">
        <f>'mnt Data'!AK307</f>
        <v>0</v>
      </c>
    </row>
    <row r="305" spans="1:51" x14ac:dyDescent="0.25">
      <c r="A305">
        <v>304</v>
      </c>
      <c r="B305" s="32">
        <f t="shared" si="60"/>
        <v>0</v>
      </c>
      <c r="C305" s="32">
        <f t="shared" si="61"/>
        <v>0</v>
      </c>
      <c r="D305" s="32" t="str">
        <f t="shared" si="53"/>
        <v>No Gs</v>
      </c>
      <c r="E305" s="32">
        <f t="shared" si="57"/>
        <v>0</v>
      </c>
      <c r="F305" s="32" t="str">
        <f t="shared" si="58"/>
        <v>No Gs</v>
      </c>
      <c r="G305" s="32" t="str">
        <f t="shared" si="59"/>
        <v>No Gs</v>
      </c>
      <c r="H305" s="32" t="str">
        <f t="shared" si="62"/>
        <v>Gs is needed</v>
      </c>
      <c r="I305" s="32" t="str">
        <f t="shared" si="63"/>
        <v>Gs is needed</v>
      </c>
      <c r="J305" s="32" t="str">
        <f t="shared" si="64"/>
        <v>Gs is needed</v>
      </c>
      <c r="K305" s="32" t="str">
        <f t="shared" si="54"/>
        <v>Need Max and Min</v>
      </c>
      <c r="L305" s="32" t="str">
        <f t="shared" si="55"/>
        <v>Need Max and Min</v>
      </c>
      <c r="M305" s="32" t="str">
        <f t="shared" si="56"/>
        <v>Fail</v>
      </c>
      <c r="N305" s="32"/>
      <c r="O305" s="31">
        <f>'mnt Data'!A308</f>
        <v>0</v>
      </c>
      <c r="P305" s="31">
        <f>'mnt Data'!B308</f>
        <v>0</v>
      </c>
      <c r="Q305" s="31">
        <f>'mnt Data'!C308</f>
        <v>0</v>
      </c>
      <c r="R305" s="31">
        <f>'mnt Data'!D308</f>
        <v>0</v>
      </c>
      <c r="S305" s="31">
        <f>'mnt Data'!E308</f>
        <v>0</v>
      </c>
      <c r="T305" s="31">
        <f>'mnt Data'!F308</f>
        <v>0</v>
      </c>
      <c r="U305" s="31">
        <f>'mnt Data'!G308</f>
        <v>0</v>
      </c>
      <c r="V305" s="31">
        <f>'mnt Data'!H308</f>
        <v>0</v>
      </c>
      <c r="W305" s="31">
        <f>'mnt Data'!I308</f>
        <v>0</v>
      </c>
      <c r="X305" s="31">
        <f>'mnt Data'!J308</f>
        <v>0</v>
      </c>
      <c r="Y305" s="31">
        <f>'mnt Data'!K308</f>
        <v>0</v>
      </c>
      <c r="Z305" s="31">
        <f>'mnt Data'!L308</f>
        <v>0</v>
      </c>
      <c r="AA305" s="31">
        <f>'mnt Data'!M308</f>
        <v>0</v>
      </c>
      <c r="AB305" s="31">
        <f>'mnt Data'!N308</f>
        <v>0</v>
      </c>
      <c r="AC305" s="31">
        <f>'mnt Data'!O308</f>
        <v>0</v>
      </c>
      <c r="AD305" s="31">
        <f>'mnt Data'!P308</f>
        <v>0</v>
      </c>
      <c r="AE305" s="31">
        <f>'mnt Data'!Q308</f>
        <v>0</v>
      </c>
      <c r="AF305" s="31">
        <f>'mnt Data'!R308</f>
        <v>0</v>
      </c>
      <c r="AG305" s="31">
        <f>'mnt Data'!S308</f>
        <v>0</v>
      </c>
      <c r="AH305" s="31">
        <f>'mnt Data'!T308</f>
        <v>0</v>
      </c>
      <c r="AI305" s="31">
        <f>'mnt Data'!U308</f>
        <v>0</v>
      </c>
      <c r="AJ305" s="31">
        <f>'mnt Data'!V308</f>
        <v>0</v>
      </c>
      <c r="AK305" s="31">
        <f>'mnt Data'!W308</f>
        <v>0</v>
      </c>
      <c r="AL305" s="31">
        <f>'mnt Data'!X308</f>
        <v>0</v>
      </c>
      <c r="AM305" s="31">
        <f>'mnt Data'!Y308</f>
        <v>0</v>
      </c>
      <c r="AN305" s="31">
        <f>'mnt Data'!Z308</f>
        <v>0</v>
      </c>
      <c r="AO305" s="31">
        <f>'mnt Data'!AA308</f>
        <v>0</v>
      </c>
      <c r="AP305" s="31">
        <f>'mnt Data'!AB308</f>
        <v>0</v>
      </c>
      <c r="AQ305" s="31">
        <f>'mnt Data'!AC308</f>
        <v>0</v>
      </c>
      <c r="AR305" s="31">
        <f>'mnt Data'!AD308</f>
        <v>0</v>
      </c>
      <c r="AS305" s="31">
        <f>'mnt Data'!AE308</f>
        <v>0</v>
      </c>
      <c r="AT305" s="31">
        <f>'mnt Data'!AF308</f>
        <v>0</v>
      </c>
      <c r="AU305" s="31">
        <f>'mnt Data'!AG308</f>
        <v>0</v>
      </c>
      <c r="AV305" s="31">
        <f>'mnt Data'!AH308</f>
        <v>0</v>
      </c>
      <c r="AW305" s="31">
        <f>'mnt Data'!AI308</f>
        <v>0</v>
      </c>
      <c r="AX305" s="31">
        <f>'mnt Data'!AJ308</f>
        <v>0</v>
      </c>
      <c r="AY305" s="31">
        <f>'mnt Data'!AK308</f>
        <v>0</v>
      </c>
    </row>
    <row r="306" spans="1:51" x14ac:dyDescent="0.25">
      <c r="A306">
        <v>305</v>
      </c>
      <c r="B306" s="32">
        <f t="shared" si="60"/>
        <v>0</v>
      </c>
      <c r="C306" s="32">
        <f t="shared" si="61"/>
        <v>0</v>
      </c>
      <c r="D306" s="32" t="str">
        <f t="shared" si="53"/>
        <v>No Gs</v>
      </c>
      <c r="E306" s="32">
        <f t="shared" si="57"/>
        <v>0</v>
      </c>
      <c r="F306" s="32" t="str">
        <f t="shared" si="58"/>
        <v>No Gs</v>
      </c>
      <c r="G306" s="32" t="str">
        <f t="shared" si="59"/>
        <v>No Gs</v>
      </c>
      <c r="H306" s="32" t="str">
        <f t="shared" si="62"/>
        <v>Gs is needed</v>
      </c>
      <c r="I306" s="32" t="str">
        <f t="shared" si="63"/>
        <v>Gs is needed</v>
      </c>
      <c r="J306" s="32" t="str">
        <f t="shared" si="64"/>
        <v>Gs is needed</v>
      </c>
      <c r="K306" s="32" t="str">
        <f t="shared" si="54"/>
        <v>Need Max and Min</v>
      </c>
      <c r="L306" s="32" t="str">
        <f t="shared" si="55"/>
        <v>Need Max and Min</v>
      </c>
      <c r="M306" s="32" t="str">
        <f t="shared" si="56"/>
        <v>Fail</v>
      </c>
      <c r="N306" s="32"/>
      <c r="O306" s="31">
        <f>'mnt Data'!A309</f>
        <v>0</v>
      </c>
      <c r="P306" s="31">
        <f>'mnt Data'!B309</f>
        <v>0</v>
      </c>
      <c r="Q306" s="31">
        <f>'mnt Data'!C309</f>
        <v>0</v>
      </c>
      <c r="R306" s="31">
        <f>'mnt Data'!D309</f>
        <v>0</v>
      </c>
      <c r="S306" s="31">
        <f>'mnt Data'!E309</f>
        <v>0</v>
      </c>
      <c r="T306" s="31">
        <f>'mnt Data'!F309</f>
        <v>0</v>
      </c>
      <c r="U306" s="31">
        <f>'mnt Data'!G309</f>
        <v>0</v>
      </c>
      <c r="V306" s="31">
        <f>'mnt Data'!H309</f>
        <v>0</v>
      </c>
      <c r="W306" s="31">
        <f>'mnt Data'!I309</f>
        <v>0</v>
      </c>
      <c r="X306" s="31">
        <f>'mnt Data'!J309</f>
        <v>0</v>
      </c>
      <c r="Y306" s="31">
        <f>'mnt Data'!K309</f>
        <v>0</v>
      </c>
      <c r="Z306" s="31">
        <f>'mnt Data'!L309</f>
        <v>0</v>
      </c>
      <c r="AA306" s="31">
        <f>'mnt Data'!M309</f>
        <v>0</v>
      </c>
      <c r="AB306" s="31">
        <f>'mnt Data'!N309</f>
        <v>0</v>
      </c>
      <c r="AC306" s="31">
        <f>'mnt Data'!O309</f>
        <v>0</v>
      </c>
      <c r="AD306" s="31">
        <f>'mnt Data'!P309</f>
        <v>0</v>
      </c>
      <c r="AE306" s="31">
        <f>'mnt Data'!Q309</f>
        <v>0</v>
      </c>
      <c r="AF306" s="31">
        <f>'mnt Data'!R309</f>
        <v>0</v>
      </c>
      <c r="AG306" s="31">
        <f>'mnt Data'!S309</f>
        <v>0</v>
      </c>
      <c r="AH306" s="31">
        <f>'mnt Data'!T309</f>
        <v>0</v>
      </c>
      <c r="AI306" s="31">
        <f>'mnt Data'!U309</f>
        <v>0</v>
      </c>
      <c r="AJ306" s="31">
        <f>'mnt Data'!V309</f>
        <v>0</v>
      </c>
      <c r="AK306" s="31">
        <f>'mnt Data'!W309</f>
        <v>0</v>
      </c>
      <c r="AL306" s="31">
        <f>'mnt Data'!X309</f>
        <v>0</v>
      </c>
      <c r="AM306" s="31">
        <f>'mnt Data'!Y309</f>
        <v>0</v>
      </c>
      <c r="AN306" s="31">
        <f>'mnt Data'!Z309</f>
        <v>0</v>
      </c>
      <c r="AO306" s="31">
        <f>'mnt Data'!AA309</f>
        <v>0</v>
      </c>
      <c r="AP306" s="31">
        <f>'mnt Data'!AB309</f>
        <v>0</v>
      </c>
      <c r="AQ306" s="31">
        <f>'mnt Data'!AC309</f>
        <v>0</v>
      </c>
      <c r="AR306" s="31">
        <f>'mnt Data'!AD309</f>
        <v>0</v>
      </c>
      <c r="AS306" s="31">
        <f>'mnt Data'!AE309</f>
        <v>0</v>
      </c>
      <c r="AT306" s="31">
        <f>'mnt Data'!AF309</f>
        <v>0</v>
      </c>
      <c r="AU306" s="31">
        <f>'mnt Data'!AG309</f>
        <v>0</v>
      </c>
      <c r="AV306" s="31">
        <f>'mnt Data'!AH309</f>
        <v>0</v>
      </c>
      <c r="AW306" s="31">
        <f>'mnt Data'!AI309</f>
        <v>0</v>
      </c>
      <c r="AX306" s="31">
        <f>'mnt Data'!AJ309</f>
        <v>0</v>
      </c>
      <c r="AY306" s="31">
        <f>'mnt Data'!AK309</f>
        <v>0</v>
      </c>
    </row>
    <row r="307" spans="1:51" x14ac:dyDescent="0.25">
      <c r="A307">
        <v>306</v>
      </c>
      <c r="B307" s="32">
        <f t="shared" si="60"/>
        <v>0</v>
      </c>
      <c r="C307" s="32">
        <f t="shared" si="61"/>
        <v>0</v>
      </c>
      <c r="D307" s="32" t="str">
        <f t="shared" si="53"/>
        <v>No Gs</v>
      </c>
      <c r="E307" s="32">
        <f t="shared" si="57"/>
        <v>0</v>
      </c>
      <c r="F307" s="32" t="str">
        <f t="shared" si="58"/>
        <v>No Gs</v>
      </c>
      <c r="G307" s="32" t="str">
        <f t="shared" si="59"/>
        <v>No Gs</v>
      </c>
      <c r="H307" s="32" t="str">
        <f t="shared" si="62"/>
        <v>Gs is needed</v>
      </c>
      <c r="I307" s="32" t="str">
        <f t="shared" si="63"/>
        <v>Gs is needed</v>
      </c>
      <c r="J307" s="32" t="str">
        <f t="shared" si="64"/>
        <v>Gs is needed</v>
      </c>
      <c r="K307" s="32" t="str">
        <f t="shared" si="54"/>
        <v>Need Max and Min</v>
      </c>
      <c r="L307" s="32" t="str">
        <f t="shared" si="55"/>
        <v>Need Max and Min</v>
      </c>
      <c r="M307" s="32" t="str">
        <f t="shared" si="56"/>
        <v>Fail</v>
      </c>
      <c r="N307" s="32"/>
      <c r="O307" s="31">
        <f>'mnt Data'!A310</f>
        <v>0</v>
      </c>
      <c r="P307" s="31">
        <f>'mnt Data'!B310</f>
        <v>0</v>
      </c>
      <c r="Q307" s="31">
        <f>'mnt Data'!C310</f>
        <v>0</v>
      </c>
      <c r="R307" s="31">
        <f>'mnt Data'!D310</f>
        <v>0</v>
      </c>
      <c r="S307" s="31">
        <f>'mnt Data'!E310</f>
        <v>0</v>
      </c>
      <c r="T307" s="31">
        <f>'mnt Data'!F310</f>
        <v>0</v>
      </c>
      <c r="U307" s="31">
        <f>'mnt Data'!G310</f>
        <v>0</v>
      </c>
      <c r="V307" s="31">
        <f>'mnt Data'!H310</f>
        <v>0</v>
      </c>
      <c r="W307" s="31">
        <f>'mnt Data'!I310</f>
        <v>0</v>
      </c>
      <c r="X307" s="31">
        <f>'mnt Data'!J310</f>
        <v>0</v>
      </c>
      <c r="Y307" s="31">
        <f>'mnt Data'!K310</f>
        <v>0</v>
      </c>
      <c r="Z307" s="31">
        <f>'mnt Data'!L310</f>
        <v>0</v>
      </c>
      <c r="AA307" s="31">
        <f>'mnt Data'!M310</f>
        <v>0</v>
      </c>
      <c r="AB307" s="31">
        <f>'mnt Data'!N310</f>
        <v>0</v>
      </c>
      <c r="AC307" s="31">
        <f>'mnt Data'!O310</f>
        <v>0</v>
      </c>
      <c r="AD307" s="31">
        <f>'mnt Data'!P310</f>
        <v>0</v>
      </c>
      <c r="AE307" s="31">
        <f>'mnt Data'!Q310</f>
        <v>0</v>
      </c>
      <c r="AF307" s="31">
        <f>'mnt Data'!R310</f>
        <v>0</v>
      </c>
      <c r="AG307" s="31">
        <f>'mnt Data'!S310</f>
        <v>0</v>
      </c>
      <c r="AH307" s="31">
        <f>'mnt Data'!T310</f>
        <v>0</v>
      </c>
      <c r="AI307" s="31">
        <f>'mnt Data'!U310</f>
        <v>0</v>
      </c>
      <c r="AJ307" s="31">
        <f>'mnt Data'!V310</f>
        <v>0</v>
      </c>
      <c r="AK307" s="31">
        <f>'mnt Data'!W310</f>
        <v>0</v>
      </c>
      <c r="AL307" s="31">
        <f>'mnt Data'!X310</f>
        <v>0</v>
      </c>
      <c r="AM307" s="31">
        <f>'mnt Data'!Y310</f>
        <v>0</v>
      </c>
      <c r="AN307" s="31">
        <f>'mnt Data'!Z310</f>
        <v>0</v>
      </c>
      <c r="AO307" s="31">
        <f>'mnt Data'!AA310</f>
        <v>0</v>
      </c>
      <c r="AP307" s="31">
        <f>'mnt Data'!AB310</f>
        <v>0</v>
      </c>
      <c r="AQ307" s="31">
        <f>'mnt Data'!AC310</f>
        <v>0</v>
      </c>
      <c r="AR307" s="31">
        <f>'mnt Data'!AD310</f>
        <v>0</v>
      </c>
      <c r="AS307" s="31">
        <f>'mnt Data'!AE310</f>
        <v>0</v>
      </c>
      <c r="AT307" s="31">
        <f>'mnt Data'!AF310</f>
        <v>0</v>
      </c>
      <c r="AU307" s="31">
        <f>'mnt Data'!AG310</f>
        <v>0</v>
      </c>
      <c r="AV307" s="31">
        <f>'mnt Data'!AH310</f>
        <v>0</v>
      </c>
      <c r="AW307" s="31">
        <f>'mnt Data'!AI310</f>
        <v>0</v>
      </c>
      <c r="AX307" s="31">
        <f>'mnt Data'!AJ310</f>
        <v>0</v>
      </c>
      <c r="AY307" s="31">
        <f>'mnt Data'!AK310</f>
        <v>0</v>
      </c>
    </row>
    <row r="308" spans="1:51" x14ac:dyDescent="0.25">
      <c r="A308">
        <v>307</v>
      </c>
      <c r="B308" s="32">
        <f t="shared" si="60"/>
        <v>0</v>
      </c>
      <c r="C308" s="32">
        <f t="shared" si="61"/>
        <v>0</v>
      </c>
      <c r="D308" s="32" t="str">
        <f t="shared" si="53"/>
        <v>No Gs</v>
      </c>
      <c r="E308" s="32">
        <f t="shared" si="57"/>
        <v>0</v>
      </c>
      <c r="F308" s="32" t="str">
        <f t="shared" si="58"/>
        <v>No Gs</v>
      </c>
      <c r="G308" s="32" t="str">
        <f t="shared" si="59"/>
        <v>No Gs</v>
      </c>
      <c r="H308" s="32" t="str">
        <f t="shared" si="62"/>
        <v>Gs is needed</v>
      </c>
      <c r="I308" s="32" t="str">
        <f t="shared" si="63"/>
        <v>Gs is needed</v>
      </c>
      <c r="J308" s="32" t="str">
        <f t="shared" si="64"/>
        <v>Gs is needed</v>
      </c>
      <c r="K308" s="32" t="str">
        <f t="shared" si="54"/>
        <v>Need Max and Min</v>
      </c>
      <c r="L308" s="32" t="str">
        <f t="shared" si="55"/>
        <v>Need Max and Min</v>
      </c>
      <c r="M308" s="32" t="str">
        <f t="shared" si="56"/>
        <v>Fail</v>
      </c>
      <c r="N308" s="32"/>
      <c r="O308" s="31">
        <f>'mnt Data'!A311</f>
        <v>0</v>
      </c>
      <c r="P308" s="31">
        <f>'mnt Data'!B311</f>
        <v>0</v>
      </c>
      <c r="Q308" s="31">
        <f>'mnt Data'!C311</f>
        <v>0</v>
      </c>
      <c r="R308" s="31">
        <f>'mnt Data'!D311</f>
        <v>0</v>
      </c>
      <c r="S308" s="31">
        <f>'mnt Data'!E311</f>
        <v>0</v>
      </c>
      <c r="T308" s="31">
        <f>'mnt Data'!F311</f>
        <v>0</v>
      </c>
      <c r="U308" s="31">
        <f>'mnt Data'!G311</f>
        <v>0</v>
      </c>
      <c r="V308" s="31">
        <f>'mnt Data'!H311</f>
        <v>0</v>
      </c>
      <c r="W308" s="31">
        <f>'mnt Data'!I311</f>
        <v>0</v>
      </c>
      <c r="X308" s="31">
        <f>'mnt Data'!J311</f>
        <v>0</v>
      </c>
      <c r="Y308" s="31">
        <f>'mnt Data'!K311</f>
        <v>0</v>
      </c>
      <c r="Z308" s="31">
        <f>'mnt Data'!L311</f>
        <v>0</v>
      </c>
      <c r="AA308" s="31">
        <f>'mnt Data'!M311</f>
        <v>0</v>
      </c>
      <c r="AB308" s="31">
        <f>'mnt Data'!N311</f>
        <v>0</v>
      </c>
      <c r="AC308" s="31">
        <f>'mnt Data'!O311</f>
        <v>0</v>
      </c>
      <c r="AD308" s="31">
        <f>'mnt Data'!P311</f>
        <v>0</v>
      </c>
      <c r="AE308" s="31">
        <f>'mnt Data'!Q311</f>
        <v>0</v>
      </c>
      <c r="AF308" s="31">
        <f>'mnt Data'!R311</f>
        <v>0</v>
      </c>
      <c r="AG308" s="31">
        <f>'mnt Data'!S311</f>
        <v>0</v>
      </c>
      <c r="AH308" s="31">
        <f>'mnt Data'!T311</f>
        <v>0</v>
      </c>
      <c r="AI308" s="31">
        <f>'mnt Data'!U311</f>
        <v>0</v>
      </c>
      <c r="AJ308" s="31">
        <f>'mnt Data'!V311</f>
        <v>0</v>
      </c>
      <c r="AK308" s="31">
        <f>'mnt Data'!W311</f>
        <v>0</v>
      </c>
      <c r="AL308" s="31">
        <f>'mnt Data'!X311</f>
        <v>0</v>
      </c>
      <c r="AM308" s="31">
        <f>'mnt Data'!Y311</f>
        <v>0</v>
      </c>
      <c r="AN308" s="31">
        <f>'mnt Data'!Z311</f>
        <v>0</v>
      </c>
      <c r="AO308" s="31">
        <f>'mnt Data'!AA311</f>
        <v>0</v>
      </c>
      <c r="AP308" s="31">
        <f>'mnt Data'!AB311</f>
        <v>0</v>
      </c>
      <c r="AQ308" s="31">
        <f>'mnt Data'!AC311</f>
        <v>0</v>
      </c>
      <c r="AR308" s="31">
        <f>'mnt Data'!AD311</f>
        <v>0</v>
      </c>
      <c r="AS308" s="31">
        <f>'mnt Data'!AE311</f>
        <v>0</v>
      </c>
      <c r="AT308" s="31">
        <f>'mnt Data'!AF311</f>
        <v>0</v>
      </c>
      <c r="AU308" s="31">
        <f>'mnt Data'!AG311</f>
        <v>0</v>
      </c>
      <c r="AV308" s="31">
        <f>'mnt Data'!AH311</f>
        <v>0</v>
      </c>
      <c r="AW308" s="31">
        <f>'mnt Data'!AI311</f>
        <v>0</v>
      </c>
      <c r="AX308" s="31">
        <f>'mnt Data'!AJ311</f>
        <v>0</v>
      </c>
      <c r="AY308" s="31">
        <f>'mnt Data'!AK311</f>
        <v>0</v>
      </c>
    </row>
    <row r="309" spans="1:51" x14ac:dyDescent="0.25">
      <c r="A309">
        <v>308</v>
      </c>
      <c r="B309" s="32">
        <f t="shared" si="60"/>
        <v>0</v>
      </c>
      <c r="C309" s="32">
        <f t="shared" si="61"/>
        <v>0</v>
      </c>
      <c r="D309" s="32" t="str">
        <f t="shared" si="53"/>
        <v>No Gs</v>
      </c>
      <c r="E309" s="32">
        <f t="shared" si="57"/>
        <v>0</v>
      </c>
      <c r="F309" s="32" t="str">
        <f t="shared" si="58"/>
        <v>No Gs</v>
      </c>
      <c r="G309" s="32" t="str">
        <f t="shared" si="59"/>
        <v>No Gs</v>
      </c>
      <c r="H309" s="32" t="str">
        <f t="shared" si="62"/>
        <v>Gs is needed</v>
      </c>
      <c r="I309" s="32" t="str">
        <f t="shared" si="63"/>
        <v>Gs is needed</v>
      </c>
      <c r="J309" s="32" t="str">
        <f t="shared" si="64"/>
        <v>Gs is needed</v>
      </c>
      <c r="K309" s="32" t="str">
        <f t="shared" si="54"/>
        <v>Need Max and Min</v>
      </c>
      <c r="L309" s="32" t="str">
        <f t="shared" si="55"/>
        <v>Need Max and Min</v>
      </c>
      <c r="M309" s="32" t="str">
        <f t="shared" si="56"/>
        <v>Fail</v>
      </c>
      <c r="N309" s="32"/>
      <c r="O309" s="31">
        <f>'mnt Data'!A312</f>
        <v>0</v>
      </c>
      <c r="P309" s="31">
        <f>'mnt Data'!B312</f>
        <v>0</v>
      </c>
      <c r="Q309" s="31">
        <f>'mnt Data'!C312</f>
        <v>0</v>
      </c>
      <c r="R309" s="31">
        <f>'mnt Data'!D312</f>
        <v>0</v>
      </c>
      <c r="S309" s="31">
        <f>'mnt Data'!E312</f>
        <v>0</v>
      </c>
      <c r="T309" s="31">
        <f>'mnt Data'!F312</f>
        <v>0</v>
      </c>
      <c r="U309" s="31">
        <f>'mnt Data'!G312</f>
        <v>0</v>
      </c>
      <c r="V309" s="31">
        <f>'mnt Data'!H312</f>
        <v>0</v>
      </c>
      <c r="W309" s="31">
        <f>'mnt Data'!I312</f>
        <v>0</v>
      </c>
      <c r="X309" s="31">
        <f>'mnt Data'!J312</f>
        <v>0</v>
      </c>
      <c r="Y309" s="31">
        <f>'mnt Data'!K312</f>
        <v>0</v>
      </c>
      <c r="Z309" s="31">
        <f>'mnt Data'!L312</f>
        <v>0</v>
      </c>
      <c r="AA309" s="31">
        <f>'mnt Data'!M312</f>
        <v>0</v>
      </c>
      <c r="AB309" s="31">
        <f>'mnt Data'!N312</f>
        <v>0</v>
      </c>
      <c r="AC309" s="31">
        <f>'mnt Data'!O312</f>
        <v>0</v>
      </c>
      <c r="AD309" s="31">
        <f>'mnt Data'!P312</f>
        <v>0</v>
      </c>
      <c r="AE309" s="31">
        <f>'mnt Data'!Q312</f>
        <v>0</v>
      </c>
      <c r="AF309" s="31">
        <f>'mnt Data'!R312</f>
        <v>0</v>
      </c>
      <c r="AG309" s="31">
        <f>'mnt Data'!S312</f>
        <v>0</v>
      </c>
      <c r="AH309" s="31">
        <f>'mnt Data'!T312</f>
        <v>0</v>
      </c>
      <c r="AI309" s="31">
        <f>'mnt Data'!U312</f>
        <v>0</v>
      </c>
      <c r="AJ309" s="31">
        <f>'mnt Data'!V312</f>
        <v>0</v>
      </c>
      <c r="AK309" s="31">
        <f>'mnt Data'!W312</f>
        <v>0</v>
      </c>
      <c r="AL309" s="31">
        <f>'mnt Data'!X312</f>
        <v>0</v>
      </c>
      <c r="AM309" s="31">
        <f>'mnt Data'!Y312</f>
        <v>0</v>
      </c>
      <c r="AN309" s="31">
        <f>'mnt Data'!Z312</f>
        <v>0</v>
      </c>
      <c r="AO309" s="31">
        <f>'mnt Data'!AA312</f>
        <v>0</v>
      </c>
      <c r="AP309" s="31">
        <f>'mnt Data'!AB312</f>
        <v>0</v>
      </c>
      <c r="AQ309" s="31">
        <f>'mnt Data'!AC312</f>
        <v>0</v>
      </c>
      <c r="AR309" s="31">
        <f>'mnt Data'!AD312</f>
        <v>0</v>
      </c>
      <c r="AS309" s="31">
        <f>'mnt Data'!AE312</f>
        <v>0</v>
      </c>
      <c r="AT309" s="31">
        <f>'mnt Data'!AF312</f>
        <v>0</v>
      </c>
      <c r="AU309" s="31">
        <f>'mnt Data'!AG312</f>
        <v>0</v>
      </c>
      <c r="AV309" s="31">
        <f>'mnt Data'!AH312</f>
        <v>0</v>
      </c>
      <c r="AW309" s="31">
        <f>'mnt Data'!AI312</f>
        <v>0</v>
      </c>
      <c r="AX309" s="31">
        <f>'mnt Data'!AJ312</f>
        <v>0</v>
      </c>
      <c r="AY309" s="31">
        <f>'mnt Data'!AK312</f>
        <v>0</v>
      </c>
    </row>
    <row r="310" spans="1:51" x14ac:dyDescent="0.25">
      <c r="A310">
        <v>309</v>
      </c>
      <c r="B310" s="32">
        <f t="shared" si="60"/>
        <v>0</v>
      </c>
      <c r="C310" s="32">
        <f t="shared" si="61"/>
        <v>0</v>
      </c>
      <c r="D310" s="32" t="str">
        <f t="shared" si="53"/>
        <v>No Gs</v>
      </c>
      <c r="E310" s="32">
        <f t="shared" si="57"/>
        <v>0</v>
      </c>
      <c r="F310" s="32" t="str">
        <f t="shared" si="58"/>
        <v>No Gs</v>
      </c>
      <c r="G310" s="32" t="str">
        <f t="shared" si="59"/>
        <v>No Gs</v>
      </c>
      <c r="H310" s="32" t="str">
        <f t="shared" si="62"/>
        <v>Gs is needed</v>
      </c>
      <c r="I310" s="32" t="str">
        <f t="shared" si="63"/>
        <v>Gs is needed</v>
      </c>
      <c r="J310" s="32" t="str">
        <f t="shared" si="64"/>
        <v>Gs is needed</v>
      </c>
      <c r="K310" s="32" t="str">
        <f t="shared" si="54"/>
        <v>Need Max and Min</v>
      </c>
      <c r="L310" s="32" t="str">
        <f t="shared" si="55"/>
        <v>Need Max and Min</v>
      </c>
      <c r="M310" s="32" t="str">
        <f t="shared" si="56"/>
        <v>Fail</v>
      </c>
      <c r="N310" s="32"/>
      <c r="O310" s="31">
        <f>'mnt Data'!A313</f>
        <v>0</v>
      </c>
      <c r="P310" s="31">
        <f>'mnt Data'!B313</f>
        <v>0</v>
      </c>
      <c r="Q310" s="31">
        <f>'mnt Data'!C313</f>
        <v>0</v>
      </c>
      <c r="R310" s="31">
        <f>'mnt Data'!D313</f>
        <v>0</v>
      </c>
      <c r="S310" s="31">
        <f>'mnt Data'!E313</f>
        <v>0</v>
      </c>
      <c r="T310" s="31">
        <f>'mnt Data'!F313</f>
        <v>0</v>
      </c>
      <c r="U310" s="31">
        <f>'mnt Data'!G313</f>
        <v>0</v>
      </c>
      <c r="V310" s="31">
        <f>'mnt Data'!H313</f>
        <v>0</v>
      </c>
      <c r="W310" s="31">
        <f>'mnt Data'!I313</f>
        <v>0</v>
      </c>
      <c r="X310" s="31">
        <f>'mnt Data'!J313</f>
        <v>0</v>
      </c>
      <c r="Y310" s="31">
        <f>'mnt Data'!K313</f>
        <v>0</v>
      </c>
      <c r="Z310" s="31">
        <f>'mnt Data'!L313</f>
        <v>0</v>
      </c>
      <c r="AA310" s="31">
        <f>'mnt Data'!M313</f>
        <v>0</v>
      </c>
      <c r="AB310" s="31">
        <f>'mnt Data'!N313</f>
        <v>0</v>
      </c>
      <c r="AC310" s="31">
        <f>'mnt Data'!O313</f>
        <v>0</v>
      </c>
      <c r="AD310" s="31">
        <f>'mnt Data'!P313</f>
        <v>0</v>
      </c>
      <c r="AE310" s="31">
        <f>'mnt Data'!Q313</f>
        <v>0</v>
      </c>
      <c r="AF310" s="31">
        <f>'mnt Data'!R313</f>
        <v>0</v>
      </c>
      <c r="AG310" s="31">
        <f>'mnt Data'!S313</f>
        <v>0</v>
      </c>
      <c r="AH310" s="31">
        <f>'mnt Data'!T313</f>
        <v>0</v>
      </c>
      <c r="AI310" s="31">
        <f>'mnt Data'!U313</f>
        <v>0</v>
      </c>
      <c r="AJ310" s="31">
        <f>'mnt Data'!V313</f>
        <v>0</v>
      </c>
      <c r="AK310" s="31">
        <f>'mnt Data'!W313</f>
        <v>0</v>
      </c>
      <c r="AL310" s="31">
        <f>'mnt Data'!X313</f>
        <v>0</v>
      </c>
      <c r="AM310" s="31">
        <f>'mnt Data'!Y313</f>
        <v>0</v>
      </c>
      <c r="AN310" s="31">
        <f>'mnt Data'!Z313</f>
        <v>0</v>
      </c>
      <c r="AO310" s="31">
        <f>'mnt Data'!AA313</f>
        <v>0</v>
      </c>
      <c r="AP310" s="31">
        <f>'mnt Data'!AB313</f>
        <v>0</v>
      </c>
      <c r="AQ310" s="31">
        <f>'mnt Data'!AC313</f>
        <v>0</v>
      </c>
      <c r="AR310" s="31">
        <f>'mnt Data'!AD313</f>
        <v>0</v>
      </c>
      <c r="AS310" s="31">
        <f>'mnt Data'!AE313</f>
        <v>0</v>
      </c>
      <c r="AT310" s="31">
        <f>'mnt Data'!AF313</f>
        <v>0</v>
      </c>
      <c r="AU310" s="31">
        <f>'mnt Data'!AG313</f>
        <v>0</v>
      </c>
      <c r="AV310" s="31">
        <f>'mnt Data'!AH313</f>
        <v>0</v>
      </c>
      <c r="AW310" s="31">
        <f>'mnt Data'!AI313</f>
        <v>0</v>
      </c>
      <c r="AX310" s="31">
        <f>'mnt Data'!AJ313</f>
        <v>0</v>
      </c>
      <c r="AY310" s="31">
        <f>'mnt Data'!AK313</f>
        <v>0</v>
      </c>
    </row>
    <row r="311" spans="1:51" x14ac:dyDescent="0.25">
      <c r="A311">
        <v>310</v>
      </c>
      <c r="B311" s="32">
        <f t="shared" si="60"/>
        <v>0</v>
      </c>
      <c r="C311" s="32">
        <f t="shared" si="61"/>
        <v>0</v>
      </c>
      <c r="D311" s="32" t="str">
        <f t="shared" si="53"/>
        <v>No Gs</v>
      </c>
      <c r="E311" s="32">
        <f t="shared" si="57"/>
        <v>0</v>
      </c>
      <c r="F311" s="32" t="str">
        <f t="shared" si="58"/>
        <v>No Gs</v>
      </c>
      <c r="G311" s="32" t="str">
        <f t="shared" si="59"/>
        <v>No Gs</v>
      </c>
      <c r="H311" s="32" t="str">
        <f t="shared" si="62"/>
        <v>Gs is needed</v>
      </c>
      <c r="I311" s="32" t="str">
        <f t="shared" si="63"/>
        <v>Gs is needed</v>
      </c>
      <c r="J311" s="32" t="str">
        <f t="shared" si="64"/>
        <v>Gs is needed</v>
      </c>
      <c r="K311" s="32" t="str">
        <f t="shared" si="54"/>
        <v>Need Max and Min</v>
      </c>
      <c r="L311" s="32" t="str">
        <f t="shared" si="55"/>
        <v>Need Max and Min</v>
      </c>
      <c r="M311" s="32" t="str">
        <f t="shared" si="56"/>
        <v>Fail</v>
      </c>
      <c r="N311" s="32"/>
      <c r="O311" s="31">
        <f>'mnt Data'!A314</f>
        <v>0</v>
      </c>
      <c r="P311" s="31">
        <f>'mnt Data'!B314</f>
        <v>0</v>
      </c>
      <c r="Q311" s="31">
        <f>'mnt Data'!C314</f>
        <v>0</v>
      </c>
      <c r="R311" s="31">
        <f>'mnt Data'!D314</f>
        <v>0</v>
      </c>
      <c r="S311" s="31">
        <f>'mnt Data'!E314</f>
        <v>0</v>
      </c>
      <c r="T311" s="31">
        <f>'mnt Data'!F314</f>
        <v>0</v>
      </c>
      <c r="U311" s="31">
        <f>'mnt Data'!G314</f>
        <v>0</v>
      </c>
      <c r="V311" s="31">
        <f>'mnt Data'!H314</f>
        <v>0</v>
      </c>
      <c r="W311" s="31">
        <f>'mnt Data'!I314</f>
        <v>0</v>
      </c>
      <c r="X311" s="31">
        <f>'mnt Data'!J314</f>
        <v>0</v>
      </c>
      <c r="Y311" s="31">
        <f>'mnt Data'!K314</f>
        <v>0</v>
      </c>
      <c r="Z311" s="31">
        <f>'mnt Data'!L314</f>
        <v>0</v>
      </c>
      <c r="AA311" s="31">
        <f>'mnt Data'!M314</f>
        <v>0</v>
      </c>
      <c r="AB311" s="31">
        <f>'mnt Data'!N314</f>
        <v>0</v>
      </c>
      <c r="AC311" s="31">
        <f>'mnt Data'!O314</f>
        <v>0</v>
      </c>
      <c r="AD311" s="31">
        <f>'mnt Data'!P314</f>
        <v>0</v>
      </c>
      <c r="AE311" s="31">
        <f>'mnt Data'!Q314</f>
        <v>0</v>
      </c>
      <c r="AF311" s="31">
        <f>'mnt Data'!R314</f>
        <v>0</v>
      </c>
      <c r="AG311" s="31">
        <f>'mnt Data'!S314</f>
        <v>0</v>
      </c>
      <c r="AH311" s="31">
        <f>'mnt Data'!T314</f>
        <v>0</v>
      </c>
      <c r="AI311" s="31">
        <f>'mnt Data'!U314</f>
        <v>0</v>
      </c>
      <c r="AJ311" s="31">
        <f>'mnt Data'!V314</f>
        <v>0</v>
      </c>
      <c r="AK311" s="31">
        <f>'mnt Data'!W314</f>
        <v>0</v>
      </c>
      <c r="AL311" s="31">
        <f>'mnt Data'!X314</f>
        <v>0</v>
      </c>
      <c r="AM311" s="31">
        <f>'mnt Data'!Y314</f>
        <v>0</v>
      </c>
      <c r="AN311" s="31">
        <f>'mnt Data'!Z314</f>
        <v>0</v>
      </c>
      <c r="AO311" s="31">
        <f>'mnt Data'!AA314</f>
        <v>0</v>
      </c>
      <c r="AP311" s="31">
        <f>'mnt Data'!AB314</f>
        <v>0</v>
      </c>
      <c r="AQ311" s="31">
        <f>'mnt Data'!AC314</f>
        <v>0</v>
      </c>
      <c r="AR311" s="31">
        <f>'mnt Data'!AD314</f>
        <v>0</v>
      </c>
      <c r="AS311" s="31">
        <f>'mnt Data'!AE314</f>
        <v>0</v>
      </c>
      <c r="AT311" s="31">
        <f>'mnt Data'!AF314</f>
        <v>0</v>
      </c>
      <c r="AU311" s="31">
        <f>'mnt Data'!AG314</f>
        <v>0</v>
      </c>
      <c r="AV311" s="31">
        <f>'mnt Data'!AH314</f>
        <v>0</v>
      </c>
      <c r="AW311" s="31">
        <f>'mnt Data'!AI314</f>
        <v>0</v>
      </c>
      <c r="AX311" s="31">
        <f>'mnt Data'!AJ314</f>
        <v>0</v>
      </c>
      <c r="AY311" s="31">
        <f>'mnt Data'!AK314</f>
        <v>0</v>
      </c>
    </row>
    <row r="312" spans="1:51" x14ac:dyDescent="0.25">
      <c r="A312">
        <v>311</v>
      </c>
      <c r="B312" s="32">
        <f t="shared" si="60"/>
        <v>0</v>
      </c>
      <c r="C312" s="32">
        <f t="shared" si="61"/>
        <v>0</v>
      </c>
      <c r="D312" s="32" t="str">
        <f t="shared" si="53"/>
        <v>No Gs</v>
      </c>
      <c r="E312" s="32">
        <f t="shared" si="57"/>
        <v>0</v>
      </c>
      <c r="F312" s="32" t="str">
        <f t="shared" si="58"/>
        <v>No Gs</v>
      </c>
      <c r="G312" s="32" t="str">
        <f t="shared" si="59"/>
        <v>No Gs</v>
      </c>
      <c r="H312" s="32" t="str">
        <f t="shared" si="62"/>
        <v>Gs is needed</v>
      </c>
      <c r="I312" s="32" t="str">
        <f t="shared" si="63"/>
        <v>Gs is needed</v>
      </c>
      <c r="J312" s="32" t="str">
        <f t="shared" si="64"/>
        <v>Gs is needed</v>
      </c>
      <c r="K312" s="32" t="str">
        <f t="shared" si="54"/>
        <v>Need Max and Min</v>
      </c>
      <c r="L312" s="32" t="str">
        <f t="shared" si="55"/>
        <v>Need Max and Min</v>
      </c>
      <c r="M312" s="32" t="str">
        <f t="shared" si="56"/>
        <v>Fail</v>
      </c>
      <c r="N312" s="32"/>
      <c r="O312" s="31">
        <f>'mnt Data'!A315</f>
        <v>0</v>
      </c>
      <c r="P312" s="31">
        <f>'mnt Data'!B315</f>
        <v>0</v>
      </c>
      <c r="Q312" s="31">
        <f>'mnt Data'!C315</f>
        <v>0</v>
      </c>
      <c r="R312" s="31">
        <f>'mnt Data'!D315</f>
        <v>0</v>
      </c>
      <c r="S312" s="31">
        <f>'mnt Data'!E315</f>
        <v>0</v>
      </c>
      <c r="T312" s="31">
        <f>'mnt Data'!F315</f>
        <v>0</v>
      </c>
      <c r="U312" s="31">
        <f>'mnt Data'!G315</f>
        <v>0</v>
      </c>
      <c r="V312" s="31">
        <f>'mnt Data'!H315</f>
        <v>0</v>
      </c>
      <c r="W312" s="31">
        <f>'mnt Data'!I315</f>
        <v>0</v>
      </c>
      <c r="X312" s="31">
        <f>'mnt Data'!J315</f>
        <v>0</v>
      </c>
      <c r="Y312" s="31">
        <f>'mnt Data'!K315</f>
        <v>0</v>
      </c>
      <c r="Z312" s="31">
        <f>'mnt Data'!L315</f>
        <v>0</v>
      </c>
      <c r="AA312" s="31">
        <f>'mnt Data'!M315</f>
        <v>0</v>
      </c>
      <c r="AB312" s="31">
        <f>'mnt Data'!N315</f>
        <v>0</v>
      </c>
      <c r="AC312" s="31">
        <f>'mnt Data'!O315</f>
        <v>0</v>
      </c>
      <c r="AD312" s="31">
        <f>'mnt Data'!P315</f>
        <v>0</v>
      </c>
      <c r="AE312" s="31">
        <f>'mnt Data'!Q315</f>
        <v>0</v>
      </c>
      <c r="AF312" s="31">
        <f>'mnt Data'!R315</f>
        <v>0</v>
      </c>
      <c r="AG312" s="31">
        <f>'mnt Data'!S315</f>
        <v>0</v>
      </c>
      <c r="AH312" s="31">
        <f>'mnt Data'!T315</f>
        <v>0</v>
      </c>
      <c r="AI312" s="31">
        <f>'mnt Data'!U315</f>
        <v>0</v>
      </c>
      <c r="AJ312" s="31">
        <f>'mnt Data'!V315</f>
        <v>0</v>
      </c>
      <c r="AK312" s="31">
        <f>'mnt Data'!W315</f>
        <v>0</v>
      </c>
      <c r="AL312" s="31">
        <f>'mnt Data'!X315</f>
        <v>0</v>
      </c>
      <c r="AM312" s="31">
        <f>'mnt Data'!Y315</f>
        <v>0</v>
      </c>
      <c r="AN312" s="31">
        <f>'mnt Data'!Z315</f>
        <v>0</v>
      </c>
      <c r="AO312" s="31">
        <f>'mnt Data'!AA315</f>
        <v>0</v>
      </c>
      <c r="AP312" s="31">
        <f>'mnt Data'!AB315</f>
        <v>0</v>
      </c>
      <c r="AQ312" s="31">
        <f>'mnt Data'!AC315</f>
        <v>0</v>
      </c>
      <c r="AR312" s="31">
        <f>'mnt Data'!AD315</f>
        <v>0</v>
      </c>
      <c r="AS312" s="31">
        <f>'mnt Data'!AE315</f>
        <v>0</v>
      </c>
      <c r="AT312" s="31">
        <f>'mnt Data'!AF315</f>
        <v>0</v>
      </c>
      <c r="AU312" s="31">
        <f>'mnt Data'!AG315</f>
        <v>0</v>
      </c>
      <c r="AV312" s="31">
        <f>'mnt Data'!AH315</f>
        <v>0</v>
      </c>
      <c r="AW312" s="31">
        <f>'mnt Data'!AI315</f>
        <v>0</v>
      </c>
      <c r="AX312" s="31">
        <f>'mnt Data'!AJ315</f>
        <v>0</v>
      </c>
      <c r="AY312" s="31">
        <f>'mnt Data'!AK315</f>
        <v>0</v>
      </c>
    </row>
    <row r="313" spans="1:51" x14ac:dyDescent="0.25">
      <c r="A313">
        <v>312</v>
      </c>
      <c r="B313" s="32">
        <f t="shared" si="60"/>
        <v>0</v>
      </c>
      <c r="C313" s="32">
        <f t="shared" si="61"/>
        <v>0</v>
      </c>
      <c r="D313" s="32" t="str">
        <f t="shared" si="53"/>
        <v>No Gs</v>
      </c>
      <c r="E313" s="32">
        <f t="shared" si="57"/>
        <v>0</v>
      </c>
      <c r="F313" s="32" t="str">
        <f t="shared" si="58"/>
        <v>No Gs</v>
      </c>
      <c r="G313" s="32" t="str">
        <f t="shared" si="59"/>
        <v>No Gs</v>
      </c>
      <c r="H313" s="32" t="str">
        <f t="shared" si="62"/>
        <v>Gs is needed</v>
      </c>
      <c r="I313" s="32" t="str">
        <f t="shared" si="63"/>
        <v>Gs is needed</v>
      </c>
      <c r="J313" s="32" t="str">
        <f t="shared" si="64"/>
        <v>Gs is needed</v>
      </c>
      <c r="K313" s="32" t="str">
        <f t="shared" si="54"/>
        <v>Need Max and Min</v>
      </c>
      <c r="L313" s="32" t="str">
        <f t="shared" si="55"/>
        <v>Need Max and Min</v>
      </c>
      <c r="M313" s="32" t="str">
        <f t="shared" si="56"/>
        <v>Fail</v>
      </c>
      <c r="N313" s="32"/>
      <c r="O313" s="31">
        <f>'mnt Data'!A316</f>
        <v>0</v>
      </c>
      <c r="P313" s="31">
        <f>'mnt Data'!B316</f>
        <v>0</v>
      </c>
      <c r="Q313" s="31">
        <f>'mnt Data'!C316</f>
        <v>0</v>
      </c>
      <c r="R313" s="31">
        <f>'mnt Data'!D316</f>
        <v>0</v>
      </c>
      <c r="S313" s="31">
        <f>'mnt Data'!E316</f>
        <v>0</v>
      </c>
      <c r="T313" s="31">
        <f>'mnt Data'!F316</f>
        <v>0</v>
      </c>
      <c r="U313" s="31">
        <f>'mnt Data'!G316</f>
        <v>0</v>
      </c>
      <c r="V313" s="31">
        <f>'mnt Data'!H316</f>
        <v>0</v>
      </c>
      <c r="W313" s="31">
        <f>'mnt Data'!I316</f>
        <v>0</v>
      </c>
      <c r="X313" s="31">
        <f>'mnt Data'!J316</f>
        <v>0</v>
      </c>
      <c r="Y313" s="31">
        <f>'mnt Data'!K316</f>
        <v>0</v>
      </c>
      <c r="Z313" s="31">
        <f>'mnt Data'!L316</f>
        <v>0</v>
      </c>
      <c r="AA313" s="31">
        <f>'mnt Data'!M316</f>
        <v>0</v>
      </c>
      <c r="AB313" s="31">
        <f>'mnt Data'!N316</f>
        <v>0</v>
      </c>
      <c r="AC313" s="31">
        <f>'mnt Data'!O316</f>
        <v>0</v>
      </c>
      <c r="AD313" s="31">
        <f>'mnt Data'!P316</f>
        <v>0</v>
      </c>
      <c r="AE313" s="31">
        <f>'mnt Data'!Q316</f>
        <v>0</v>
      </c>
      <c r="AF313" s="31">
        <f>'mnt Data'!R316</f>
        <v>0</v>
      </c>
      <c r="AG313" s="31">
        <f>'mnt Data'!S316</f>
        <v>0</v>
      </c>
      <c r="AH313" s="31">
        <f>'mnt Data'!T316</f>
        <v>0</v>
      </c>
      <c r="AI313" s="31">
        <f>'mnt Data'!U316</f>
        <v>0</v>
      </c>
      <c r="AJ313" s="31">
        <f>'mnt Data'!V316</f>
        <v>0</v>
      </c>
      <c r="AK313" s="31">
        <f>'mnt Data'!W316</f>
        <v>0</v>
      </c>
      <c r="AL313" s="31">
        <f>'mnt Data'!X316</f>
        <v>0</v>
      </c>
      <c r="AM313" s="31">
        <f>'mnt Data'!Y316</f>
        <v>0</v>
      </c>
      <c r="AN313" s="31">
        <f>'mnt Data'!Z316</f>
        <v>0</v>
      </c>
      <c r="AO313" s="31">
        <f>'mnt Data'!AA316</f>
        <v>0</v>
      </c>
      <c r="AP313" s="31">
        <f>'mnt Data'!AB316</f>
        <v>0</v>
      </c>
      <c r="AQ313" s="31">
        <f>'mnt Data'!AC316</f>
        <v>0</v>
      </c>
      <c r="AR313" s="31">
        <f>'mnt Data'!AD316</f>
        <v>0</v>
      </c>
      <c r="AS313" s="31">
        <f>'mnt Data'!AE316</f>
        <v>0</v>
      </c>
      <c r="AT313" s="31">
        <f>'mnt Data'!AF316</f>
        <v>0</v>
      </c>
      <c r="AU313" s="31">
        <f>'mnt Data'!AG316</f>
        <v>0</v>
      </c>
      <c r="AV313" s="31">
        <f>'mnt Data'!AH316</f>
        <v>0</v>
      </c>
      <c r="AW313" s="31">
        <f>'mnt Data'!AI316</f>
        <v>0</v>
      </c>
      <c r="AX313" s="31">
        <f>'mnt Data'!AJ316</f>
        <v>0</v>
      </c>
      <c r="AY313" s="31">
        <f>'mnt Data'!AK316</f>
        <v>0</v>
      </c>
    </row>
    <row r="314" spans="1:51" x14ac:dyDescent="0.25">
      <c r="A314">
        <v>313</v>
      </c>
      <c r="B314" s="32">
        <f t="shared" si="60"/>
        <v>0</v>
      </c>
      <c r="C314" s="32">
        <f t="shared" si="61"/>
        <v>0</v>
      </c>
      <c r="D314" s="32" t="str">
        <f t="shared" si="53"/>
        <v>No Gs</v>
      </c>
      <c r="E314" s="32">
        <f t="shared" si="57"/>
        <v>0</v>
      </c>
      <c r="F314" s="32" t="str">
        <f t="shared" si="58"/>
        <v>No Gs</v>
      </c>
      <c r="G314" s="32" t="str">
        <f t="shared" si="59"/>
        <v>No Gs</v>
      </c>
      <c r="H314" s="32" t="str">
        <f t="shared" si="62"/>
        <v>Gs is needed</v>
      </c>
      <c r="I314" s="32" t="str">
        <f t="shared" si="63"/>
        <v>Gs is needed</v>
      </c>
      <c r="J314" s="32" t="str">
        <f t="shared" si="64"/>
        <v>Gs is needed</v>
      </c>
      <c r="K314" s="32" t="str">
        <f t="shared" si="54"/>
        <v>Need Max and Min</v>
      </c>
      <c r="L314" s="32" t="str">
        <f t="shared" si="55"/>
        <v>Need Max and Min</v>
      </c>
      <c r="M314" s="32" t="str">
        <f t="shared" si="56"/>
        <v>Fail</v>
      </c>
      <c r="N314" s="32"/>
      <c r="O314" s="31">
        <f>'mnt Data'!A317</f>
        <v>0</v>
      </c>
      <c r="P314" s="31">
        <f>'mnt Data'!B317</f>
        <v>0</v>
      </c>
      <c r="Q314" s="31">
        <f>'mnt Data'!C317</f>
        <v>0</v>
      </c>
      <c r="R314" s="31">
        <f>'mnt Data'!D317</f>
        <v>0</v>
      </c>
      <c r="S314" s="31">
        <f>'mnt Data'!E317</f>
        <v>0</v>
      </c>
      <c r="T314" s="31">
        <f>'mnt Data'!F317</f>
        <v>0</v>
      </c>
      <c r="U314" s="31">
        <f>'mnt Data'!G317</f>
        <v>0</v>
      </c>
      <c r="V314" s="31">
        <f>'mnt Data'!H317</f>
        <v>0</v>
      </c>
      <c r="W314" s="31">
        <f>'mnt Data'!I317</f>
        <v>0</v>
      </c>
      <c r="X314" s="31">
        <f>'mnt Data'!J317</f>
        <v>0</v>
      </c>
      <c r="Y314" s="31">
        <f>'mnt Data'!K317</f>
        <v>0</v>
      </c>
      <c r="Z314" s="31">
        <f>'mnt Data'!L317</f>
        <v>0</v>
      </c>
      <c r="AA314" s="31">
        <f>'mnt Data'!M317</f>
        <v>0</v>
      </c>
      <c r="AB314" s="31">
        <f>'mnt Data'!N317</f>
        <v>0</v>
      </c>
      <c r="AC314" s="31">
        <f>'mnt Data'!O317</f>
        <v>0</v>
      </c>
      <c r="AD314" s="31">
        <f>'mnt Data'!P317</f>
        <v>0</v>
      </c>
      <c r="AE314" s="31">
        <f>'mnt Data'!Q317</f>
        <v>0</v>
      </c>
      <c r="AF314" s="31">
        <f>'mnt Data'!R317</f>
        <v>0</v>
      </c>
      <c r="AG314" s="31">
        <f>'mnt Data'!S317</f>
        <v>0</v>
      </c>
      <c r="AH314" s="31">
        <f>'mnt Data'!T317</f>
        <v>0</v>
      </c>
      <c r="AI314" s="31">
        <f>'mnt Data'!U317</f>
        <v>0</v>
      </c>
      <c r="AJ314" s="31">
        <f>'mnt Data'!V317</f>
        <v>0</v>
      </c>
      <c r="AK314" s="31">
        <f>'mnt Data'!W317</f>
        <v>0</v>
      </c>
      <c r="AL314" s="31">
        <f>'mnt Data'!X317</f>
        <v>0</v>
      </c>
      <c r="AM314" s="31">
        <f>'mnt Data'!Y317</f>
        <v>0</v>
      </c>
      <c r="AN314" s="31">
        <f>'mnt Data'!Z317</f>
        <v>0</v>
      </c>
      <c r="AO314" s="31">
        <f>'mnt Data'!AA317</f>
        <v>0</v>
      </c>
      <c r="AP314" s="31">
        <f>'mnt Data'!AB317</f>
        <v>0</v>
      </c>
      <c r="AQ314" s="31">
        <f>'mnt Data'!AC317</f>
        <v>0</v>
      </c>
      <c r="AR314" s="31">
        <f>'mnt Data'!AD317</f>
        <v>0</v>
      </c>
      <c r="AS314" s="31">
        <f>'mnt Data'!AE317</f>
        <v>0</v>
      </c>
      <c r="AT314" s="31">
        <f>'mnt Data'!AF317</f>
        <v>0</v>
      </c>
      <c r="AU314" s="31">
        <f>'mnt Data'!AG317</f>
        <v>0</v>
      </c>
      <c r="AV314" s="31">
        <f>'mnt Data'!AH317</f>
        <v>0</v>
      </c>
      <c r="AW314" s="31">
        <f>'mnt Data'!AI317</f>
        <v>0</v>
      </c>
      <c r="AX314" s="31">
        <f>'mnt Data'!AJ317</f>
        <v>0</v>
      </c>
      <c r="AY314" s="31">
        <f>'mnt Data'!AK317</f>
        <v>0</v>
      </c>
    </row>
    <row r="315" spans="1:51" x14ac:dyDescent="0.25">
      <c r="A315">
        <v>314</v>
      </c>
      <c r="B315" s="32">
        <f t="shared" si="60"/>
        <v>0</v>
      </c>
      <c r="C315" s="32">
        <f t="shared" si="61"/>
        <v>0</v>
      </c>
      <c r="D315" s="32" t="str">
        <f t="shared" si="53"/>
        <v>No Gs</v>
      </c>
      <c r="E315" s="32">
        <f t="shared" si="57"/>
        <v>0</v>
      </c>
      <c r="F315" s="32" t="str">
        <f t="shared" si="58"/>
        <v>No Gs</v>
      </c>
      <c r="G315" s="32" t="str">
        <f t="shared" si="59"/>
        <v>No Gs</v>
      </c>
      <c r="H315" s="32" t="str">
        <f t="shared" si="62"/>
        <v>Gs is needed</v>
      </c>
      <c r="I315" s="32" t="str">
        <f t="shared" si="63"/>
        <v>Gs is needed</v>
      </c>
      <c r="J315" s="32" t="str">
        <f t="shared" si="64"/>
        <v>Gs is needed</v>
      </c>
      <c r="K315" s="32" t="str">
        <f t="shared" si="54"/>
        <v>Need Max and Min</v>
      </c>
      <c r="L315" s="32" t="str">
        <f t="shared" si="55"/>
        <v>Need Max and Min</v>
      </c>
      <c r="M315" s="32" t="str">
        <f t="shared" si="56"/>
        <v>Fail</v>
      </c>
      <c r="N315" s="32"/>
      <c r="O315" s="31">
        <f>'mnt Data'!A318</f>
        <v>0</v>
      </c>
      <c r="P315" s="31">
        <f>'mnt Data'!B318</f>
        <v>0</v>
      </c>
      <c r="Q315" s="31">
        <f>'mnt Data'!C318</f>
        <v>0</v>
      </c>
      <c r="R315" s="31">
        <f>'mnt Data'!D318</f>
        <v>0</v>
      </c>
      <c r="S315" s="31">
        <f>'mnt Data'!E318</f>
        <v>0</v>
      </c>
      <c r="T315" s="31">
        <f>'mnt Data'!F318</f>
        <v>0</v>
      </c>
      <c r="U315" s="31">
        <f>'mnt Data'!G318</f>
        <v>0</v>
      </c>
      <c r="V315" s="31">
        <f>'mnt Data'!H318</f>
        <v>0</v>
      </c>
      <c r="W315" s="31">
        <f>'mnt Data'!I318</f>
        <v>0</v>
      </c>
      <c r="X315" s="31">
        <f>'mnt Data'!J318</f>
        <v>0</v>
      </c>
      <c r="Y315" s="31">
        <f>'mnt Data'!K318</f>
        <v>0</v>
      </c>
      <c r="Z315" s="31">
        <f>'mnt Data'!L318</f>
        <v>0</v>
      </c>
      <c r="AA315" s="31">
        <f>'mnt Data'!M318</f>
        <v>0</v>
      </c>
      <c r="AB315" s="31">
        <f>'mnt Data'!N318</f>
        <v>0</v>
      </c>
      <c r="AC315" s="31">
        <f>'mnt Data'!O318</f>
        <v>0</v>
      </c>
      <c r="AD315" s="31">
        <f>'mnt Data'!P318</f>
        <v>0</v>
      </c>
      <c r="AE315" s="31">
        <f>'mnt Data'!Q318</f>
        <v>0</v>
      </c>
      <c r="AF315" s="31">
        <f>'mnt Data'!R318</f>
        <v>0</v>
      </c>
      <c r="AG315" s="31">
        <f>'mnt Data'!S318</f>
        <v>0</v>
      </c>
      <c r="AH315" s="31">
        <f>'mnt Data'!T318</f>
        <v>0</v>
      </c>
      <c r="AI315" s="31">
        <f>'mnt Data'!U318</f>
        <v>0</v>
      </c>
      <c r="AJ315" s="31">
        <f>'mnt Data'!V318</f>
        <v>0</v>
      </c>
      <c r="AK315" s="31">
        <f>'mnt Data'!W318</f>
        <v>0</v>
      </c>
      <c r="AL315" s="31">
        <f>'mnt Data'!X318</f>
        <v>0</v>
      </c>
      <c r="AM315" s="31">
        <f>'mnt Data'!Y318</f>
        <v>0</v>
      </c>
      <c r="AN315" s="31">
        <f>'mnt Data'!Z318</f>
        <v>0</v>
      </c>
      <c r="AO315" s="31">
        <f>'mnt Data'!AA318</f>
        <v>0</v>
      </c>
      <c r="AP315" s="31">
        <f>'mnt Data'!AB318</f>
        <v>0</v>
      </c>
      <c r="AQ315" s="31">
        <f>'mnt Data'!AC318</f>
        <v>0</v>
      </c>
      <c r="AR315" s="31">
        <f>'mnt Data'!AD318</f>
        <v>0</v>
      </c>
      <c r="AS315" s="31">
        <f>'mnt Data'!AE318</f>
        <v>0</v>
      </c>
      <c r="AT315" s="31">
        <f>'mnt Data'!AF318</f>
        <v>0</v>
      </c>
      <c r="AU315" s="31">
        <f>'mnt Data'!AG318</f>
        <v>0</v>
      </c>
      <c r="AV315" s="31">
        <f>'mnt Data'!AH318</f>
        <v>0</v>
      </c>
      <c r="AW315" s="31">
        <f>'mnt Data'!AI318</f>
        <v>0</v>
      </c>
      <c r="AX315" s="31">
        <f>'mnt Data'!AJ318</f>
        <v>0</v>
      </c>
      <c r="AY315" s="31">
        <f>'mnt Data'!AK318</f>
        <v>0</v>
      </c>
    </row>
    <row r="316" spans="1:51" x14ac:dyDescent="0.25">
      <c r="A316">
        <v>315</v>
      </c>
      <c r="B316" s="32">
        <f t="shared" si="60"/>
        <v>0</v>
      </c>
      <c r="C316" s="32">
        <f t="shared" si="61"/>
        <v>0</v>
      </c>
      <c r="D316" s="32" t="str">
        <f t="shared" si="53"/>
        <v>No Gs</v>
      </c>
      <c r="E316" s="32">
        <f t="shared" si="57"/>
        <v>0</v>
      </c>
      <c r="F316" s="32" t="str">
        <f t="shared" si="58"/>
        <v>No Gs</v>
      </c>
      <c r="G316" s="32" t="str">
        <f t="shared" si="59"/>
        <v>No Gs</v>
      </c>
      <c r="H316" s="32" t="str">
        <f t="shared" si="62"/>
        <v>Gs is needed</v>
      </c>
      <c r="I316" s="32" t="str">
        <f t="shared" si="63"/>
        <v>Gs is needed</v>
      </c>
      <c r="J316" s="32" t="str">
        <f t="shared" si="64"/>
        <v>Gs is needed</v>
      </c>
      <c r="K316" s="32" t="str">
        <f t="shared" si="54"/>
        <v>Need Max and Min</v>
      </c>
      <c r="L316" s="32" t="str">
        <f t="shared" si="55"/>
        <v>Need Max and Min</v>
      </c>
      <c r="M316" s="32" t="str">
        <f t="shared" si="56"/>
        <v>Fail</v>
      </c>
      <c r="N316" s="32"/>
      <c r="O316" s="31">
        <f>'mnt Data'!A319</f>
        <v>0</v>
      </c>
      <c r="P316" s="31">
        <f>'mnt Data'!B319</f>
        <v>0</v>
      </c>
      <c r="Q316" s="31">
        <f>'mnt Data'!C319</f>
        <v>0</v>
      </c>
      <c r="R316" s="31">
        <f>'mnt Data'!D319</f>
        <v>0</v>
      </c>
      <c r="S316" s="31">
        <f>'mnt Data'!E319</f>
        <v>0</v>
      </c>
      <c r="T316" s="31">
        <f>'mnt Data'!F319</f>
        <v>0</v>
      </c>
      <c r="U316" s="31">
        <f>'mnt Data'!G319</f>
        <v>0</v>
      </c>
      <c r="V316" s="31">
        <f>'mnt Data'!H319</f>
        <v>0</v>
      </c>
      <c r="W316" s="31">
        <f>'mnt Data'!I319</f>
        <v>0</v>
      </c>
      <c r="X316" s="31">
        <f>'mnt Data'!J319</f>
        <v>0</v>
      </c>
      <c r="Y316" s="31">
        <f>'mnt Data'!K319</f>
        <v>0</v>
      </c>
      <c r="Z316" s="31">
        <f>'mnt Data'!L319</f>
        <v>0</v>
      </c>
      <c r="AA316" s="31">
        <f>'mnt Data'!M319</f>
        <v>0</v>
      </c>
      <c r="AB316" s="31">
        <f>'mnt Data'!N319</f>
        <v>0</v>
      </c>
      <c r="AC316" s="31">
        <f>'mnt Data'!O319</f>
        <v>0</v>
      </c>
      <c r="AD316" s="31">
        <f>'mnt Data'!P319</f>
        <v>0</v>
      </c>
      <c r="AE316" s="31">
        <f>'mnt Data'!Q319</f>
        <v>0</v>
      </c>
      <c r="AF316" s="31">
        <f>'mnt Data'!R319</f>
        <v>0</v>
      </c>
      <c r="AG316" s="31">
        <f>'mnt Data'!S319</f>
        <v>0</v>
      </c>
      <c r="AH316" s="31">
        <f>'mnt Data'!T319</f>
        <v>0</v>
      </c>
      <c r="AI316" s="31">
        <f>'mnt Data'!U319</f>
        <v>0</v>
      </c>
      <c r="AJ316" s="31">
        <f>'mnt Data'!V319</f>
        <v>0</v>
      </c>
      <c r="AK316" s="31">
        <f>'mnt Data'!W319</f>
        <v>0</v>
      </c>
      <c r="AL316" s="31">
        <f>'mnt Data'!X319</f>
        <v>0</v>
      </c>
      <c r="AM316" s="31">
        <f>'mnt Data'!Y319</f>
        <v>0</v>
      </c>
      <c r="AN316" s="31">
        <f>'mnt Data'!Z319</f>
        <v>0</v>
      </c>
      <c r="AO316" s="31">
        <f>'mnt Data'!AA319</f>
        <v>0</v>
      </c>
      <c r="AP316" s="31">
        <f>'mnt Data'!AB319</f>
        <v>0</v>
      </c>
      <c r="AQ316" s="31">
        <f>'mnt Data'!AC319</f>
        <v>0</v>
      </c>
      <c r="AR316" s="31">
        <f>'mnt Data'!AD319</f>
        <v>0</v>
      </c>
      <c r="AS316" s="31">
        <f>'mnt Data'!AE319</f>
        <v>0</v>
      </c>
      <c r="AT316" s="31">
        <f>'mnt Data'!AF319</f>
        <v>0</v>
      </c>
      <c r="AU316" s="31">
        <f>'mnt Data'!AG319</f>
        <v>0</v>
      </c>
      <c r="AV316" s="31">
        <f>'mnt Data'!AH319</f>
        <v>0</v>
      </c>
      <c r="AW316" s="31">
        <f>'mnt Data'!AI319</f>
        <v>0</v>
      </c>
      <c r="AX316" s="31">
        <f>'mnt Data'!AJ319</f>
        <v>0</v>
      </c>
      <c r="AY316" s="31">
        <f>'mnt Data'!AK319</f>
        <v>0</v>
      </c>
    </row>
    <row r="317" spans="1:51" x14ac:dyDescent="0.25">
      <c r="A317">
        <v>316</v>
      </c>
      <c r="B317" s="32">
        <f t="shared" si="60"/>
        <v>0</v>
      </c>
      <c r="C317" s="32">
        <f t="shared" si="61"/>
        <v>0</v>
      </c>
      <c r="D317" s="32" t="str">
        <f t="shared" si="53"/>
        <v>No Gs</v>
      </c>
      <c r="E317" s="32">
        <f t="shared" si="57"/>
        <v>0</v>
      </c>
      <c r="F317" s="32" t="str">
        <f t="shared" si="58"/>
        <v>No Gs</v>
      </c>
      <c r="G317" s="32" t="str">
        <f t="shared" si="59"/>
        <v>No Gs</v>
      </c>
      <c r="H317" s="32" t="str">
        <f t="shared" si="62"/>
        <v>Gs is needed</v>
      </c>
      <c r="I317" s="32" t="str">
        <f t="shared" si="63"/>
        <v>Gs is needed</v>
      </c>
      <c r="J317" s="32" t="str">
        <f t="shared" si="64"/>
        <v>Gs is needed</v>
      </c>
      <c r="K317" s="32" t="str">
        <f t="shared" si="54"/>
        <v>Need Max and Min</v>
      </c>
      <c r="L317" s="32" t="str">
        <f t="shared" si="55"/>
        <v>Need Max and Min</v>
      </c>
      <c r="M317" s="32" t="str">
        <f t="shared" si="56"/>
        <v>Fail</v>
      </c>
      <c r="N317" s="32"/>
      <c r="O317" s="31">
        <f>'mnt Data'!A320</f>
        <v>0</v>
      </c>
      <c r="P317" s="31">
        <f>'mnt Data'!B320</f>
        <v>0</v>
      </c>
      <c r="Q317" s="31">
        <f>'mnt Data'!C320</f>
        <v>0</v>
      </c>
      <c r="R317" s="31">
        <f>'mnt Data'!D320</f>
        <v>0</v>
      </c>
      <c r="S317" s="31">
        <f>'mnt Data'!E320</f>
        <v>0</v>
      </c>
      <c r="T317" s="31">
        <f>'mnt Data'!F320</f>
        <v>0</v>
      </c>
      <c r="U317" s="31">
        <f>'mnt Data'!G320</f>
        <v>0</v>
      </c>
      <c r="V317" s="31">
        <f>'mnt Data'!H320</f>
        <v>0</v>
      </c>
      <c r="W317" s="31">
        <f>'mnt Data'!I320</f>
        <v>0</v>
      </c>
      <c r="X317" s="31">
        <f>'mnt Data'!J320</f>
        <v>0</v>
      </c>
      <c r="Y317" s="31">
        <f>'mnt Data'!K320</f>
        <v>0</v>
      </c>
      <c r="Z317" s="31">
        <f>'mnt Data'!L320</f>
        <v>0</v>
      </c>
      <c r="AA317" s="31">
        <f>'mnt Data'!M320</f>
        <v>0</v>
      </c>
      <c r="AB317" s="31">
        <f>'mnt Data'!N320</f>
        <v>0</v>
      </c>
      <c r="AC317" s="31">
        <f>'mnt Data'!O320</f>
        <v>0</v>
      </c>
      <c r="AD317" s="31">
        <f>'mnt Data'!P320</f>
        <v>0</v>
      </c>
      <c r="AE317" s="31">
        <f>'mnt Data'!Q320</f>
        <v>0</v>
      </c>
      <c r="AF317" s="31">
        <f>'mnt Data'!R320</f>
        <v>0</v>
      </c>
      <c r="AG317" s="31">
        <f>'mnt Data'!S320</f>
        <v>0</v>
      </c>
      <c r="AH317" s="31">
        <f>'mnt Data'!T320</f>
        <v>0</v>
      </c>
      <c r="AI317" s="31">
        <f>'mnt Data'!U320</f>
        <v>0</v>
      </c>
      <c r="AJ317" s="31">
        <f>'mnt Data'!V320</f>
        <v>0</v>
      </c>
      <c r="AK317" s="31">
        <f>'mnt Data'!W320</f>
        <v>0</v>
      </c>
      <c r="AL317" s="31">
        <f>'mnt Data'!X320</f>
        <v>0</v>
      </c>
      <c r="AM317" s="31">
        <f>'mnt Data'!Y320</f>
        <v>0</v>
      </c>
      <c r="AN317" s="31">
        <f>'mnt Data'!Z320</f>
        <v>0</v>
      </c>
      <c r="AO317" s="31">
        <f>'mnt Data'!AA320</f>
        <v>0</v>
      </c>
      <c r="AP317" s="31">
        <f>'mnt Data'!AB320</f>
        <v>0</v>
      </c>
      <c r="AQ317" s="31">
        <f>'mnt Data'!AC320</f>
        <v>0</v>
      </c>
      <c r="AR317" s="31">
        <f>'mnt Data'!AD320</f>
        <v>0</v>
      </c>
      <c r="AS317" s="31">
        <f>'mnt Data'!AE320</f>
        <v>0</v>
      </c>
      <c r="AT317" s="31">
        <f>'mnt Data'!AF320</f>
        <v>0</v>
      </c>
      <c r="AU317" s="31">
        <f>'mnt Data'!AG320</f>
        <v>0</v>
      </c>
      <c r="AV317" s="31">
        <f>'mnt Data'!AH320</f>
        <v>0</v>
      </c>
      <c r="AW317" s="31">
        <f>'mnt Data'!AI320</f>
        <v>0</v>
      </c>
      <c r="AX317" s="31">
        <f>'mnt Data'!AJ320</f>
        <v>0</v>
      </c>
      <c r="AY317" s="31">
        <f>'mnt Data'!AK320</f>
        <v>0</v>
      </c>
    </row>
    <row r="318" spans="1:51" x14ac:dyDescent="0.25">
      <c r="A318">
        <v>317</v>
      </c>
      <c r="B318" s="32">
        <f t="shared" si="60"/>
        <v>0</v>
      </c>
      <c r="C318" s="32">
        <f t="shared" si="61"/>
        <v>0</v>
      </c>
      <c r="D318" s="32" t="str">
        <f t="shared" si="53"/>
        <v>No Gs</v>
      </c>
      <c r="E318" s="32">
        <f t="shared" si="57"/>
        <v>0</v>
      </c>
      <c r="F318" s="32" t="str">
        <f t="shared" si="58"/>
        <v>No Gs</v>
      </c>
      <c r="G318" s="32" t="str">
        <f t="shared" si="59"/>
        <v>No Gs</v>
      </c>
      <c r="H318" s="32" t="str">
        <f t="shared" si="62"/>
        <v>Gs is needed</v>
      </c>
      <c r="I318" s="32" t="str">
        <f t="shared" si="63"/>
        <v>Gs is needed</v>
      </c>
      <c r="J318" s="32" t="str">
        <f t="shared" si="64"/>
        <v>Gs is needed</v>
      </c>
      <c r="K318" s="32" t="str">
        <f t="shared" si="54"/>
        <v>Need Max and Min</v>
      </c>
      <c r="L318" s="32" t="str">
        <f t="shared" si="55"/>
        <v>Need Max and Min</v>
      </c>
      <c r="M318" s="32" t="str">
        <f t="shared" si="56"/>
        <v>Fail</v>
      </c>
      <c r="N318" s="32"/>
      <c r="O318" s="31">
        <f>'mnt Data'!A321</f>
        <v>0</v>
      </c>
      <c r="P318" s="31">
        <f>'mnt Data'!B321</f>
        <v>0</v>
      </c>
      <c r="Q318" s="31">
        <f>'mnt Data'!C321</f>
        <v>0</v>
      </c>
      <c r="R318" s="31">
        <f>'mnt Data'!D321</f>
        <v>0</v>
      </c>
      <c r="S318" s="31">
        <f>'mnt Data'!E321</f>
        <v>0</v>
      </c>
      <c r="T318" s="31">
        <f>'mnt Data'!F321</f>
        <v>0</v>
      </c>
      <c r="U318" s="31">
        <f>'mnt Data'!G321</f>
        <v>0</v>
      </c>
      <c r="V318" s="31">
        <f>'mnt Data'!H321</f>
        <v>0</v>
      </c>
      <c r="W318" s="31">
        <f>'mnt Data'!I321</f>
        <v>0</v>
      </c>
      <c r="X318" s="31">
        <f>'mnt Data'!J321</f>
        <v>0</v>
      </c>
      <c r="Y318" s="31">
        <f>'mnt Data'!K321</f>
        <v>0</v>
      </c>
      <c r="Z318" s="31">
        <f>'mnt Data'!L321</f>
        <v>0</v>
      </c>
      <c r="AA318" s="31">
        <f>'mnt Data'!M321</f>
        <v>0</v>
      </c>
      <c r="AB318" s="31">
        <f>'mnt Data'!N321</f>
        <v>0</v>
      </c>
      <c r="AC318" s="31">
        <f>'mnt Data'!O321</f>
        <v>0</v>
      </c>
      <c r="AD318" s="31">
        <f>'mnt Data'!P321</f>
        <v>0</v>
      </c>
      <c r="AE318" s="31">
        <f>'mnt Data'!Q321</f>
        <v>0</v>
      </c>
      <c r="AF318" s="31">
        <f>'mnt Data'!R321</f>
        <v>0</v>
      </c>
      <c r="AG318" s="31">
        <f>'mnt Data'!S321</f>
        <v>0</v>
      </c>
      <c r="AH318" s="31">
        <f>'mnt Data'!T321</f>
        <v>0</v>
      </c>
      <c r="AI318" s="31">
        <f>'mnt Data'!U321</f>
        <v>0</v>
      </c>
      <c r="AJ318" s="31">
        <f>'mnt Data'!V321</f>
        <v>0</v>
      </c>
      <c r="AK318" s="31">
        <f>'mnt Data'!W321</f>
        <v>0</v>
      </c>
      <c r="AL318" s="31">
        <f>'mnt Data'!X321</f>
        <v>0</v>
      </c>
      <c r="AM318" s="31">
        <f>'mnt Data'!Y321</f>
        <v>0</v>
      </c>
      <c r="AN318" s="31">
        <f>'mnt Data'!Z321</f>
        <v>0</v>
      </c>
      <c r="AO318" s="31">
        <f>'mnt Data'!AA321</f>
        <v>0</v>
      </c>
      <c r="AP318" s="31">
        <f>'mnt Data'!AB321</f>
        <v>0</v>
      </c>
      <c r="AQ318" s="31">
        <f>'mnt Data'!AC321</f>
        <v>0</v>
      </c>
      <c r="AR318" s="31">
        <f>'mnt Data'!AD321</f>
        <v>0</v>
      </c>
      <c r="AS318" s="31">
        <f>'mnt Data'!AE321</f>
        <v>0</v>
      </c>
      <c r="AT318" s="31">
        <f>'mnt Data'!AF321</f>
        <v>0</v>
      </c>
      <c r="AU318" s="31">
        <f>'mnt Data'!AG321</f>
        <v>0</v>
      </c>
      <c r="AV318" s="31">
        <f>'mnt Data'!AH321</f>
        <v>0</v>
      </c>
      <c r="AW318" s="31">
        <f>'mnt Data'!AI321</f>
        <v>0</v>
      </c>
      <c r="AX318" s="31">
        <f>'mnt Data'!AJ321</f>
        <v>0</v>
      </c>
      <c r="AY318" s="31">
        <f>'mnt Data'!AK321</f>
        <v>0</v>
      </c>
    </row>
    <row r="319" spans="1:51" x14ac:dyDescent="0.25">
      <c r="A319">
        <v>318</v>
      </c>
      <c r="B319" s="32">
        <f t="shared" si="60"/>
        <v>0</v>
      </c>
      <c r="C319" s="32">
        <f t="shared" si="61"/>
        <v>0</v>
      </c>
      <c r="D319" s="32" t="str">
        <f t="shared" si="53"/>
        <v>No Gs</v>
      </c>
      <c r="E319" s="32">
        <f t="shared" si="57"/>
        <v>0</v>
      </c>
      <c r="F319" s="32" t="str">
        <f t="shared" si="58"/>
        <v>No Gs</v>
      </c>
      <c r="G319" s="32" t="str">
        <f t="shared" si="59"/>
        <v>No Gs</v>
      </c>
      <c r="H319" s="32" t="str">
        <f t="shared" si="62"/>
        <v>Gs is needed</v>
      </c>
      <c r="I319" s="32" t="str">
        <f t="shared" si="63"/>
        <v>Gs is needed</v>
      </c>
      <c r="J319" s="32" t="str">
        <f t="shared" si="64"/>
        <v>Gs is needed</v>
      </c>
      <c r="K319" s="32" t="str">
        <f t="shared" si="54"/>
        <v>Need Max and Min</v>
      </c>
      <c r="L319" s="32" t="str">
        <f t="shared" si="55"/>
        <v>Need Max and Min</v>
      </c>
      <c r="M319" s="32" t="str">
        <f t="shared" si="56"/>
        <v>Fail</v>
      </c>
      <c r="N319" s="32"/>
      <c r="O319" s="31">
        <f>'mnt Data'!A322</f>
        <v>0</v>
      </c>
      <c r="P319" s="31">
        <f>'mnt Data'!B322</f>
        <v>0</v>
      </c>
      <c r="Q319" s="31">
        <f>'mnt Data'!C322</f>
        <v>0</v>
      </c>
      <c r="R319" s="31">
        <f>'mnt Data'!D322</f>
        <v>0</v>
      </c>
      <c r="S319" s="31">
        <f>'mnt Data'!E322</f>
        <v>0</v>
      </c>
      <c r="T319" s="31">
        <f>'mnt Data'!F322</f>
        <v>0</v>
      </c>
      <c r="U319" s="31">
        <f>'mnt Data'!G322</f>
        <v>0</v>
      </c>
      <c r="V319" s="31">
        <f>'mnt Data'!H322</f>
        <v>0</v>
      </c>
      <c r="W319" s="31">
        <f>'mnt Data'!I322</f>
        <v>0</v>
      </c>
      <c r="X319" s="31">
        <f>'mnt Data'!J322</f>
        <v>0</v>
      </c>
      <c r="Y319" s="31">
        <f>'mnt Data'!K322</f>
        <v>0</v>
      </c>
      <c r="Z319" s="31">
        <f>'mnt Data'!L322</f>
        <v>0</v>
      </c>
      <c r="AA319" s="31">
        <f>'mnt Data'!M322</f>
        <v>0</v>
      </c>
      <c r="AB319" s="31">
        <f>'mnt Data'!N322</f>
        <v>0</v>
      </c>
      <c r="AC319" s="31">
        <f>'mnt Data'!O322</f>
        <v>0</v>
      </c>
      <c r="AD319" s="31">
        <f>'mnt Data'!P322</f>
        <v>0</v>
      </c>
      <c r="AE319" s="31">
        <f>'mnt Data'!Q322</f>
        <v>0</v>
      </c>
      <c r="AF319" s="31">
        <f>'mnt Data'!R322</f>
        <v>0</v>
      </c>
      <c r="AG319" s="31">
        <f>'mnt Data'!S322</f>
        <v>0</v>
      </c>
      <c r="AH319" s="31">
        <f>'mnt Data'!T322</f>
        <v>0</v>
      </c>
      <c r="AI319" s="31">
        <f>'mnt Data'!U322</f>
        <v>0</v>
      </c>
      <c r="AJ319" s="31">
        <f>'mnt Data'!V322</f>
        <v>0</v>
      </c>
      <c r="AK319" s="31">
        <f>'mnt Data'!W322</f>
        <v>0</v>
      </c>
      <c r="AL319" s="31">
        <f>'mnt Data'!X322</f>
        <v>0</v>
      </c>
      <c r="AM319" s="31">
        <f>'mnt Data'!Y322</f>
        <v>0</v>
      </c>
      <c r="AN319" s="31">
        <f>'mnt Data'!Z322</f>
        <v>0</v>
      </c>
      <c r="AO319" s="31">
        <f>'mnt Data'!AA322</f>
        <v>0</v>
      </c>
      <c r="AP319" s="31">
        <f>'mnt Data'!AB322</f>
        <v>0</v>
      </c>
      <c r="AQ319" s="31">
        <f>'mnt Data'!AC322</f>
        <v>0</v>
      </c>
      <c r="AR319" s="31">
        <f>'mnt Data'!AD322</f>
        <v>0</v>
      </c>
      <c r="AS319" s="31">
        <f>'mnt Data'!AE322</f>
        <v>0</v>
      </c>
      <c r="AT319" s="31">
        <f>'mnt Data'!AF322</f>
        <v>0</v>
      </c>
      <c r="AU319" s="31">
        <f>'mnt Data'!AG322</f>
        <v>0</v>
      </c>
      <c r="AV319" s="31">
        <f>'mnt Data'!AH322</f>
        <v>0</v>
      </c>
      <c r="AW319" s="31">
        <f>'mnt Data'!AI322</f>
        <v>0</v>
      </c>
      <c r="AX319" s="31">
        <f>'mnt Data'!AJ322</f>
        <v>0</v>
      </c>
      <c r="AY319" s="31">
        <f>'mnt Data'!AK322</f>
        <v>0</v>
      </c>
    </row>
    <row r="320" spans="1:51" x14ac:dyDescent="0.25">
      <c r="A320">
        <v>319</v>
      </c>
      <c r="B320" s="32">
        <f t="shared" si="60"/>
        <v>0</v>
      </c>
      <c r="C320" s="32">
        <f t="shared" si="61"/>
        <v>0</v>
      </c>
      <c r="D320" s="32" t="str">
        <f t="shared" si="53"/>
        <v>No Gs</v>
      </c>
      <c r="E320" s="32">
        <f t="shared" si="57"/>
        <v>0</v>
      </c>
      <c r="F320" s="32" t="str">
        <f t="shared" si="58"/>
        <v>No Gs</v>
      </c>
      <c r="G320" s="32" t="str">
        <f t="shared" si="59"/>
        <v>No Gs</v>
      </c>
      <c r="H320" s="32" t="str">
        <f t="shared" si="62"/>
        <v>Gs is needed</v>
      </c>
      <c r="I320" s="32" t="str">
        <f t="shared" si="63"/>
        <v>Gs is needed</v>
      </c>
      <c r="J320" s="32" t="str">
        <f t="shared" si="64"/>
        <v>Gs is needed</v>
      </c>
      <c r="K320" s="32" t="str">
        <f t="shared" si="54"/>
        <v>Need Max and Min</v>
      </c>
      <c r="L320" s="32" t="str">
        <f t="shared" si="55"/>
        <v>Need Max and Min</v>
      </c>
      <c r="M320" s="32" t="str">
        <f t="shared" si="56"/>
        <v>Fail</v>
      </c>
      <c r="N320" s="32"/>
      <c r="O320" s="31">
        <f>'mnt Data'!A323</f>
        <v>0</v>
      </c>
      <c r="P320" s="31">
        <f>'mnt Data'!B323</f>
        <v>0</v>
      </c>
      <c r="Q320" s="31">
        <f>'mnt Data'!C323</f>
        <v>0</v>
      </c>
      <c r="R320" s="31">
        <f>'mnt Data'!D323</f>
        <v>0</v>
      </c>
      <c r="S320" s="31">
        <f>'mnt Data'!E323</f>
        <v>0</v>
      </c>
      <c r="T320" s="31">
        <f>'mnt Data'!F323</f>
        <v>0</v>
      </c>
      <c r="U320" s="31">
        <f>'mnt Data'!G323</f>
        <v>0</v>
      </c>
      <c r="V320" s="31">
        <f>'mnt Data'!H323</f>
        <v>0</v>
      </c>
      <c r="W320" s="31">
        <f>'mnt Data'!I323</f>
        <v>0</v>
      </c>
      <c r="X320" s="31">
        <f>'mnt Data'!J323</f>
        <v>0</v>
      </c>
      <c r="Y320" s="31">
        <f>'mnt Data'!K323</f>
        <v>0</v>
      </c>
      <c r="Z320" s="31">
        <f>'mnt Data'!L323</f>
        <v>0</v>
      </c>
      <c r="AA320" s="31">
        <f>'mnt Data'!M323</f>
        <v>0</v>
      </c>
      <c r="AB320" s="31">
        <f>'mnt Data'!N323</f>
        <v>0</v>
      </c>
      <c r="AC320" s="31">
        <f>'mnt Data'!O323</f>
        <v>0</v>
      </c>
      <c r="AD320" s="31">
        <f>'mnt Data'!P323</f>
        <v>0</v>
      </c>
      <c r="AE320" s="31">
        <f>'mnt Data'!Q323</f>
        <v>0</v>
      </c>
      <c r="AF320" s="31">
        <f>'mnt Data'!R323</f>
        <v>0</v>
      </c>
      <c r="AG320" s="31">
        <f>'mnt Data'!S323</f>
        <v>0</v>
      </c>
      <c r="AH320" s="31">
        <f>'mnt Data'!T323</f>
        <v>0</v>
      </c>
      <c r="AI320" s="31">
        <f>'mnt Data'!U323</f>
        <v>0</v>
      </c>
      <c r="AJ320" s="31">
        <f>'mnt Data'!V323</f>
        <v>0</v>
      </c>
      <c r="AK320" s="31">
        <f>'mnt Data'!W323</f>
        <v>0</v>
      </c>
      <c r="AL320" s="31">
        <f>'mnt Data'!X323</f>
        <v>0</v>
      </c>
      <c r="AM320" s="31">
        <f>'mnt Data'!Y323</f>
        <v>0</v>
      </c>
      <c r="AN320" s="31">
        <f>'mnt Data'!Z323</f>
        <v>0</v>
      </c>
      <c r="AO320" s="31">
        <f>'mnt Data'!AA323</f>
        <v>0</v>
      </c>
      <c r="AP320" s="31">
        <f>'mnt Data'!AB323</f>
        <v>0</v>
      </c>
      <c r="AQ320" s="31">
        <f>'mnt Data'!AC323</f>
        <v>0</v>
      </c>
      <c r="AR320" s="31">
        <f>'mnt Data'!AD323</f>
        <v>0</v>
      </c>
      <c r="AS320" s="31">
        <f>'mnt Data'!AE323</f>
        <v>0</v>
      </c>
      <c r="AT320" s="31">
        <f>'mnt Data'!AF323</f>
        <v>0</v>
      </c>
      <c r="AU320" s="31">
        <f>'mnt Data'!AG323</f>
        <v>0</v>
      </c>
      <c r="AV320" s="31">
        <f>'mnt Data'!AH323</f>
        <v>0</v>
      </c>
      <c r="AW320" s="31">
        <f>'mnt Data'!AI323</f>
        <v>0</v>
      </c>
      <c r="AX320" s="31">
        <f>'mnt Data'!AJ323</f>
        <v>0</v>
      </c>
      <c r="AY320" s="31">
        <f>'mnt Data'!AK323</f>
        <v>0</v>
      </c>
    </row>
    <row r="321" spans="1:51" x14ac:dyDescent="0.25">
      <c r="A321">
        <v>320</v>
      </c>
      <c r="B321" s="32">
        <f t="shared" si="60"/>
        <v>0</v>
      </c>
      <c r="C321" s="32">
        <f t="shared" si="61"/>
        <v>0</v>
      </c>
      <c r="D321" s="32" t="str">
        <f t="shared" si="53"/>
        <v>No Gs</v>
      </c>
      <c r="E321" s="32">
        <f t="shared" si="57"/>
        <v>0</v>
      </c>
      <c r="F321" s="32" t="str">
        <f t="shared" si="58"/>
        <v>No Gs</v>
      </c>
      <c r="G321" s="32" t="str">
        <f t="shared" si="59"/>
        <v>No Gs</v>
      </c>
      <c r="H321" s="32" t="str">
        <f t="shared" si="62"/>
        <v>Gs is needed</v>
      </c>
      <c r="I321" s="32" t="str">
        <f t="shared" si="63"/>
        <v>Gs is needed</v>
      </c>
      <c r="J321" s="32" t="str">
        <f t="shared" si="64"/>
        <v>Gs is needed</v>
      </c>
      <c r="K321" s="32" t="str">
        <f t="shared" si="54"/>
        <v>Need Max and Min</v>
      </c>
      <c r="L321" s="32" t="str">
        <f t="shared" si="55"/>
        <v>Need Max and Min</v>
      </c>
      <c r="M321" s="32" t="str">
        <f t="shared" si="56"/>
        <v>Fail</v>
      </c>
      <c r="N321" s="32"/>
      <c r="O321" s="31">
        <f>'mnt Data'!A324</f>
        <v>0</v>
      </c>
      <c r="P321" s="31">
        <f>'mnt Data'!B324</f>
        <v>0</v>
      </c>
      <c r="Q321" s="31">
        <f>'mnt Data'!C324</f>
        <v>0</v>
      </c>
      <c r="R321" s="31">
        <f>'mnt Data'!D324</f>
        <v>0</v>
      </c>
      <c r="S321" s="31">
        <f>'mnt Data'!E324</f>
        <v>0</v>
      </c>
      <c r="T321" s="31">
        <f>'mnt Data'!F324</f>
        <v>0</v>
      </c>
      <c r="U321" s="31">
        <f>'mnt Data'!G324</f>
        <v>0</v>
      </c>
      <c r="V321" s="31">
        <f>'mnt Data'!H324</f>
        <v>0</v>
      </c>
      <c r="W321" s="31">
        <f>'mnt Data'!I324</f>
        <v>0</v>
      </c>
      <c r="X321" s="31">
        <f>'mnt Data'!J324</f>
        <v>0</v>
      </c>
      <c r="Y321" s="31">
        <f>'mnt Data'!K324</f>
        <v>0</v>
      </c>
      <c r="Z321" s="31">
        <f>'mnt Data'!L324</f>
        <v>0</v>
      </c>
      <c r="AA321" s="31">
        <f>'mnt Data'!M324</f>
        <v>0</v>
      </c>
      <c r="AB321" s="31">
        <f>'mnt Data'!N324</f>
        <v>0</v>
      </c>
      <c r="AC321" s="31">
        <f>'mnt Data'!O324</f>
        <v>0</v>
      </c>
      <c r="AD321" s="31">
        <f>'mnt Data'!P324</f>
        <v>0</v>
      </c>
      <c r="AE321" s="31">
        <f>'mnt Data'!Q324</f>
        <v>0</v>
      </c>
      <c r="AF321" s="31">
        <f>'mnt Data'!R324</f>
        <v>0</v>
      </c>
      <c r="AG321" s="31">
        <f>'mnt Data'!S324</f>
        <v>0</v>
      </c>
      <c r="AH321" s="31">
        <f>'mnt Data'!T324</f>
        <v>0</v>
      </c>
      <c r="AI321" s="31">
        <f>'mnt Data'!U324</f>
        <v>0</v>
      </c>
      <c r="AJ321" s="31">
        <f>'mnt Data'!V324</f>
        <v>0</v>
      </c>
      <c r="AK321" s="31">
        <f>'mnt Data'!W324</f>
        <v>0</v>
      </c>
      <c r="AL321" s="31">
        <f>'mnt Data'!X324</f>
        <v>0</v>
      </c>
      <c r="AM321" s="31">
        <f>'mnt Data'!Y324</f>
        <v>0</v>
      </c>
      <c r="AN321" s="31">
        <f>'mnt Data'!Z324</f>
        <v>0</v>
      </c>
      <c r="AO321" s="31">
        <f>'mnt Data'!AA324</f>
        <v>0</v>
      </c>
      <c r="AP321" s="31">
        <f>'mnt Data'!AB324</f>
        <v>0</v>
      </c>
      <c r="AQ321" s="31">
        <f>'mnt Data'!AC324</f>
        <v>0</v>
      </c>
      <c r="AR321" s="31">
        <f>'mnt Data'!AD324</f>
        <v>0</v>
      </c>
      <c r="AS321" s="31">
        <f>'mnt Data'!AE324</f>
        <v>0</v>
      </c>
      <c r="AT321" s="31">
        <f>'mnt Data'!AF324</f>
        <v>0</v>
      </c>
      <c r="AU321" s="31">
        <f>'mnt Data'!AG324</f>
        <v>0</v>
      </c>
      <c r="AV321" s="31">
        <f>'mnt Data'!AH324</f>
        <v>0</v>
      </c>
      <c r="AW321" s="31">
        <f>'mnt Data'!AI324</f>
        <v>0</v>
      </c>
      <c r="AX321" s="31">
        <f>'mnt Data'!AJ324</f>
        <v>0</v>
      </c>
      <c r="AY321" s="31">
        <f>'mnt Data'!AK324</f>
        <v>0</v>
      </c>
    </row>
    <row r="322" spans="1:51" x14ac:dyDescent="0.25">
      <c r="A322">
        <v>321</v>
      </c>
      <c r="B322" s="32">
        <f t="shared" si="60"/>
        <v>0</v>
      </c>
      <c r="C322" s="32">
        <f t="shared" si="61"/>
        <v>0</v>
      </c>
      <c r="D322" s="32" t="str">
        <f t="shared" ref="D322:D385" si="65">IFERROR(B322/(Gs*(IF(O322&gt;1000,998,62.4))),"No Gs")</f>
        <v>No Gs</v>
      </c>
      <c r="E322" s="32">
        <f t="shared" si="57"/>
        <v>0</v>
      </c>
      <c r="F322" s="32" t="str">
        <f t="shared" si="58"/>
        <v>No Gs</v>
      </c>
      <c r="G322" s="32" t="str">
        <f t="shared" si="59"/>
        <v>No Gs</v>
      </c>
      <c r="H322" s="32" t="str">
        <f t="shared" si="62"/>
        <v>Gs is needed</v>
      </c>
      <c r="I322" s="32" t="str">
        <f t="shared" si="63"/>
        <v>Gs is needed</v>
      </c>
      <c r="J322" s="32" t="str">
        <f t="shared" si="64"/>
        <v>Gs is needed</v>
      </c>
      <c r="K322" s="32" t="str">
        <f t="shared" ref="K322:K385" si="66">IFERROR((100*(DMax*(O322-DMin))/(O322*(DMax-DMin))),"Need Max and Min")</f>
        <v>Need Max and Min</v>
      </c>
      <c r="L322" s="32" t="str">
        <f t="shared" ref="L322:L385" si="67">IF(K322="Need Max and Min",K322,(100*((O322-DMin)/(DMax-DMin))))</f>
        <v>Need Max and Min</v>
      </c>
      <c r="M322" s="32" t="str">
        <f t="shared" ref="M322:M385" si="68">IF((Min+Max)=0,"Need Max and Min Density",IF(AND(S322&gt;Min,S322&lt;Max),"Pass","Fail"))</f>
        <v>Fail</v>
      </c>
      <c r="N322" s="32"/>
      <c r="O322" s="31">
        <f>'mnt Data'!A325</f>
        <v>0</v>
      </c>
      <c r="P322" s="31">
        <f>'mnt Data'!B325</f>
        <v>0</v>
      </c>
      <c r="Q322" s="31">
        <f>'mnt Data'!C325</f>
        <v>0</v>
      </c>
      <c r="R322" s="31">
        <f>'mnt Data'!D325</f>
        <v>0</v>
      </c>
      <c r="S322" s="31">
        <f>'mnt Data'!E325</f>
        <v>0</v>
      </c>
      <c r="T322" s="31">
        <f>'mnt Data'!F325</f>
        <v>0</v>
      </c>
      <c r="U322" s="31">
        <f>'mnt Data'!G325</f>
        <v>0</v>
      </c>
      <c r="V322" s="31">
        <f>'mnt Data'!H325</f>
        <v>0</v>
      </c>
      <c r="W322" s="31">
        <f>'mnt Data'!I325</f>
        <v>0</v>
      </c>
      <c r="X322" s="31">
        <f>'mnt Data'!J325</f>
        <v>0</v>
      </c>
      <c r="Y322" s="31">
        <f>'mnt Data'!K325</f>
        <v>0</v>
      </c>
      <c r="Z322" s="31">
        <f>'mnt Data'!L325</f>
        <v>0</v>
      </c>
      <c r="AA322" s="31">
        <f>'mnt Data'!M325</f>
        <v>0</v>
      </c>
      <c r="AB322" s="31">
        <f>'mnt Data'!N325</f>
        <v>0</v>
      </c>
      <c r="AC322" s="31">
        <f>'mnt Data'!O325</f>
        <v>0</v>
      </c>
      <c r="AD322" s="31">
        <f>'mnt Data'!P325</f>
        <v>0</v>
      </c>
      <c r="AE322" s="31">
        <f>'mnt Data'!Q325</f>
        <v>0</v>
      </c>
      <c r="AF322" s="31">
        <f>'mnt Data'!R325</f>
        <v>0</v>
      </c>
      <c r="AG322" s="31">
        <f>'mnt Data'!S325</f>
        <v>0</v>
      </c>
      <c r="AH322" s="31">
        <f>'mnt Data'!T325</f>
        <v>0</v>
      </c>
      <c r="AI322" s="31">
        <f>'mnt Data'!U325</f>
        <v>0</v>
      </c>
      <c r="AJ322" s="31">
        <f>'mnt Data'!V325</f>
        <v>0</v>
      </c>
      <c r="AK322" s="31">
        <f>'mnt Data'!W325</f>
        <v>0</v>
      </c>
      <c r="AL322" s="31">
        <f>'mnt Data'!X325</f>
        <v>0</v>
      </c>
      <c r="AM322" s="31">
        <f>'mnt Data'!Y325</f>
        <v>0</v>
      </c>
      <c r="AN322" s="31">
        <f>'mnt Data'!Z325</f>
        <v>0</v>
      </c>
      <c r="AO322" s="31">
        <f>'mnt Data'!AA325</f>
        <v>0</v>
      </c>
      <c r="AP322" s="31">
        <f>'mnt Data'!AB325</f>
        <v>0</v>
      </c>
      <c r="AQ322" s="31">
        <f>'mnt Data'!AC325</f>
        <v>0</v>
      </c>
      <c r="AR322" s="31">
        <f>'mnt Data'!AD325</f>
        <v>0</v>
      </c>
      <c r="AS322" s="31">
        <f>'mnt Data'!AE325</f>
        <v>0</v>
      </c>
      <c r="AT322" s="31">
        <f>'mnt Data'!AF325</f>
        <v>0</v>
      </c>
      <c r="AU322" s="31">
        <f>'mnt Data'!AG325</f>
        <v>0</v>
      </c>
      <c r="AV322" s="31">
        <f>'mnt Data'!AH325</f>
        <v>0</v>
      </c>
      <c r="AW322" s="31">
        <f>'mnt Data'!AI325</f>
        <v>0</v>
      </c>
      <c r="AX322" s="31">
        <f>'mnt Data'!AJ325</f>
        <v>0</v>
      </c>
      <c r="AY322" s="31">
        <f>'mnt Data'!AK325</f>
        <v>0</v>
      </c>
    </row>
    <row r="323" spans="1:51" x14ac:dyDescent="0.25">
      <c r="A323">
        <v>322</v>
      </c>
      <c r="B323" s="32">
        <f t="shared" si="60"/>
        <v>0</v>
      </c>
      <c r="C323" s="32">
        <f t="shared" si="61"/>
        <v>0</v>
      </c>
      <c r="D323" s="32" t="str">
        <f t="shared" si="65"/>
        <v>No Gs</v>
      </c>
      <c r="E323" s="32">
        <f t="shared" ref="E323:E386" si="69">C323/(IF(O323&gt;1000,998,62.4))</f>
        <v>0</v>
      </c>
      <c r="F323" s="32" t="str">
        <f t="shared" ref="F323:F386" si="70">IFERROR(1-D323-E323,"No Gs")</f>
        <v>No Gs</v>
      </c>
      <c r="G323" s="32" t="str">
        <f t="shared" ref="G323:G386" si="71">IFERROR(E323+F323,"No Gs")</f>
        <v>No Gs</v>
      </c>
      <c r="H323" s="32" t="str">
        <f t="shared" si="62"/>
        <v>Gs is needed</v>
      </c>
      <c r="I323" s="32" t="str">
        <f t="shared" si="63"/>
        <v>Gs is needed</v>
      </c>
      <c r="J323" s="32" t="str">
        <f t="shared" si="64"/>
        <v>Gs is needed</v>
      </c>
      <c r="K323" s="32" t="str">
        <f t="shared" si="66"/>
        <v>Need Max and Min</v>
      </c>
      <c r="L323" s="32" t="str">
        <f t="shared" si="67"/>
        <v>Need Max and Min</v>
      </c>
      <c r="M323" s="32" t="str">
        <f t="shared" si="68"/>
        <v>Fail</v>
      </c>
      <c r="N323" s="32"/>
      <c r="O323" s="31">
        <f>'mnt Data'!A326</f>
        <v>0</v>
      </c>
      <c r="P323" s="31">
        <f>'mnt Data'!B326</f>
        <v>0</v>
      </c>
      <c r="Q323" s="31">
        <f>'mnt Data'!C326</f>
        <v>0</v>
      </c>
      <c r="R323" s="31">
        <f>'mnt Data'!D326</f>
        <v>0</v>
      </c>
      <c r="S323" s="31">
        <f>'mnt Data'!E326</f>
        <v>0</v>
      </c>
      <c r="T323" s="31">
        <f>'mnt Data'!F326</f>
        <v>0</v>
      </c>
      <c r="U323" s="31">
        <f>'mnt Data'!G326</f>
        <v>0</v>
      </c>
      <c r="V323" s="31">
        <f>'mnt Data'!H326</f>
        <v>0</v>
      </c>
      <c r="W323" s="31">
        <f>'mnt Data'!I326</f>
        <v>0</v>
      </c>
      <c r="X323" s="31">
        <f>'mnt Data'!J326</f>
        <v>0</v>
      </c>
      <c r="Y323" s="31">
        <f>'mnt Data'!K326</f>
        <v>0</v>
      </c>
      <c r="Z323" s="31">
        <f>'mnt Data'!L326</f>
        <v>0</v>
      </c>
      <c r="AA323" s="31">
        <f>'mnt Data'!M326</f>
        <v>0</v>
      </c>
      <c r="AB323" s="31">
        <f>'mnt Data'!N326</f>
        <v>0</v>
      </c>
      <c r="AC323" s="31">
        <f>'mnt Data'!O326</f>
        <v>0</v>
      </c>
      <c r="AD323" s="31">
        <f>'mnt Data'!P326</f>
        <v>0</v>
      </c>
      <c r="AE323" s="31">
        <f>'mnt Data'!Q326</f>
        <v>0</v>
      </c>
      <c r="AF323" s="31">
        <f>'mnt Data'!R326</f>
        <v>0</v>
      </c>
      <c r="AG323" s="31">
        <f>'mnt Data'!S326</f>
        <v>0</v>
      </c>
      <c r="AH323" s="31">
        <f>'mnt Data'!T326</f>
        <v>0</v>
      </c>
      <c r="AI323" s="31">
        <f>'mnt Data'!U326</f>
        <v>0</v>
      </c>
      <c r="AJ323" s="31">
        <f>'mnt Data'!V326</f>
        <v>0</v>
      </c>
      <c r="AK323" s="31">
        <f>'mnt Data'!W326</f>
        <v>0</v>
      </c>
      <c r="AL323" s="31">
        <f>'mnt Data'!X326</f>
        <v>0</v>
      </c>
      <c r="AM323" s="31">
        <f>'mnt Data'!Y326</f>
        <v>0</v>
      </c>
      <c r="AN323" s="31">
        <f>'mnt Data'!Z326</f>
        <v>0</v>
      </c>
      <c r="AO323" s="31">
        <f>'mnt Data'!AA326</f>
        <v>0</v>
      </c>
      <c r="AP323" s="31">
        <f>'mnt Data'!AB326</f>
        <v>0</v>
      </c>
      <c r="AQ323" s="31">
        <f>'mnt Data'!AC326</f>
        <v>0</v>
      </c>
      <c r="AR323" s="31">
        <f>'mnt Data'!AD326</f>
        <v>0</v>
      </c>
      <c r="AS323" s="31">
        <f>'mnt Data'!AE326</f>
        <v>0</v>
      </c>
      <c r="AT323" s="31">
        <f>'mnt Data'!AF326</f>
        <v>0</v>
      </c>
      <c r="AU323" s="31">
        <f>'mnt Data'!AG326</f>
        <v>0</v>
      </c>
      <c r="AV323" s="31">
        <f>'mnt Data'!AH326</f>
        <v>0</v>
      </c>
      <c r="AW323" s="31">
        <f>'mnt Data'!AI326</f>
        <v>0</v>
      </c>
      <c r="AX323" s="31">
        <f>'mnt Data'!AJ326</f>
        <v>0</v>
      </c>
      <c r="AY323" s="31">
        <f>'mnt Data'!AK326</f>
        <v>0</v>
      </c>
    </row>
    <row r="324" spans="1:51" x14ac:dyDescent="0.25">
      <c r="A324">
        <v>323</v>
      </c>
      <c r="B324" s="32">
        <f t="shared" si="60"/>
        <v>0</v>
      </c>
      <c r="C324" s="32">
        <f t="shared" si="61"/>
        <v>0</v>
      </c>
      <c r="D324" s="32" t="str">
        <f t="shared" si="65"/>
        <v>No Gs</v>
      </c>
      <c r="E324" s="32">
        <f t="shared" si="69"/>
        <v>0</v>
      </c>
      <c r="F324" s="32" t="str">
        <f t="shared" si="70"/>
        <v>No Gs</v>
      </c>
      <c r="G324" s="32" t="str">
        <f t="shared" si="71"/>
        <v>No Gs</v>
      </c>
      <c r="H324" s="32" t="str">
        <f t="shared" si="62"/>
        <v>Gs is needed</v>
      </c>
      <c r="I324" s="32" t="str">
        <f t="shared" si="63"/>
        <v>Gs is needed</v>
      </c>
      <c r="J324" s="32" t="str">
        <f t="shared" si="64"/>
        <v>Gs is needed</v>
      </c>
      <c r="K324" s="32" t="str">
        <f t="shared" si="66"/>
        <v>Need Max and Min</v>
      </c>
      <c r="L324" s="32" t="str">
        <f t="shared" si="67"/>
        <v>Need Max and Min</v>
      </c>
      <c r="M324" s="32" t="str">
        <f t="shared" si="68"/>
        <v>Fail</v>
      </c>
      <c r="N324" s="32"/>
      <c r="O324" s="31">
        <f>'mnt Data'!A327</f>
        <v>0</v>
      </c>
      <c r="P324" s="31">
        <f>'mnt Data'!B327</f>
        <v>0</v>
      </c>
      <c r="Q324" s="31">
        <f>'mnt Data'!C327</f>
        <v>0</v>
      </c>
      <c r="R324" s="31">
        <f>'mnt Data'!D327</f>
        <v>0</v>
      </c>
      <c r="S324" s="31">
        <f>'mnt Data'!E327</f>
        <v>0</v>
      </c>
      <c r="T324" s="31">
        <f>'mnt Data'!F327</f>
        <v>0</v>
      </c>
      <c r="U324" s="31">
        <f>'mnt Data'!G327</f>
        <v>0</v>
      </c>
      <c r="V324" s="31">
        <f>'mnt Data'!H327</f>
        <v>0</v>
      </c>
      <c r="W324" s="31">
        <f>'mnt Data'!I327</f>
        <v>0</v>
      </c>
      <c r="X324" s="31">
        <f>'mnt Data'!J327</f>
        <v>0</v>
      </c>
      <c r="Y324" s="31">
        <f>'mnt Data'!K327</f>
        <v>0</v>
      </c>
      <c r="Z324" s="31">
        <f>'mnt Data'!L327</f>
        <v>0</v>
      </c>
      <c r="AA324" s="31">
        <f>'mnt Data'!M327</f>
        <v>0</v>
      </c>
      <c r="AB324" s="31">
        <f>'mnt Data'!N327</f>
        <v>0</v>
      </c>
      <c r="AC324" s="31">
        <f>'mnt Data'!O327</f>
        <v>0</v>
      </c>
      <c r="AD324" s="31">
        <f>'mnt Data'!P327</f>
        <v>0</v>
      </c>
      <c r="AE324" s="31">
        <f>'mnt Data'!Q327</f>
        <v>0</v>
      </c>
      <c r="AF324" s="31">
        <f>'mnt Data'!R327</f>
        <v>0</v>
      </c>
      <c r="AG324" s="31">
        <f>'mnt Data'!S327</f>
        <v>0</v>
      </c>
      <c r="AH324" s="31">
        <f>'mnt Data'!T327</f>
        <v>0</v>
      </c>
      <c r="AI324" s="31">
        <f>'mnt Data'!U327</f>
        <v>0</v>
      </c>
      <c r="AJ324" s="31">
        <f>'mnt Data'!V327</f>
        <v>0</v>
      </c>
      <c r="AK324" s="31">
        <f>'mnt Data'!W327</f>
        <v>0</v>
      </c>
      <c r="AL324" s="31">
        <f>'mnt Data'!X327</f>
        <v>0</v>
      </c>
      <c r="AM324" s="31">
        <f>'mnt Data'!Y327</f>
        <v>0</v>
      </c>
      <c r="AN324" s="31">
        <f>'mnt Data'!Z327</f>
        <v>0</v>
      </c>
      <c r="AO324" s="31">
        <f>'mnt Data'!AA327</f>
        <v>0</v>
      </c>
      <c r="AP324" s="31">
        <f>'mnt Data'!AB327</f>
        <v>0</v>
      </c>
      <c r="AQ324" s="31">
        <f>'mnt Data'!AC327</f>
        <v>0</v>
      </c>
      <c r="AR324" s="31">
        <f>'mnt Data'!AD327</f>
        <v>0</v>
      </c>
      <c r="AS324" s="31">
        <f>'mnt Data'!AE327</f>
        <v>0</v>
      </c>
      <c r="AT324" s="31">
        <f>'mnt Data'!AF327</f>
        <v>0</v>
      </c>
      <c r="AU324" s="31">
        <f>'mnt Data'!AG327</f>
        <v>0</v>
      </c>
      <c r="AV324" s="31">
        <f>'mnt Data'!AH327</f>
        <v>0</v>
      </c>
      <c r="AW324" s="31">
        <f>'mnt Data'!AI327</f>
        <v>0</v>
      </c>
      <c r="AX324" s="31">
        <f>'mnt Data'!AJ327</f>
        <v>0</v>
      </c>
      <c r="AY324" s="31">
        <f>'mnt Data'!AK327</f>
        <v>0</v>
      </c>
    </row>
    <row r="325" spans="1:51" x14ac:dyDescent="0.25">
      <c r="A325">
        <v>324</v>
      </c>
      <c r="B325" s="32">
        <f t="shared" si="60"/>
        <v>0</v>
      </c>
      <c r="C325" s="32">
        <f t="shared" si="61"/>
        <v>0</v>
      </c>
      <c r="D325" s="32" t="str">
        <f t="shared" si="65"/>
        <v>No Gs</v>
      </c>
      <c r="E325" s="32">
        <f t="shared" si="69"/>
        <v>0</v>
      </c>
      <c r="F325" s="32" t="str">
        <f t="shared" si="70"/>
        <v>No Gs</v>
      </c>
      <c r="G325" s="32" t="str">
        <f t="shared" si="71"/>
        <v>No Gs</v>
      </c>
      <c r="H325" s="32" t="str">
        <f t="shared" si="62"/>
        <v>Gs is needed</v>
      </c>
      <c r="I325" s="32" t="str">
        <f t="shared" si="63"/>
        <v>Gs is needed</v>
      </c>
      <c r="J325" s="32" t="str">
        <f t="shared" si="64"/>
        <v>Gs is needed</v>
      </c>
      <c r="K325" s="32" t="str">
        <f t="shared" si="66"/>
        <v>Need Max and Min</v>
      </c>
      <c r="L325" s="32" t="str">
        <f t="shared" si="67"/>
        <v>Need Max and Min</v>
      </c>
      <c r="M325" s="32" t="str">
        <f t="shared" si="68"/>
        <v>Fail</v>
      </c>
      <c r="N325" s="32"/>
      <c r="O325" s="31">
        <f>'mnt Data'!A328</f>
        <v>0</v>
      </c>
      <c r="P325" s="31">
        <f>'mnt Data'!B328</f>
        <v>0</v>
      </c>
      <c r="Q325" s="31">
        <f>'mnt Data'!C328</f>
        <v>0</v>
      </c>
      <c r="R325" s="31">
        <f>'mnt Data'!D328</f>
        <v>0</v>
      </c>
      <c r="S325" s="31">
        <f>'mnt Data'!E328</f>
        <v>0</v>
      </c>
      <c r="T325" s="31">
        <f>'mnt Data'!F328</f>
        <v>0</v>
      </c>
      <c r="U325" s="31">
        <f>'mnt Data'!G328</f>
        <v>0</v>
      </c>
      <c r="V325" s="31">
        <f>'mnt Data'!H328</f>
        <v>0</v>
      </c>
      <c r="W325" s="31">
        <f>'mnt Data'!I328</f>
        <v>0</v>
      </c>
      <c r="X325" s="31">
        <f>'mnt Data'!J328</f>
        <v>0</v>
      </c>
      <c r="Y325" s="31">
        <f>'mnt Data'!K328</f>
        <v>0</v>
      </c>
      <c r="Z325" s="31">
        <f>'mnt Data'!L328</f>
        <v>0</v>
      </c>
      <c r="AA325" s="31">
        <f>'mnt Data'!M328</f>
        <v>0</v>
      </c>
      <c r="AB325" s="31">
        <f>'mnt Data'!N328</f>
        <v>0</v>
      </c>
      <c r="AC325" s="31">
        <f>'mnt Data'!O328</f>
        <v>0</v>
      </c>
      <c r="AD325" s="31">
        <f>'mnt Data'!P328</f>
        <v>0</v>
      </c>
      <c r="AE325" s="31">
        <f>'mnt Data'!Q328</f>
        <v>0</v>
      </c>
      <c r="AF325" s="31">
        <f>'mnt Data'!R328</f>
        <v>0</v>
      </c>
      <c r="AG325" s="31">
        <f>'mnt Data'!S328</f>
        <v>0</v>
      </c>
      <c r="AH325" s="31">
        <f>'mnt Data'!T328</f>
        <v>0</v>
      </c>
      <c r="AI325" s="31">
        <f>'mnt Data'!U328</f>
        <v>0</v>
      </c>
      <c r="AJ325" s="31">
        <f>'mnt Data'!V328</f>
        <v>0</v>
      </c>
      <c r="AK325" s="31">
        <f>'mnt Data'!W328</f>
        <v>0</v>
      </c>
      <c r="AL325" s="31">
        <f>'mnt Data'!X328</f>
        <v>0</v>
      </c>
      <c r="AM325" s="31">
        <f>'mnt Data'!Y328</f>
        <v>0</v>
      </c>
      <c r="AN325" s="31">
        <f>'mnt Data'!Z328</f>
        <v>0</v>
      </c>
      <c r="AO325" s="31">
        <f>'mnt Data'!AA328</f>
        <v>0</v>
      </c>
      <c r="AP325" s="31">
        <f>'mnt Data'!AB328</f>
        <v>0</v>
      </c>
      <c r="AQ325" s="31">
        <f>'mnt Data'!AC328</f>
        <v>0</v>
      </c>
      <c r="AR325" s="31">
        <f>'mnt Data'!AD328</f>
        <v>0</v>
      </c>
      <c r="AS325" s="31">
        <f>'mnt Data'!AE328</f>
        <v>0</v>
      </c>
      <c r="AT325" s="31">
        <f>'mnt Data'!AF328</f>
        <v>0</v>
      </c>
      <c r="AU325" s="31">
        <f>'mnt Data'!AG328</f>
        <v>0</v>
      </c>
      <c r="AV325" s="31">
        <f>'mnt Data'!AH328</f>
        <v>0</v>
      </c>
      <c r="AW325" s="31">
        <f>'mnt Data'!AI328</f>
        <v>0</v>
      </c>
      <c r="AX325" s="31">
        <f>'mnt Data'!AJ328</f>
        <v>0</v>
      </c>
      <c r="AY325" s="31">
        <f>'mnt Data'!AK328</f>
        <v>0</v>
      </c>
    </row>
    <row r="326" spans="1:51" x14ac:dyDescent="0.25">
      <c r="A326">
        <v>325</v>
      </c>
      <c r="B326" s="32">
        <f t="shared" si="60"/>
        <v>0</v>
      </c>
      <c r="C326" s="32">
        <f t="shared" si="61"/>
        <v>0</v>
      </c>
      <c r="D326" s="32" t="str">
        <f t="shared" si="65"/>
        <v>No Gs</v>
      </c>
      <c r="E326" s="32">
        <f t="shared" si="69"/>
        <v>0</v>
      </c>
      <c r="F326" s="32" t="str">
        <f t="shared" si="70"/>
        <v>No Gs</v>
      </c>
      <c r="G326" s="32" t="str">
        <f t="shared" si="71"/>
        <v>No Gs</v>
      </c>
      <c r="H326" s="32" t="str">
        <f t="shared" si="62"/>
        <v>Gs is needed</v>
      </c>
      <c r="I326" s="32" t="str">
        <f t="shared" si="63"/>
        <v>Gs is needed</v>
      </c>
      <c r="J326" s="32" t="str">
        <f t="shared" si="64"/>
        <v>Gs is needed</v>
      </c>
      <c r="K326" s="32" t="str">
        <f t="shared" si="66"/>
        <v>Need Max and Min</v>
      </c>
      <c r="L326" s="32" t="str">
        <f t="shared" si="67"/>
        <v>Need Max and Min</v>
      </c>
      <c r="M326" s="32" t="str">
        <f t="shared" si="68"/>
        <v>Fail</v>
      </c>
      <c r="N326" s="32"/>
      <c r="O326" s="31">
        <f>'mnt Data'!A329</f>
        <v>0</v>
      </c>
      <c r="P326" s="31">
        <f>'mnt Data'!B329</f>
        <v>0</v>
      </c>
      <c r="Q326" s="31">
        <f>'mnt Data'!C329</f>
        <v>0</v>
      </c>
      <c r="R326" s="31">
        <f>'mnt Data'!D329</f>
        <v>0</v>
      </c>
      <c r="S326" s="31">
        <f>'mnt Data'!E329</f>
        <v>0</v>
      </c>
      <c r="T326" s="31">
        <f>'mnt Data'!F329</f>
        <v>0</v>
      </c>
      <c r="U326" s="31">
        <f>'mnt Data'!G329</f>
        <v>0</v>
      </c>
      <c r="V326" s="31">
        <f>'mnt Data'!H329</f>
        <v>0</v>
      </c>
      <c r="W326" s="31">
        <f>'mnt Data'!I329</f>
        <v>0</v>
      </c>
      <c r="X326" s="31">
        <f>'mnt Data'!J329</f>
        <v>0</v>
      </c>
      <c r="Y326" s="31">
        <f>'mnt Data'!K329</f>
        <v>0</v>
      </c>
      <c r="Z326" s="31">
        <f>'mnt Data'!L329</f>
        <v>0</v>
      </c>
      <c r="AA326" s="31">
        <f>'mnt Data'!M329</f>
        <v>0</v>
      </c>
      <c r="AB326" s="31">
        <f>'mnt Data'!N329</f>
        <v>0</v>
      </c>
      <c r="AC326" s="31">
        <f>'mnt Data'!O329</f>
        <v>0</v>
      </c>
      <c r="AD326" s="31">
        <f>'mnt Data'!P329</f>
        <v>0</v>
      </c>
      <c r="AE326" s="31">
        <f>'mnt Data'!Q329</f>
        <v>0</v>
      </c>
      <c r="AF326" s="31">
        <f>'mnt Data'!R329</f>
        <v>0</v>
      </c>
      <c r="AG326" s="31">
        <f>'mnt Data'!S329</f>
        <v>0</v>
      </c>
      <c r="AH326" s="31">
        <f>'mnt Data'!T329</f>
        <v>0</v>
      </c>
      <c r="AI326" s="31">
        <f>'mnt Data'!U329</f>
        <v>0</v>
      </c>
      <c r="AJ326" s="31">
        <f>'mnt Data'!V329</f>
        <v>0</v>
      </c>
      <c r="AK326" s="31">
        <f>'mnt Data'!W329</f>
        <v>0</v>
      </c>
      <c r="AL326" s="31">
        <f>'mnt Data'!X329</f>
        <v>0</v>
      </c>
      <c r="AM326" s="31">
        <f>'mnt Data'!Y329</f>
        <v>0</v>
      </c>
      <c r="AN326" s="31">
        <f>'mnt Data'!Z329</f>
        <v>0</v>
      </c>
      <c r="AO326" s="31">
        <f>'mnt Data'!AA329</f>
        <v>0</v>
      </c>
      <c r="AP326" s="31">
        <f>'mnt Data'!AB329</f>
        <v>0</v>
      </c>
      <c r="AQ326" s="31">
        <f>'mnt Data'!AC329</f>
        <v>0</v>
      </c>
      <c r="AR326" s="31">
        <f>'mnt Data'!AD329</f>
        <v>0</v>
      </c>
      <c r="AS326" s="31">
        <f>'mnt Data'!AE329</f>
        <v>0</v>
      </c>
      <c r="AT326" s="31">
        <f>'mnt Data'!AF329</f>
        <v>0</v>
      </c>
      <c r="AU326" s="31">
        <f>'mnt Data'!AG329</f>
        <v>0</v>
      </c>
      <c r="AV326" s="31">
        <f>'mnt Data'!AH329</f>
        <v>0</v>
      </c>
      <c r="AW326" s="31">
        <f>'mnt Data'!AI329</f>
        <v>0</v>
      </c>
      <c r="AX326" s="31">
        <f>'mnt Data'!AJ329</f>
        <v>0</v>
      </c>
      <c r="AY326" s="31">
        <f>'mnt Data'!AK329</f>
        <v>0</v>
      </c>
    </row>
    <row r="327" spans="1:51" x14ac:dyDescent="0.25">
      <c r="A327">
        <v>326</v>
      </c>
      <c r="B327" s="32">
        <f t="shared" si="60"/>
        <v>0</v>
      </c>
      <c r="C327" s="32">
        <f t="shared" si="61"/>
        <v>0</v>
      </c>
      <c r="D327" s="32" t="str">
        <f t="shared" si="65"/>
        <v>No Gs</v>
      </c>
      <c r="E327" s="32">
        <f t="shared" si="69"/>
        <v>0</v>
      </c>
      <c r="F327" s="32" t="str">
        <f t="shared" si="70"/>
        <v>No Gs</v>
      </c>
      <c r="G327" s="32" t="str">
        <f t="shared" si="71"/>
        <v>No Gs</v>
      </c>
      <c r="H327" s="32" t="str">
        <f t="shared" si="62"/>
        <v>Gs is needed</v>
      </c>
      <c r="I327" s="32" t="str">
        <f t="shared" si="63"/>
        <v>Gs is needed</v>
      </c>
      <c r="J327" s="32" t="str">
        <f t="shared" si="64"/>
        <v>Gs is needed</v>
      </c>
      <c r="K327" s="32" t="str">
        <f t="shared" si="66"/>
        <v>Need Max and Min</v>
      </c>
      <c r="L327" s="32" t="str">
        <f t="shared" si="67"/>
        <v>Need Max and Min</v>
      </c>
      <c r="M327" s="32" t="str">
        <f t="shared" si="68"/>
        <v>Fail</v>
      </c>
      <c r="N327" s="32"/>
      <c r="O327" s="31">
        <f>'mnt Data'!A330</f>
        <v>0</v>
      </c>
      <c r="P327" s="31">
        <f>'mnt Data'!B330</f>
        <v>0</v>
      </c>
      <c r="Q327" s="31">
        <f>'mnt Data'!C330</f>
        <v>0</v>
      </c>
      <c r="R327" s="31">
        <f>'mnt Data'!D330</f>
        <v>0</v>
      </c>
      <c r="S327" s="31">
        <f>'mnt Data'!E330</f>
        <v>0</v>
      </c>
      <c r="T327" s="31">
        <f>'mnt Data'!F330</f>
        <v>0</v>
      </c>
      <c r="U327" s="31">
        <f>'mnt Data'!G330</f>
        <v>0</v>
      </c>
      <c r="V327" s="31">
        <f>'mnt Data'!H330</f>
        <v>0</v>
      </c>
      <c r="W327" s="31">
        <f>'mnt Data'!I330</f>
        <v>0</v>
      </c>
      <c r="X327" s="31">
        <f>'mnt Data'!J330</f>
        <v>0</v>
      </c>
      <c r="Y327" s="31">
        <f>'mnt Data'!K330</f>
        <v>0</v>
      </c>
      <c r="Z327" s="31">
        <f>'mnt Data'!L330</f>
        <v>0</v>
      </c>
      <c r="AA327" s="31">
        <f>'mnt Data'!M330</f>
        <v>0</v>
      </c>
      <c r="AB327" s="31">
        <f>'mnt Data'!N330</f>
        <v>0</v>
      </c>
      <c r="AC327" s="31">
        <f>'mnt Data'!O330</f>
        <v>0</v>
      </c>
      <c r="AD327" s="31">
        <f>'mnt Data'!P330</f>
        <v>0</v>
      </c>
      <c r="AE327" s="31">
        <f>'mnt Data'!Q330</f>
        <v>0</v>
      </c>
      <c r="AF327" s="31">
        <f>'mnt Data'!R330</f>
        <v>0</v>
      </c>
      <c r="AG327" s="31">
        <f>'mnt Data'!S330</f>
        <v>0</v>
      </c>
      <c r="AH327" s="31">
        <f>'mnt Data'!T330</f>
        <v>0</v>
      </c>
      <c r="AI327" s="31">
        <f>'mnt Data'!U330</f>
        <v>0</v>
      </c>
      <c r="AJ327" s="31">
        <f>'mnt Data'!V330</f>
        <v>0</v>
      </c>
      <c r="AK327" s="31">
        <f>'mnt Data'!W330</f>
        <v>0</v>
      </c>
      <c r="AL327" s="31">
        <f>'mnt Data'!X330</f>
        <v>0</v>
      </c>
      <c r="AM327" s="31">
        <f>'mnt Data'!Y330</f>
        <v>0</v>
      </c>
      <c r="AN327" s="31">
        <f>'mnt Data'!Z330</f>
        <v>0</v>
      </c>
      <c r="AO327" s="31">
        <f>'mnt Data'!AA330</f>
        <v>0</v>
      </c>
      <c r="AP327" s="31">
        <f>'mnt Data'!AB330</f>
        <v>0</v>
      </c>
      <c r="AQ327" s="31">
        <f>'mnt Data'!AC330</f>
        <v>0</v>
      </c>
      <c r="AR327" s="31">
        <f>'mnt Data'!AD330</f>
        <v>0</v>
      </c>
      <c r="AS327" s="31">
        <f>'mnt Data'!AE330</f>
        <v>0</v>
      </c>
      <c r="AT327" s="31">
        <f>'mnt Data'!AF330</f>
        <v>0</v>
      </c>
      <c r="AU327" s="31">
        <f>'mnt Data'!AG330</f>
        <v>0</v>
      </c>
      <c r="AV327" s="31">
        <f>'mnt Data'!AH330</f>
        <v>0</v>
      </c>
      <c r="AW327" s="31">
        <f>'mnt Data'!AI330</f>
        <v>0</v>
      </c>
      <c r="AX327" s="31">
        <f>'mnt Data'!AJ330</f>
        <v>0</v>
      </c>
      <c r="AY327" s="31">
        <f>'mnt Data'!AK330</f>
        <v>0</v>
      </c>
    </row>
    <row r="328" spans="1:51" x14ac:dyDescent="0.25">
      <c r="A328">
        <v>327</v>
      </c>
      <c r="B328" s="32">
        <f t="shared" si="60"/>
        <v>0</v>
      </c>
      <c r="C328" s="32">
        <f t="shared" si="61"/>
        <v>0</v>
      </c>
      <c r="D328" s="32" t="str">
        <f t="shared" si="65"/>
        <v>No Gs</v>
      </c>
      <c r="E328" s="32">
        <f t="shared" si="69"/>
        <v>0</v>
      </c>
      <c r="F328" s="32" t="str">
        <f t="shared" si="70"/>
        <v>No Gs</v>
      </c>
      <c r="G328" s="32" t="str">
        <f t="shared" si="71"/>
        <v>No Gs</v>
      </c>
      <c r="H328" s="32" t="str">
        <f t="shared" si="62"/>
        <v>Gs is needed</v>
      </c>
      <c r="I328" s="32" t="str">
        <f t="shared" si="63"/>
        <v>Gs is needed</v>
      </c>
      <c r="J328" s="32" t="str">
        <f t="shared" si="64"/>
        <v>Gs is needed</v>
      </c>
      <c r="K328" s="32" t="str">
        <f t="shared" si="66"/>
        <v>Need Max and Min</v>
      </c>
      <c r="L328" s="32" t="str">
        <f t="shared" si="67"/>
        <v>Need Max and Min</v>
      </c>
      <c r="M328" s="32" t="str">
        <f t="shared" si="68"/>
        <v>Fail</v>
      </c>
      <c r="N328" s="32"/>
      <c r="O328" s="31">
        <f>'mnt Data'!A331</f>
        <v>0</v>
      </c>
      <c r="P328" s="31">
        <f>'mnt Data'!B331</f>
        <v>0</v>
      </c>
      <c r="Q328" s="31">
        <f>'mnt Data'!C331</f>
        <v>0</v>
      </c>
      <c r="R328" s="31">
        <f>'mnt Data'!D331</f>
        <v>0</v>
      </c>
      <c r="S328" s="31">
        <f>'mnt Data'!E331</f>
        <v>0</v>
      </c>
      <c r="T328" s="31">
        <f>'mnt Data'!F331</f>
        <v>0</v>
      </c>
      <c r="U328" s="31">
        <f>'mnt Data'!G331</f>
        <v>0</v>
      </c>
      <c r="V328" s="31">
        <f>'mnt Data'!H331</f>
        <v>0</v>
      </c>
      <c r="W328" s="31">
        <f>'mnt Data'!I331</f>
        <v>0</v>
      </c>
      <c r="X328" s="31">
        <f>'mnt Data'!J331</f>
        <v>0</v>
      </c>
      <c r="Y328" s="31">
        <f>'mnt Data'!K331</f>
        <v>0</v>
      </c>
      <c r="Z328" s="31">
        <f>'mnt Data'!L331</f>
        <v>0</v>
      </c>
      <c r="AA328" s="31">
        <f>'mnt Data'!M331</f>
        <v>0</v>
      </c>
      <c r="AB328" s="31">
        <f>'mnt Data'!N331</f>
        <v>0</v>
      </c>
      <c r="AC328" s="31">
        <f>'mnt Data'!O331</f>
        <v>0</v>
      </c>
      <c r="AD328" s="31">
        <f>'mnt Data'!P331</f>
        <v>0</v>
      </c>
      <c r="AE328" s="31">
        <f>'mnt Data'!Q331</f>
        <v>0</v>
      </c>
      <c r="AF328" s="31">
        <f>'mnt Data'!R331</f>
        <v>0</v>
      </c>
      <c r="AG328" s="31">
        <f>'mnt Data'!S331</f>
        <v>0</v>
      </c>
      <c r="AH328" s="31">
        <f>'mnt Data'!T331</f>
        <v>0</v>
      </c>
      <c r="AI328" s="31">
        <f>'mnt Data'!U331</f>
        <v>0</v>
      </c>
      <c r="AJ328" s="31">
        <f>'mnt Data'!V331</f>
        <v>0</v>
      </c>
      <c r="AK328" s="31">
        <f>'mnt Data'!W331</f>
        <v>0</v>
      </c>
      <c r="AL328" s="31">
        <f>'mnt Data'!X331</f>
        <v>0</v>
      </c>
      <c r="AM328" s="31">
        <f>'mnt Data'!Y331</f>
        <v>0</v>
      </c>
      <c r="AN328" s="31">
        <f>'mnt Data'!Z331</f>
        <v>0</v>
      </c>
      <c r="AO328" s="31">
        <f>'mnt Data'!AA331</f>
        <v>0</v>
      </c>
      <c r="AP328" s="31">
        <f>'mnt Data'!AB331</f>
        <v>0</v>
      </c>
      <c r="AQ328" s="31">
        <f>'mnt Data'!AC331</f>
        <v>0</v>
      </c>
      <c r="AR328" s="31">
        <f>'mnt Data'!AD331</f>
        <v>0</v>
      </c>
      <c r="AS328" s="31">
        <f>'mnt Data'!AE331</f>
        <v>0</v>
      </c>
      <c r="AT328" s="31">
        <f>'mnt Data'!AF331</f>
        <v>0</v>
      </c>
      <c r="AU328" s="31">
        <f>'mnt Data'!AG331</f>
        <v>0</v>
      </c>
      <c r="AV328" s="31">
        <f>'mnt Data'!AH331</f>
        <v>0</v>
      </c>
      <c r="AW328" s="31">
        <f>'mnt Data'!AI331</f>
        <v>0</v>
      </c>
      <c r="AX328" s="31">
        <f>'mnt Data'!AJ331</f>
        <v>0</v>
      </c>
      <c r="AY328" s="31">
        <f>'mnt Data'!AK331</f>
        <v>0</v>
      </c>
    </row>
    <row r="329" spans="1:51" x14ac:dyDescent="0.25">
      <c r="A329">
        <v>328</v>
      </c>
      <c r="B329" s="32">
        <f t="shared" si="60"/>
        <v>0</v>
      </c>
      <c r="C329" s="32">
        <f t="shared" si="61"/>
        <v>0</v>
      </c>
      <c r="D329" s="32" t="str">
        <f t="shared" si="65"/>
        <v>No Gs</v>
      </c>
      <c r="E329" s="32">
        <f t="shared" si="69"/>
        <v>0</v>
      </c>
      <c r="F329" s="32" t="str">
        <f t="shared" si="70"/>
        <v>No Gs</v>
      </c>
      <c r="G329" s="32" t="str">
        <f t="shared" si="71"/>
        <v>No Gs</v>
      </c>
      <c r="H329" s="32" t="str">
        <f t="shared" si="62"/>
        <v>Gs is needed</v>
      </c>
      <c r="I329" s="32" t="str">
        <f t="shared" si="63"/>
        <v>Gs is needed</v>
      </c>
      <c r="J329" s="32" t="str">
        <f t="shared" si="64"/>
        <v>Gs is needed</v>
      </c>
      <c r="K329" s="32" t="str">
        <f t="shared" si="66"/>
        <v>Need Max and Min</v>
      </c>
      <c r="L329" s="32" t="str">
        <f t="shared" si="67"/>
        <v>Need Max and Min</v>
      </c>
      <c r="M329" s="32" t="str">
        <f t="shared" si="68"/>
        <v>Fail</v>
      </c>
      <c r="N329" s="32"/>
      <c r="O329" s="31">
        <f>'mnt Data'!A332</f>
        <v>0</v>
      </c>
      <c r="P329" s="31">
        <f>'mnt Data'!B332</f>
        <v>0</v>
      </c>
      <c r="Q329" s="31">
        <f>'mnt Data'!C332</f>
        <v>0</v>
      </c>
      <c r="R329" s="31">
        <f>'mnt Data'!D332</f>
        <v>0</v>
      </c>
      <c r="S329" s="31">
        <f>'mnt Data'!E332</f>
        <v>0</v>
      </c>
      <c r="T329" s="31">
        <f>'mnt Data'!F332</f>
        <v>0</v>
      </c>
      <c r="U329" s="31">
        <f>'mnt Data'!G332</f>
        <v>0</v>
      </c>
      <c r="V329" s="31">
        <f>'mnt Data'!H332</f>
        <v>0</v>
      </c>
      <c r="W329" s="31">
        <f>'mnt Data'!I332</f>
        <v>0</v>
      </c>
      <c r="X329" s="31">
        <f>'mnt Data'!J332</f>
        <v>0</v>
      </c>
      <c r="Y329" s="31">
        <f>'mnt Data'!K332</f>
        <v>0</v>
      </c>
      <c r="Z329" s="31">
        <f>'mnt Data'!L332</f>
        <v>0</v>
      </c>
      <c r="AA329" s="31">
        <f>'mnt Data'!M332</f>
        <v>0</v>
      </c>
      <c r="AB329" s="31">
        <f>'mnt Data'!N332</f>
        <v>0</v>
      </c>
      <c r="AC329" s="31">
        <f>'mnt Data'!O332</f>
        <v>0</v>
      </c>
      <c r="AD329" s="31">
        <f>'mnt Data'!P332</f>
        <v>0</v>
      </c>
      <c r="AE329" s="31">
        <f>'mnt Data'!Q332</f>
        <v>0</v>
      </c>
      <c r="AF329" s="31">
        <f>'mnt Data'!R332</f>
        <v>0</v>
      </c>
      <c r="AG329" s="31">
        <f>'mnt Data'!S332</f>
        <v>0</v>
      </c>
      <c r="AH329" s="31">
        <f>'mnt Data'!T332</f>
        <v>0</v>
      </c>
      <c r="AI329" s="31">
        <f>'mnt Data'!U332</f>
        <v>0</v>
      </c>
      <c r="AJ329" s="31">
        <f>'mnt Data'!V332</f>
        <v>0</v>
      </c>
      <c r="AK329" s="31">
        <f>'mnt Data'!W332</f>
        <v>0</v>
      </c>
      <c r="AL329" s="31">
        <f>'mnt Data'!X332</f>
        <v>0</v>
      </c>
      <c r="AM329" s="31">
        <f>'mnt Data'!Y332</f>
        <v>0</v>
      </c>
      <c r="AN329" s="31">
        <f>'mnt Data'!Z332</f>
        <v>0</v>
      </c>
      <c r="AO329" s="31">
        <f>'mnt Data'!AA332</f>
        <v>0</v>
      </c>
      <c r="AP329" s="31">
        <f>'mnt Data'!AB332</f>
        <v>0</v>
      </c>
      <c r="AQ329" s="31">
        <f>'mnt Data'!AC332</f>
        <v>0</v>
      </c>
      <c r="AR329" s="31">
        <f>'mnt Data'!AD332</f>
        <v>0</v>
      </c>
      <c r="AS329" s="31">
        <f>'mnt Data'!AE332</f>
        <v>0</v>
      </c>
      <c r="AT329" s="31">
        <f>'mnt Data'!AF332</f>
        <v>0</v>
      </c>
      <c r="AU329" s="31">
        <f>'mnt Data'!AG332</f>
        <v>0</v>
      </c>
      <c r="AV329" s="31">
        <f>'mnt Data'!AH332</f>
        <v>0</v>
      </c>
      <c r="AW329" s="31">
        <f>'mnt Data'!AI332</f>
        <v>0</v>
      </c>
      <c r="AX329" s="31">
        <f>'mnt Data'!AJ332</f>
        <v>0</v>
      </c>
      <c r="AY329" s="31">
        <f>'mnt Data'!AK332</f>
        <v>0</v>
      </c>
    </row>
    <row r="330" spans="1:51" x14ac:dyDescent="0.25">
      <c r="A330">
        <v>329</v>
      </c>
      <c r="B330" s="32">
        <f t="shared" si="60"/>
        <v>0</v>
      </c>
      <c r="C330" s="32">
        <f t="shared" si="61"/>
        <v>0</v>
      </c>
      <c r="D330" s="32" t="str">
        <f t="shared" si="65"/>
        <v>No Gs</v>
      </c>
      <c r="E330" s="32">
        <f t="shared" si="69"/>
        <v>0</v>
      </c>
      <c r="F330" s="32" t="str">
        <f t="shared" si="70"/>
        <v>No Gs</v>
      </c>
      <c r="G330" s="32" t="str">
        <f t="shared" si="71"/>
        <v>No Gs</v>
      </c>
      <c r="H330" s="32" t="str">
        <f t="shared" si="62"/>
        <v>Gs is needed</v>
      </c>
      <c r="I330" s="32" t="str">
        <f t="shared" si="63"/>
        <v>Gs is needed</v>
      </c>
      <c r="J330" s="32" t="str">
        <f t="shared" si="64"/>
        <v>Gs is needed</v>
      </c>
      <c r="K330" s="32" t="str">
        <f t="shared" si="66"/>
        <v>Need Max and Min</v>
      </c>
      <c r="L330" s="32" t="str">
        <f t="shared" si="67"/>
        <v>Need Max and Min</v>
      </c>
      <c r="M330" s="32" t="str">
        <f t="shared" si="68"/>
        <v>Fail</v>
      </c>
      <c r="N330" s="32"/>
      <c r="O330" s="31">
        <f>'mnt Data'!A333</f>
        <v>0</v>
      </c>
      <c r="P330" s="31">
        <f>'mnt Data'!B333</f>
        <v>0</v>
      </c>
      <c r="Q330" s="31">
        <f>'mnt Data'!C333</f>
        <v>0</v>
      </c>
      <c r="R330" s="31">
        <f>'mnt Data'!D333</f>
        <v>0</v>
      </c>
      <c r="S330" s="31">
        <f>'mnt Data'!E333</f>
        <v>0</v>
      </c>
      <c r="T330" s="31">
        <f>'mnt Data'!F333</f>
        <v>0</v>
      </c>
      <c r="U330" s="31">
        <f>'mnt Data'!G333</f>
        <v>0</v>
      </c>
      <c r="V330" s="31">
        <f>'mnt Data'!H333</f>
        <v>0</v>
      </c>
      <c r="W330" s="31">
        <f>'mnt Data'!I333</f>
        <v>0</v>
      </c>
      <c r="X330" s="31">
        <f>'mnt Data'!J333</f>
        <v>0</v>
      </c>
      <c r="Y330" s="31">
        <f>'mnt Data'!K333</f>
        <v>0</v>
      </c>
      <c r="Z330" s="31">
        <f>'mnt Data'!L333</f>
        <v>0</v>
      </c>
      <c r="AA330" s="31">
        <f>'mnt Data'!M333</f>
        <v>0</v>
      </c>
      <c r="AB330" s="31">
        <f>'mnt Data'!N333</f>
        <v>0</v>
      </c>
      <c r="AC330" s="31">
        <f>'mnt Data'!O333</f>
        <v>0</v>
      </c>
      <c r="AD330" s="31">
        <f>'mnt Data'!P333</f>
        <v>0</v>
      </c>
      <c r="AE330" s="31">
        <f>'mnt Data'!Q333</f>
        <v>0</v>
      </c>
      <c r="AF330" s="31">
        <f>'mnt Data'!R333</f>
        <v>0</v>
      </c>
      <c r="AG330" s="31">
        <f>'mnt Data'!S333</f>
        <v>0</v>
      </c>
      <c r="AH330" s="31">
        <f>'mnt Data'!T333</f>
        <v>0</v>
      </c>
      <c r="AI330" s="31">
        <f>'mnt Data'!U333</f>
        <v>0</v>
      </c>
      <c r="AJ330" s="31">
        <f>'mnt Data'!V333</f>
        <v>0</v>
      </c>
      <c r="AK330" s="31">
        <f>'mnt Data'!W333</f>
        <v>0</v>
      </c>
      <c r="AL330" s="31">
        <f>'mnt Data'!X333</f>
        <v>0</v>
      </c>
      <c r="AM330" s="31">
        <f>'mnt Data'!Y333</f>
        <v>0</v>
      </c>
      <c r="AN330" s="31">
        <f>'mnt Data'!Z333</f>
        <v>0</v>
      </c>
      <c r="AO330" s="31">
        <f>'mnt Data'!AA333</f>
        <v>0</v>
      </c>
      <c r="AP330" s="31">
        <f>'mnt Data'!AB333</f>
        <v>0</v>
      </c>
      <c r="AQ330" s="31">
        <f>'mnt Data'!AC333</f>
        <v>0</v>
      </c>
      <c r="AR330" s="31">
        <f>'mnt Data'!AD333</f>
        <v>0</v>
      </c>
      <c r="AS330" s="31">
        <f>'mnt Data'!AE333</f>
        <v>0</v>
      </c>
      <c r="AT330" s="31">
        <f>'mnt Data'!AF333</f>
        <v>0</v>
      </c>
      <c r="AU330" s="31">
        <f>'mnt Data'!AG333</f>
        <v>0</v>
      </c>
      <c r="AV330" s="31">
        <f>'mnt Data'!AH333</f>
        <v>0</v>
      </c>
      <c r="AW330" s="31">
        <f>'mnt Data'!AI333</f>
        <v>0</v>
      </c>
      <c r="AX330" s="31">
        <f>'mnt Data'!AJ333</f>
        <v>0</v>
      </c>
      <c r="AY330" s="31">
        <f>'mnt Data'!AK333</f>
        <v>0</v>
      </c>
    </row>
    <row r="331" spans="1:51" x14ac:dyDescent="0.25">
      <c r="A331">
        <v>330</v>
      </c>
      <c r="B331" s="32">
        <f t="shared" si="60"/>
        <v>0</v>
      </c>
      <c r="C331" s="32">
        <f t="shared" si="61"/>
        <v>0</v>
      </c>
      <c r="D331" s="32" t="str">
        <f t="shared" si="65"/>
        <v>No Gs</v>
      </c>
      <c r="E331" s="32">
        <f t="shared" si="69"/>
        <v>0</v>
      </c>
      <c r="F331" s="32" t="str">
        <f t="shared" si="70"/>
        <v>No Gs</v>
      </c>
      <c r="G331" s="32" t="str">
        <f t="shared" si="71"/>
        <v>No Gs</v>
      </c>
      <c r="H331" s="32" t="str">
        <f t="shared" si="62"/>
        <v>Gs is needed</v>
      </c>
      <c r="I331" s="32" t="str">
        <f t="shared" si="63"/>
        <v>Gs is needed</v>
      </c>
      <c r="J331" s="32" t="str">
        <f t="shared" si="64"/>
        <v>Gs is needed</v>
      </c>
      <c r="K331" s="32" t="str">
        <f t="shared" si="66"/>
        <v>Need Max and Min</v>
      </c>
      <c r="L331" s="32" t="str">
        <f t="shared" si="67"/>
        <v>Need Max and Min</v>
      </c>
      <c r="M331" s="32" t="str">
        <f t="shared" si="68"/>
        <v>Fail</v>
      </c>
      <c r="N331" s="32"/>
      <c r="O331" s="31">
        <f>'mnt Data'!A334</f>
        <v>0</v>
      </c>
      <c r="P331" s="31">
        <f>'mnt Data'!B334</f>
        <v>0</v>
      </c>
      <c r="Q331" s="31">
        <f>'mnt Data'!C334</f>
        <v>0</v>
      </c>
      <c r="R331" s="31">
        <f>'mnt Data'!D334</f>
        <v>0</v>
      </c>
      <c r="S331" s="31">
        <f>'mnt Data'!E334</f>
        <v>0</v>
      </c>
      <c r="T331" s="31">
        <f>'mnt Data'!F334</f>
        <v>0</v>
      </c>
      <c r="U331" s="31">
        <f>'mnt Data'!G334</f>
        <v>0</v>
      </c>
      <c r="V331" s="31">
        <f>'mnt Data'!H334</f>
        <v>0</v>
      </c>
      <c r="W331" s="31">
        <f>'mnt Data'!I334</f>
        <v>0</v>
      </c>
      <c r="X331" s="31">
        <f>'mnt Data'!J334</f>
        <v>0</v>
      </c>
      <c r="Y331" s="31">
        <f>'mnt Data'!K334</f>
        <v>0</v>
      </c>
      <c r="Z331" s="31">
        <f>'mnt Data'!L334</f>
        <v>0</v>
      </c>
      <c r="AA331" s="31">
        <f>'mnt Data'!M334</f>
        <v>0</v>
      </c>
      <c r="AB331" s="31">
        <f>'mnt Data'!N334</f>
        <v>0</v>
      </c>
      <c r="AC331" s="31">
        <f>'mnt Data'!O334</f>
        <v>0</v>
      </c>
      <c r="AD331" s="31">
        <f>'mnt Data'!P334</f>
        <v>0</v>
      </c>
      <c r="AE331" s="31">
        <f>'mnt Data'!Q334</f>
        <v>0</v>
      </c>
      <c r="AF331" s="31">
        <f>'mnt Data'!R334</f>
        <v>0</v>
      </c>
      <c r="AG331" s="31">
        <f>'mnt Data'!S334</f>
        <v>0</v>
      </c>
      <c r="AH331" s="31">
        <f>'mnt Data'!T334</f>
        <v>0</v>
      </c>
      <c r="AI331" s="31">
        <f>'mnt Data'!U334</f>
        <v>0</v>
      </c>
      <c r="AJ331" s="31">
        <f>'mnt Data'!V334</f>
        <v>0</v>
      </c>
      <c r="AK331" s="31">
        <f>'mnt Data'!W334</f>
        <v>0</v>
      </c>
      <c r="AL331" s="31">
        <f>'mnt Data'!X334</f>
        <v>0</v>
      </c>
      <c r="AM331" s="31">
        <f>'mnt Data'!Y334</f>
        <v>0</v>
      </c>
      <c r="AN331" s="31">
        <f>'mnt Data'!Z334</f>
        <v>0</v>
      </c>
      <c r="AO331" s="31">
        <f>'mnt Data'!AA334</f>
        <v>0</v>
      </c>
      <c r="AP331" s="31">
        <f>'mnt Data'!AB334</f>
        <v>0</v>
      </c>
      <c r="AQ331" s="31">
        <f>'mnt Data'!AC334</f>
        <v>0</v>
      </c>
      <c r="AR331" s="31">
        <f>'mnt Data'!AD334</f>
        <v>0</v>
      </c>
      <c r="AS331" s="31">
        <f>'mnt Data'!AE334</f>
        <v>0</v>
      </c>
      <c r="AT331" s="31">
        <f>'mnt Data'!AF334</f>
        <v>0</v>
      </c>
      <c r="AU331" s="31">
        <f>'mnt Data'!AG334</f>
        <v>0</v>
      </c>
      <c r="AV331" s="31">
        <f>'mnt Data'!AH334</f>
        <v>0</v>
      </c>
      <c r="AW331" s="31">
        <f>'mnt Data'!AI334</f>
        <v>0</v>
      </c>
      <c r="AX331" s="31">
        <f>'mnt Data'!AJ334</f>
        <v>0</v>
      </c>
      <c r="AY331" s="31">
        <f>'mnt Data'!AK334</f>
        <v>0</v>
      </c>
    </row>
    <row r="332" spans="1:51" x14ac:dyDescent="0.25">
      <c r="A332">
        <v>331</v>
      </c>
      <c r="B332" s="32">
        <f t="shared" si="60"/>
        <v>0</v>
      </c>
      <c r="C332" s="32">
        <f t="shared" si="61"/>
        <v>0</v>
      </c>
      <c r="D332" s="32" t="str">
        <f t="shared" si="65"/>
        <v>No Gs</v>
      </c>
      <c r="E332" s="32">
        <f t="shared" si="69"/>
        <v>0</v>
      </c>
      <c r="F332" s="32" t="str">
        <f t="shared" si="70"/>
        <v>No Gs</v>
      </c>
      <c r="G332" s="32" t="str">
        <f t="shared" si="71"/>
        <v>No Gs</v>
      </c>
      <c r="H332" s="32" t="str">
        <f t="shared" si="62"/>
        <v>Gs is needed</v>
      </c>
      <c r="I332" s="32" t="str">
        <f t="shared" si="63"/>
        <v>Gs is needed</v>
      </c>
      <c r="J332" s="32" t="str">
        <f t="shared" si="64"/>
        <v>Gs is needed</v>
      </c>
      <c r="K332" s="32" t="str">
        <f t="shared" si="66"/>
        <v>Need Max and Min</v>
      </c>
      <c r="L332" s="32" t="str">
        <f t="shared" si="67"/>
        <v>Need Max and Min</v>
      </c>
      <c r="M332" s="32" t="str">
        <f t="shared" si="68"/>
        <v>Fail</v>
      </c>
      <c r="N332" s="32"/>
      <c r="O332" s="31">
        <f>'mnt Data'!A335</f>
        <v>0</v>
      </c>
      <c r="P332" s="31">
        <f>'mnt Data'!B335</f>
        <v>0</v>
      </c>
      <c r="Q332" s="31">
        <f>'mnt Data'!C335</f>
        <v>0</v>
      </c>
      <c r="R332" s="31">
        <f>'mnt Data'!D335</f>
        <v>0</v>
      </c>
      <c r="S332" s="31">
        <f>'mnt Data'!E335</f>
        <v>0</v>
      </c>
      <c r="T332" s="31">
        <f>'mnt Data'!F335</f>
        <v>0</v>
      </c>
      <c r="U332" s="31">
        <f>'mnt Data'!G335</f>
        <v>0</v>
      </c>
      <c r="V332" s="31">
        <f>'mnt Data'!H335</f>
        <v>0</v>
      </c>
      <c r="W332" s="31">
        <f>'mnt Data'!I335</f>
        <v>0</v>
      </c>
      <c r="X332" s="31">
        <f>'mnt Data'!J335</f>
        <v>0</v>
      </c>
      <c r="Y332" s="31">
        <f>'mnt Data'!K335</f>
        <v>0</v>
      </c>
      <c r="Z332" s="31">
        <f>'mnt Data'!L335</f>
        <v>0</v>
      </c>
      <c r="AA332" s="31">
        <f>'mnt Data'!M335</f>
        <v>0</v>
      </c>
      <c r="AB332" s="31">
        <f>'mnt Data'!N335</f>
        <v>0</v>
      </c>
      <c r="AC332" s="31">
        <f>'mnt Data'!O335</f>
        <v>0</v>
      </c>
      <c r="AD332" s="31">
        <f>'mnt Data'!P335</f>
        <v>0</v>
      </c>
      <c r="AE332" s="31">
        <f>'mnt Data'!Q335</f>
        <v>0</v>
      </c>
      <c r="AF332" s="31">
        <f>'mnt Data'!R335</f>
        <v>0</v>
      </c>
      <c r="AG332" s="31">
        <f>'mnt Data'!S335</f>
        <v>0</v>
      </c>
      <c r="AH332" s="31">
        <f>'mnt Data'!T335</f>
        <v>0</v>
      </c>
      <c r="AI332" s="31">
        <f>'mnt Data'!U335</f>
        <v>0</v>
      </c>
      <c r="AJ332" s="31">
        <f>'mnt Data'!V335</f>
        <v>0</v>
      </c>
      <c r="AK332" s="31">
        <f>'mnt Data'!W335</f>
        <v>0</v>
      </c>
      <c r="AL332" s="31">
        <f>'mnt Data'!X335</f>
        <v>0</v>
      </c>
      <c r="AM332" s="31">
        <f>'mnt Data'!Y335</f>
        <v>0</v>
      </c>
      <c r="AN332" s="31">
        <f>'mnt Data'!Z335</f>
        <v>0</v>
      </c>
      <c r="AO332" s="31">
        <f>'mnt Data'!AA335</f>
        <v>0</v>
      </c>
      <c r="AP332" s="31">
        <f>'mnt Data'!AB335</f>
        <v>0</v>
      </c>
      <c r="AQ332" s="31">
        <f>'mnt Data'!AC335</f>
        <v>0</v>
      </c>
      <c r="AR332" s="31">
        <f>'mnt Data'!AD335</f>
        <v>0</v>
      </c>
      <c r="AS332" s="31">
        <f>'mnt Data'!AE335</f>
        <v>0</v>
      </c>
      <c r="AT332" s="31">
        <f>'mnt Data'!AF335</f>
        <v>0</v>
      </c>
      <c r="AU332" s="31">
        <f>'mnt Data'!AG335</f>
        <v>0</v>
      </c>
      <c r="AV332" s="31">
        <f>'mnt Data'!AH335</f>
        <v>0</v>
      </c>
      <c r="AW332" s="31">
        <f>'mnt Data'!AI335</f>
        <v>0</v>
      </c>
      <c r="AX332" s="31">
        <f>'mnt Data'!AJ335</f>
        <v>0</v>
      </c>
      <c r="AY332" s="31">
        <f>'mnt Data'!AK335</f>
        <v>0</v>
      </c>
    </row>
    <row r="333" spans="1:51" x14ac:dyDescent="0.25">
      <c r="A333">
        <v>332</v>
      </c>
      <c r="B333" s="32">
        <f t="shared" si="60"/>
        <v>0</v>
      </c>
      <c r="C333" s="32">
        <f t="shared" si="61"/>
        <v>0</v>
      </c>
      <c r="D333" s="32" t="str">
        <f t="shared" si="65"/>
        <v>No Gs</v>
      </c>
      <c r="E333" s="32">
        <f t="shared" si="69"/>
        <v>0</v>
      </c>
      <c r="F333" s="32" t="str">
        <f t="shared" si="70"/>
        <v>No Gs</v>
      </c>
      <c r="G333" s="32" t="str">
        <f t="shared" si="71"/>
        <v>No Gs</v>
      </c>
      <c r="H333" s="32" t="str">
        <f t="shared" si="62"/>
        <v>Gs is needed</v>
      </c>
      <c r="I333" s="32" t="str">
        <f t="shared" si="63"/>
        <v>Gs is needed</v>
      </c>
      <c r="J333" s="32" t="str">
        <f t="shared" si="64"/>
        <v>Gs is needed</v>
      </c>
      <c r="K333" s="32" t="str">
        <f t="shared" si="66"/>
        <v>Need Max and Min</v>
      </c>
      <c r="L333" s="32" t="str">
        <f t="shared" si="67"/>
        <v>Need Max and Min</v>
      </c>
      <c r="M333" s="32" t="str">
        <f t="shared" si="68"/>
        <v>Fail</v>
      </c>
      <c r="N333" s="32"/>
      <c r="O333" s="31">
        <f>'mnt Data'!A336</f>
        <v>0</v>
      </c>
      <c r="P333" s="31">
        <f>'mnt Data'!B336</f>
        <v>0</v>
      </c>
      <c r="Q333" s="31">
        <f>'mnt Data'!C336</f>
        <v>0</v>
      </c>
      <c r="R333" s="31">
        <f>'mnt Data'!D336</f>
        <v>0</v>
      </c>
      <c r="S333" s="31">
        <f>'mnt Data'!E336</f>
        <v>0</v>
      </c>
      <c r="T333" s="31">
        <f>'mnt Data'!F336</f>
        <v>0</v>
      </c>
      <c r="U333" s="31">
        <f>'mnt Data'!G336</f>
        <v>0</v>
      </c>
      <c r="V333" s="31">
        <f>'mnt Data'!H336</f>
        <v>0</v>
      </c>
      <c r="W333" s="31">
        <f>'mnt Data'!I336</f>
        <v>0</v>
      </c>
      <c r="X333" s="31">
        <f>'mnt Data'!J336</f>
        <v>0</v>
      </c>
      <c r="Y333" s="31">
        <f>'mnt Data'!K336</f>
        <v>0</v>
      </c>
      <c r="Z333" s="31">
        <f>'mnt Data'!L336</f>
        <v>0</v>
      </c>
      <c r="AA333" s="31">
        <f>'mnt Data'!M336</f>
        <v>0</v>
      </c>
      <c r="AB333" s="31">
        <f>'mnt Data'!N336</f>
        <v>0</v>
      </c>
      <c r="AC333" s="31">
        <f>'mnt Data'!O336</f>
        <v>0</v>
      </c>
      <c r="AD333" s="31">
        <f>'mnt Data'!P336</f>
        <v>0</v>
      </c>
      <c r="AE333" s="31">
        <f>'mnt Data'!Q336</f>
        <v>0</v>
      </c>
      <c r="AF333" s="31">
        <f>'mnt Data'!R336</f>
        <v>0</v>
      </c>
      <c r="AG333" s="31">
        <f>'mnt Data'!S336</f>
        <v>0</v>
      </c>
      <c r="AH333" s="31">
        <f>'mnt Data'!T336</f>
        <v>0</v>
      </c>
      <c r="AI333" s="31">
        <f>'mnt Data'!U336</f>
        <v>0</v>
      </c>
      <c r="AJ333" s="31">
        <f>'mnt Data'!V336</f>
        <v>0</v>
      </c>
      <c r="AK333" s="31">
        <f>'mnt Data'!W336</f>
        <v>0</v>
      </c>
      <c r="AL333" s="31">
        <f>'mnt Data'!X336</f>
        <v>0</v>
      </c>
      <c r="AM333" s="31">
        <f>'mnt Data'!Y336</f>
        <v>0</v>
      </c>
      <c r="AN333" s="31">
        <f>'mnt Data'!Z336</f>
        <v>0</v>
      </c>
      <c r="AO333" s="31">
        <f>'mnt Data'!AA336</f>
        <v>0</v>
      </c>
      <c r="AP333" s="31">
        <f>'mnt Data'!AB336</f>
        <v>0</v>
      </c>
      <c r="AQ333" s="31">
        <f>'mnt Data'!AC336</f>
        <v>0</v>
      </c>
      <c r="AR333" s="31">
        <f>'mnt Data'!AD336</f>
        <v>0</v>
      </c>
      <c r="AS333" s="31">
        <f>'mnt Data'!AE336</f>
        <v>0</v>
      </c>
      <c r="AT333" s="31">
        <f>'mnt Data'!AF336</f>
        <v>0</v>
      </c>
      <c r="AU333" s="31">
        <f>'mnt Data'!AG336</f>
        <v>0</v>
      </c>
      <c r="AV333" s="31">
        <f>'mnt Data'!AH336</f>
        <v>0</v>
      </c>
      <c r="AW333" s="31">
        <f>'mnt Data'!AI336</f>
        <v>0</v>
      </c>
      <c r="AX333" s="31">
        <f>'mnt Data'!AJ336</f>
        <v>0</v>
      </c>
      <c r="AY333" s="31">
        <f>'mnt Data'!AK336</f>
        <v>0</v>
      </c>
    </row>
    <row r="334" spans="1:51" x14ac:dyDescent="0.25">
      <c r="A334">
        <v>333</v>
      </c>
      <c r="B334" s="32">
        <f t="shared" si="60"/>
        <v>0</v>
      </c>
      <c r="C334" s="32">
        <f t="shared" si="61"/>
        <v>0</v>
      </c>
      <c r="D334" s="32" t="str">
        <f t="shared" si="65"/>
        <v>No Gs</v>
      </c>
      <c r="E334" s="32">
        <f t="shared" si="69"/>
        <v>0</v>
      </c>
      <c r="F334" s="32" t="str">
        <f t="shared" si="70"/>
        <v>No Gs</v>
      </c>
      <c r="G334" s="32" t="str">
        <f t="shared" si="71"/>
        <v>No Gs</v>
      </c>
      <c r="H334" s="32" t="str">
        <f t="shared" si="62"/>
        <v>Gs is needed</v>
      </c>
      <c r="I334" s="32" t="str">
        <f t="shared" si="63"/>
        <v>Gs is needed</v>
      </c>
      <c r="J334" s="32" t="str">
        <f t="shared" si="64"/>
        <v>Gs is needed</v>
      </c>
      <c r="K334" s="32" t="str">
        <f t="shared" si="66"/>
        <v>Need Max and Min</v>
      </c>
      <c r="L334" s="32" t="str">
        <f t="shared" si="67"/>
        <v>Need Max and Min</v>
      </c>
      <c r="M334" s="32" t="str">
        <f t="shared" si="68"/>
        <v>Fail</v>
      </c>
      <c r="N334" s="32"/>
      <c r="O334" s="31">
        <f>'mnt Data'!A337</f>
        <v>0</v>
      </c>
      <c r="P334" s="31">
        <f>'mnt Data'!B337</f>
        <v>0</v>
      </c>
      <c r="Q334" s="31">
        <f>'mnt Data'!C337</f>
        <v>0</v>
      </c>
      <c r="R334" s="31">
        <f>'mnt Data'!D337</f>
        <v>0</v>
      </c>
      <c r="S334" s="31">
        <f>'mnt Data'!E337</f>
        <v>0</v>
      </c>
      <c r="T334" s="31">
        <f>'mnt Data'!F337</f>
        <v>0</v>
      </c>
      <c r="U334" s="31">
        <f>'mnt Data'!G337</f>
        <v>0</v>
      </c>
      <c r="V334" s="31">
        <f>'mnt Data'!H337</f>
        <v>0</v>
      </c>
      <c r="W334" s="31">
        <f>'mnt Data'!I337</f>
        <v>0</v>
      </c>
      <c r="X334" s="31">
        <f>'mnt Data'!J337</f>
        <v>0</v>
      </c>
      <c r="Y334" s="31">
        <f>'mnt Data'!K337</f>
        <v>0</v>
      </c>
      <c r="Z334" s="31">
        <f>'mnt Data'!L337</f>
        <v>0</v>
      </c>
      <c r="AA334" s="31">
        <f>'mnt Data'!M337</f>
        <v>0</v>
      </c>
      <c r="AB334" s="31">
        <f>'mnt Data'!N337</f>
        <v>0</v>
      </c>
      <c r="AC334" s="31">
        <f>'mnt Data'!O337</f>
        <v>0</v>
      </c>
      <c r="AD334" s="31">
        <f>'mnt Data'!P337</f>
        <v>0</v>
      </c>
      <c r="AE334" s="31">
        <f>'mnt Data'!Q337</f>
        <v>0</v>
      </c>
      <c r="AF334" s="31">
        <f>'mnt Data'!R337</f>
        <v>0</v>
      </c>
      <c r="AG334" s="31">
        <f>'mnt Data'!S337</f>
        <v>0</v>
      </c>
      <c r="AH334" s="31">
        <f>'mnt Data'!T337</f>
        <v>0</v>
      </c>
      <c r="AI334" s="31">
        <f>'mnt Data'!U337</f>
        <v>0</v>
      </c>
      <c r="AJ334" s="31">
        <f>'mnt Data'!V337</f>
        <v>0</v>
      </c>
      <c r="AK334" s="31">
        <f>'mnt Data'!W337</f>
        <v>0</v>
      </c>
      <c r="AL334" s="31">
        <f>'mnt Data'!X337</f>
        <v>0</v>
      </c>
      <c r="AM334" s="31">
        <f>'mnt Data'!Y337</f>
        <v>0</v>
      </c>
      <c r="AN334" s="31">
        <f>'mnt Data'!Z337</f>
        <v>0</v>
      </c>
      <c r="AO334" s="31">
        <f>'mnt Data'!AA337</f>
        <v>0</v>
      </c>
      <c r="AP334" s="31">
        <f>'mnt Data'!AB337</f>
        <v>0</v>
      </c>
      <c r="AQ334" s="31">
        <f>'mnt Data'!AC337</f>
        <v>0</v>
      </c>
      <c r="AR334" s="31">
        <f>'mnt Data'!AD337</f>
        <v>0</v>
      </c>
      <c r="AS334" s="31">
        <f>'mnt Data'!AE337</f>
        <v>0</v>
      </c>
      <c r="AT334" s="31">
        <f>'mnt Data'!AF337</f>
        <v>0</v>
      </c>
      <c r="AU334" s="31">
        <f>'mnt Data'!AG337</f>
        <v>0</v>
      </c>
      <c r="AV334" s="31">
        <f>'mnt Data'!AH337</f>
        <v>0</v>
      </c>
      <c r="AW334" s="31">
        <f>'mnt Data'!AI337</f>
        <v>0</v>
      </c>
      <c r="AX334" s="31">
        <f>'mnt Data'!AJ337</f>
        <v>0</v>
      </c>
      <c r="AY334" s="31">
        <f>'mnt Data'!AK337</f>
        <v>0</v>
      </c>
    </row>
    <row r="335" spans="1:51" x14ac:dyDescent="0.25">
      <c r="A335">
        <v>334</v>
      </c>
      <c r="B335" s="32">
        <f t="shared" si="60"/>
        <v>0</v>
      </c>
      <c r="C335" s="32">
        <f t="shared" si="61"/>
        <v>0</v>
      </c>
      <c r="D335" s="32" t="str">
        <f t="shared" si="65"/>
        <v>No Gs</v>
      </c>
      <c r="E335" s="32">
        <f t="shared" si="69"/>
        <v>0</v>
      </c>
      <c r="F335" s="32" t="str">
        <f t="shared" si="70"/>
        <v>No Gs</v>
      </c>
      <c r="G335" s="32" t="str">
        <f t="shared" si="71"/>
        <v>No Gs</v>
      </c>
      <c r="H335" s="32" t="str">
        <f t="shared" si="62"/>
        <v>Gs is needed</v>
      </c>
      <c r="I335" s="32" t="str">
        <f t="shared" si="63"/>
        <v>Gs is needed</v>
      </c>
      <c r="J335" s="32" t="str">
        <f t="shared" si="64"/>
        <v>Gs is needed</v>
      </c>
      <c r="K335" s="32" t="str">
        <f t="shared" si="66"/>
        <v>Need Max and Min</v>
      </c>
      <c r="L335" s="32" t="str">
        <f t="shared" si="67"/>
        <v>Need Max and Min</v>
      </c>
      <c r="M335" s="32" t="str">
        <f t="shared" si="68"/>
        <v>Fail</v>
      </c>
      <c r="N335" s="32"/>
      <c r="O335" s="31">
        <f>'mnt Data'!A338</f>
        <v>0</v>
      </c>
      <c r="P335" s="31">
        <f>'mnt Data'!B338</f>
        <v>0</v>
      </c>
      <c r="Q335" s="31">
        <f>'mnt Data'!C338</f>
        <v>0</v>
      </c>
      <c r="R335" s="31">
        <f>'mnt Data'!D338</f>
        <v>0</v>
      </c>
      <c r="S335" s="31">
        <f>'mnt Data'!E338</f>
        <v>0</v>
      </c>
      <c r="T335" s="31">
        <f>'mnt Data'!F338</f>
        <v>0</v>
      </c>
      <c r="U335" s="31">
        <f>'mnt Data'!G338</f>
        <v>0</v>
      </c>
      <c r="V335" s="31">
        <f>'mnt Data'!H338</f>
        <v>0</v>
      </c>
      <c r="W335" s="31">
        <f>'mnt Data'!I338</f>
        <v>0</v>
      </c>
      <c r="X335" s="31">
        <f>'mnt Data'!J338</f>
        <v>0</v>
      </c>
      <c r="Y335" s="31">
        <f>'mnt Data'!K338</f>
        <v>0</v>
      </c>
      <c r="Z335" s="31">
        <f>'mnt Data'!L338</f>
        <v>0</v>
      </c>
      <c r="AA335" s="31">
        <f>'mnt Data'!M338</f>
        <v>0</v>
      </c>
      <c r="AB335" s="31">
        <f>'mnt Data'!N338</f>
        <v>0</v>
      </c>
      <c r="AC335" s="31">
        <f>'mnt Data'!O338</f>
        <v>0</v>
      </c>
      <c r="AD335" s="31">
        <f>'mnt Data'!P338</f>
        <v>0</v>
      </c>
      <c r="AE335" s="31">
        <f>'mnt Data'!Q338</f>
        <v>0</v>
      </c>
      <c r="AF335" s="31">
        <f>'mnt Data'!R338</f>
        <v>0</v>
      </c>
      <c r="AG335" s="31">
        <f>'mnt Data'!S338</f>
        <v>0</v>
      </c>
      <c r="AH335" s="31">
        <f>'mnt Data'!T338</f>
        <v>0</v>
      </c>
      <c r="AI335" s="31">
        <f>'mnt Data'!U338</f>
        <v>0</v>
      </c>
      <c r="AJ335" s="31">
        <f>'mnt Data'!V338</f>
        <v>0</v>
      </c>
      <c r="AK335" s="31">
        <f>'mnt Data'!W338</f>
        <v>0</v>
      </c>
      <c r="AL335" s="31">
        <f>'mnt Data'!X338</f>
        <v>0</v>
      </c>
      <c r="AM335" s="31">
        <f>'mnt Data'!Y338</f>
        <v>0</v>
      </c>
      <c r="AN335" s="31">
        <f>'mnt Data'!Z338</f>
        <v>0</v>
      </c>
      <c r="AO335" s="31">
        <f>'mnt Data'!AA338</f>
        <v>0</v>
      </c>
      <c r="AP335" s="31">
        <f>'mnt Data'!AB338</f>
        <v>0</v>
      </c>
      <c r="AQ335" s="31">
        <f>'mnt Data'!AC338</f>
        <v>0</v>
      </c>
      <c r="AR335" s="31">
        <f>'mnt Data'!AD338</f>
        <v>0</v>
      </c>
      <c r="AS335" s="31">
        <f>'mnt Data'!AE338</f>
        <v>0</v>
      </c>
      <c r="AT335" s="31">
        <f>'mnt Data'!AF338</f>
        <v>0</v>
      </c>
      <c r="AU335" s="31">
        <f>'mnt Data'!AG338</f>
        <v>0</v>
      </c>
      <c r="AV335" s="31">
        <f>'mnt Data'!AH338</f>
        <v>0</v>
      </c>
      <c r="AW335" s="31">
        <f>'mnt Data'!AI338</f>
        <v>0</v>
      </c>
      <c r="AX335" s="31">
        <f>'mnt Data'!AJ338</f>
        <v>0</v>
      </c>
      <c r="AY335" s="31">
        <f>'mnt Data'!AK338</f>
        <v>0</v>
      </c>
    </row>
    <row r="336" spans="1:51" x14ac:dyDescent="0.25">
      <c r="A336">
        <v>335</v>
      </c>
      <c r="B336" s="32">
        <f t="shared" si="60"/>
        <v>0</v>
      </c>
      <c r="C336" s="32">
        <f t="shared" si="61"/>
        <v>0</v>
      </c>
      <c r="D336" s="32" t="str">
        <f t="shared" si="65"/>
        <v>No Gs</v>
      </c>
      <c r="E336" s="32">
        <f t="shared" si="69"/>
        <v>0</v>
      </c>
      <c r="F336" s="32" t="str">
        <f t="shared" si="70"/>
        <v>No Gs</v>
      </c>
      <c r="G336" s="32" t="str">
        <f t="shared" si="71"/>
        <v>No Gs</v>
      </c>
      <c r="H336" s="32" t="str">
        <f t="shared" si="62"/>
        <v>Gs is needed</v>
      </c>
      <c r="I336" s="32" t="str">
        <f t="shared" si="63"/>
        <v>Gs is needed</v>
      </c>
      <c r="J336" s="32" t="str">
        <f t="shared" si="64"/>
        <v>Gs is needed</v>
      </c>
      <c r="K336" s="32" t="str">
        <f t="shared" si="66"/>
        <v>Need Max and Min</v>
      </c>
      <c r="L336" s="32" t="str">
        <f t="shared" si="67"/>
        <v>Need Max and Min</v>
      </c>
      <c r="M336" s="32" t="str">
        <f t="shared" si="68"/>
        <v>Fail</v>
      </c>
      <c r="N336" s="32"/>
      <c r="O336" s="31">
        <f>'mnt Data'!A339</f>
        <v>0</v>
      </c>
      <c r="P336" s="31">
        <f>'mnt Data'!B339</f>
        <v>0</v>
      </c>
      <c r="Q336" s="31">
        <f>'mnt Data'!C339</f>
        <v>0</v>
      </c>
      <c r="R336" s="31">
        <f>'mnt Data'!D339</f>
        <v>0</v>
      </c>
      <c r="S336" s="31">
        <f>'mnt Data'!E339</f>
        <v>0</v>
      </c>
      <c r="T336" s="31">
        <f>'mnt Data'!F339</f>
        <v>0</v>
      </c>
      <c r="U336" s="31">
        <f>'mnt Data'!G339</f>
        <v>0</v>
      </c>
      <c r="V336" s="31">
        <f>'mnt Data'!H339</f>
        <v>0</v>
      </c>
      <c r="W336" s="31">
        <f>'mnt Data'!I339</f>
        <v>0</v>
      </c>
      <c r="X336" s="31">
        <f>'mnt Data'!J339</f>
        <v>0</v>
      </c>
      <c r="Y336" s="31">
        <f>'mnt Data'!K339</f>
        <v>0</v>
      </c>
      <c r="Z336" s="31">
        <f>'mnt Data'!L339</f>
        <v>0</v>
      </c>
      <c r="AA336" s="31">
        <f>'mnt Data'!M339</f>
        <v>0</v>
      </c>
      <c r="AB336" s="31">
        <f>'mnt Data'!N339</f>
        <v>0</v>
      </c>
      <c r="AC336" s="31">
        <f>'mnt Data'!O339</f>
        <v>0</v>
      </c>
      <c r="AD336" s="31">
        <f>'mnt Data'!P339</f>
        <v>0</v>
      </c>
      <c r="AE336" s="31">
        <f>'mnt Data'!Q339</f>
        <v>0</v>
      </c>
      <c r="AF336" s="31">
        <f>'mnt Data'!R339</f>
        <v>0</v>
      </c>
      <c r="AG336" s="31">
        <f>'mnt Data'!S339</f>
        <v>0</v>
      </c>
      <c r="AH336" s="31">
        <f>'mnt Data'!T339</f>
        <v>0</v>
      </c>
      <c r="AI336" s="31">
        <f>'mnt Data'!U339</f>
        <v>0</v>
      </c>
      <c r="AJ336" s="31">
        <f>'mnt Data'!V339</f>
        <v>0</v>
      </c>
      <c r="AK336" s="31">
        <f>'mnt Data'!W339</f>
        <v>0</v>
      </c>
      <c r="AL336" s="31">
        <f>'mnt Data'!X339</f>
        <v>0</v>
      </c>
      <c r="AM336" s="31">
        <f>'mnt Data'!Y339</f>
        <v>0</v>
      </c>
      <c r="AN336" s="31">
        <f>'mnt Data'!Z339</f>
        <v>0</v>
      </c>
      <c r="AO336" s="31">
        <f>'mnt Data'!AA339</f>
        <v>0</v>
      </c>
      <c r="AP336" s="31">
        <f>'mnt Data'!AB339</f>
        <v>0</v>
      </c>
      <c r="AQ336" s="31">
        <f>'mnt Data'!AC339</f>
        <v>0</v>
      </c>
      <c r="AR336" s="31">
        <f>'mnt Data'!AD339</f>
        <v>0</v>
      </c>
      <c r="AS336" s="31">
        <f>'mnt Data'!AE339</f>
        <v>0</v>
      </c>
      <c r="AT336" s="31">
        <f>'mnt Data'!AF339</f>
        <v>0</v>
      </c>
      <c r="AU336" s="31">
        <f>'mnt Data'!AG339</f>
        <v>0</v>
      </c>
      <c r="AV336" s="31">
        <f>'mnt Data'!AH339</f>
        <v>0</v>
      </c>
      <c r="AW336" s="31">
        <f>'mnt Data'!AI339</f>
        <v>0</v>
      </c>
      <c r="AX336" s="31">
        <f>'mnt Data'!AJ339</f>
        <v>0</v>
      </c>
      <c r="AY336" s="31">
        <f>'mnt Data'!AK339</f>
        <v>0</v>
      </c>
    </row>
    <row r="337" spans="1:51" x14ac:dyDescent="0.25">
      <c r="A337">
        <v>336</v>
      </c>
      <c r="B337" s="32">
        <f t="shared" si="60"/>
        <v>0</v>
      </c>
      <c r="C337" s="32">
        <f t="shared" si="61"/>
        <v>0</v>
      </c>
      <c r="D337" s="32" t="str">
        <f t="shared" si="65"/>
        <v>No Gs</v>
      </c>
      <c r="E337" s="32">
        <f t="shared" si="69"/>
        <v>0</v>
      </c>
      <c r="F337" s="32" t="str">
        <f t="shared" si="70"/>
        <v>No Gs</v>
      </c>
      <c r="G337" s="32" t="str">
        <f t="shared" si="71"/>
        <v>No Gs</v>
      </c>
      <c r="H337" s="32" t="str">
        <f t="shared" si="62"/>
        <v>Gs is needed</v>
      </c>
      <c r="I337" s="32" t="str">
        <f t="shared" si="63"/>
        <v>Gs is needed</v>
      </c>
      <c r="J337" s="32" t="str">
        <f t="shared" si="64"/>
        <v>Gs is needed</v>
      </c>
      <c r="K337" s="32" t="str">
        <f t="shared" si="66"/>
        <v>Need Max and Min</v>
      </c>
      <c r="L337" s="32" t="str">
        <f t="shared" si="67"/>
        <v>Need Max and Min</v>
      </c>
      <c r="M337" s="32" t="str">
        <f t="shared" si="68"/>
        <v>Fail</v>
      </c>
      <c r="N337" s="32"/>
      <c r="O337" s="31">
        <f>'mnt Data'!A340</f>
        <v>0</v>
      </c>
      <c r="P337" s="31">
        <f>'mnt Data'!B340</f>
        <v>0</v>
      </c>
      <c r="Q337" s="31">
        <f>'mnt Data'!C340</f>
        <v>0</v>
      </c>
      <c r="R337" s="31">
        <f>'mnt Data'!D340</f>
        <v>0</v>
      </c>
      <c r="S337" s="31">
        <f>'mnt Data'!E340</f>
        <v>0</v>
      </c>
      <c r="T337" s="31">
        <f>'mnt Data'!F340</f>
        <v>0</v>
      </c>
      <c r="U337" s="31">
        <f>'mnt Data'!G340</f>
        <v>0</v>
      </c>
      <c r="V337" s="31">
        <f>'mnt Data'!H340</f>
        <v>0</v>
      </c>
      <c r="W337" s="31">
        <f>'mnt Data'!I340</f>
        <v>0</v>
      </c>
      <c r="X337" s="31">
        <f>'mnt Data'!J340</f>
        <v>0</v>
      </c>
      <c r="Y337" s="31">
        <f>'mnt Data'!K340</f>
        <v>0</v>
      </c>
      <c r="Z337" s="31">
        <f>'mnt Data'!L340</f>
        <v>0</v>
      </c>
      <c r="AA337" s="31">
        <f>'mnt Data'!M340</f>
        <v>0</v>
      </c>
      <c r="AB337" s="31">
        <f>'mnt Data'!N340</f>
        <v>0</v>
      </c>
      <c r="AC337" s="31">
        <f>'mnt Data'!O340</f>
        <v>0</v>
      </c>
      <c r="AD337" s="31">
        <f>'mnt Data'!P340</f>
        <v>0</v>
      </c>
      <c r="AE337" s="31">
        <f>'mnt Data'!Q340</f>
        <v>0</v>
      </c>
      <c r="AF337" s="31">
        <f>'mnt Data'!R340</f>
        <v>0</v>
      </c>
      <c r="AG337" s="31">
        <f>'mnt Data'!S340</f>
        <v>0</v>
      </c>
      <c r="AH337" s="31">
        <f>'mnt Data'!T340</f>
        <v>0</v>
      </c>
      <c r="AI337" s="31">
        <f>'mnt Data'!U340</f>
        <v>0</v>
      </c>
      <c r="AJ337" s="31">
        <f>'mnt Data'!V340</f>
        <v>0</v>
      </c>
      <c r="AK337" s="31">
        <f>'mnt Data'!W340</f>
        <v>0</v>
      </c>
      <c r="AL337" s="31">
        <f>'mnt Data'!X340</f>
        <v>0</v>
      </c>
      <c r="AM337" s="31">
        <f>'mnt Data'!Y340</f>
        <v>0</v>
      </c>
      <c r="AN337" s="31">
        <f>'mnt Data'!Z340</f>
        <v>0</v>
      </c>
      <c r="AO337" s="31">
        <f>'mnt Data'!AA340</f>
        <v>0</v>
      </c>
      <c r="AP337" s="31">
        <f>'mnt Data'!AB340</f>
        <v>0</v>
      </c>
      <c r="AQ337" s="31">
        <f>'mnt Data'!AC340</f>
        <v>0</v>
      </c>
      <c r="AR337" s="31">
        <f>'mnt Data'!AD340</f>
        <v>0</v>
      </c>
      <c r="AS337" s="31">
        <f>'mnt Data'!AE340</f>
        <v>0</v>
      </c>
      <c r="AT337" s="31">
        <f>'mnt Data'!AF340</f>
        <v>0</v>
      </c>
      <c r="AU337" s="31">
        <f>'mnt Data'!AG340</f>
        <v>0</v>
      </c>
      <c r="AV337" s="31">
        <f>'mnt Data'!AH340</f>
        <v>0</v>
      </c>
      <c r="AW337" s="31">
        <f>'mnt Data'!AI340</f>
        <v>0</v>
      </c>
      <c r="AX337" s="31">
        <f>'mnt Data'!AJ340</f>
        <v>0</v>
      </c>
      <c r="AY337" s="31">
        <f>'mnt Data'!AK340</f>
        <v>0</v>
      </c>
    </row>
    <row r="338" spans="1:51" x14ac:dyDescent="0.25">
      <c r="A338">
        <v>337</v>
      </c>
      <c r="B338" s="32">
        <f t="shared" si="60"/>
        <v>0</v>
      </c>
      <c r="C338" s="32">
        <f t="shared" si="61"/>
        <v>0</v>
      </c>
      <c r="D338" s="32" t="str">
        <f t="shared" si="65"/>
        <v>No Gs</v>
      </c>
      <c r="E338" s="32">
        <f t="shared" si="69"/>
        <v>0</v>
      </c>
      <c r="F338" s="32" t="str">
        <f t="shared" si="70"/>
        <v>No Gs</v>
      </c>
      <c r="G338" s="32" t="str">
        <f t="shared" si="71"/>
        <v>No Gs</v>
      </c>
      <c r="H338" s="32" t="str">
        <f t="shared" si="62"/>
        <v>Gs is needed</v>
      </c>
      <c r="I338" s="32" t="str">
        <f t="shared" si="63"/>
        <v>Gs is needed</v>
      </c>
      <c r="J338" s="32" t="str">
        <f t="shared" si="64"/>
        <v>Gs is needed</v>
      </c>
      <c r="K338" s="32" t="str">
        <f t="shared" si="66"/>
        <v>Need Max and Min</v>
      </c>
      <c r="L338" s="32" t="str">
        <f t="shared" si="67"/>
        <v>Need Max and Min</v>
      </c>
      <c r="M338" s="32" t="str">
        <f t="shared" si="68"/>
        <v>Fail</v>
      </c>
      <c r="N338" s="32"/>
      <c r="O338" s="31">
        <f>'mnt Data'!A341</f>
        <v>0</v>
      </c>
      <c r="P338" s="31">
        <f>'mnt Data'!B341</f>
        <v>0</v>
      </c>
      <c r="Q338" s="31">
        <f>'mnt Data'!C341</f>
        <v>0</v>
      </c>
      <c r="R338" s="31">
        <f>'mnt Data'!D341</f>
        <v>0</v>
      </c>
      <c r="S338" s="31">
        <f>'mnt Data'!E341</f>
        <v>0</v>
      </c>
      <c r="T338" s="31">
        <f>'mnt Data'!F341</f>
        <v>0</v>
      </c>
      <c r="U338" s="31">
        <f>'mnt Data'!G341</f>
        <v>0</v>
      </c>
      <c r="V338" s="31">
        <f>'mnt Data'!H341</f>
        <v>0</v>
      </c>
      <c r="W338" s="31">
        <f>'mnt Data'!I341</f>
        <v>0</v>
      </c>
      <c r="X338" s="31">
        <f>'mnt Data'!J341</f>
        <v>0</v>
      </c>
      <c r="Y338" s="31">
        <f>'mnt Data'!K341</f>
        <v>0</v>
      </c>
      <c r="Z338" s="31">
        <f>'mnt Data'!L341</f>
        <v>0</v>
      </c>
      <c r="AA338" s="31">
        <f>'mnt Data'!M341</f>
        <v>0</v>
      </c>
      <c r="AB338" s="31">
        <f>'mnt Data'!N341</f>
        <v>0</v>
      </c>
      <c r="AC338" s="31">
        <f>'mnt Data'!O341</f>
        <v>0</v>
      </c>
      <c r="AD338" s="31">
        <f>'mnt Data'!P341</f>
        <v>0</v>
      </c>
      <c r="AE338" s="31">
        <f>'mnt Data'!Q341</f>
        <v>0</v>
      </c>
      <c r="AF338" s="31">
        <f>'mnt Data'!R341</f>
        <v>0</v>
      </c>
      <c r="AG338" s="31">
        <f>'mnt Data'!S341</f>
        <v>0</v>
      </c>
      <c r="AH338" s="31">
        <f>'mnt Data'!T341</f>
        <v>0</v>
      </c>
      <c r="AI338" s="31">
        <f>'mnt Data'!U341</f>
        <v>0</v>
      </c>
      <c r="AJ338" s="31">
        <f>'mnt Data'!V341</f>
        <v>0</v>
      </c>
      <c r="AK338" s="31">
        <f>'mnt Data'!W341</f>
        <v>0</v>
      </c>
      <c r="AL338" s="31">
        <f>'mnt Data'!X341</f>
        <v>0</v>
      </c>
      <c r="AM338" s="31">
        <f>'mnt Data'!Y341</f>
        <v>0</v>
      </c>
      <c r="AN338" s="31">
        <f>'mnt Data'!Z341</f>
        <v>0</v>
      </c>
      <c r="AO338" s="31">
        <f>'mnt Data'!AA341</f>
        <v>0</v>
      </c>
      <c r="AP338" s="31">
        <f>'mnt Data'!AB341</f>
        <v>0</v>
      </c>
      <c r="AQ338" s="31">
        <f>'mnt Data'!AC341</f>
        <v>0</v>
      </c>
      <c r="AR338" s="31">
        <f>'mnt Data'!AD341</f>
        <v>0</v>
      </c>
      <c r="AS338" s="31">
        <f>'mnt Data'!AE341</f>
        <v>0</v>
      </c>
      <c r="AT338" s="31">
        <f>'mnt Data'!AF341</f>
        <v>0</v>
      </c>
      <c r="AU338" s="31">
        <f>'mnt Data'!AG341</f>
        <v>0</v>
      </c>
      <c r="AV338" s="31">
        <f>'mnt Data'!AH341</f>
        <v>0</v>
      </c>
      <c r="AW338" s="31">
        <f>'mnt Data'!AI341</f>
        <v>0</v>
      </c>
      <c r="AX338" s="31">
        <f>'mnt Data'!AJ341</f>
        <v>0</v>
      </c>
      <c r="AY338" s="31">
        <f>'mnt Data'!AK341</f>
        <v>0</v>
      </c>
    </row>
    <row r="339" spans="1:51" x14ac:dyDescent="0.25">
      <c r="A339">
        <v>338</v>
      </c>
      <c r="B339" s="32">
        <f t="shared" si="60"/>
        <v>0</v>
      </c>
      <c r="C339" s="32">
        <f t="shared" si="61"/>
        <v>0</v>
      </c>
      <c r="D339" s="32" t="str">
        <f t="shared" si="65"/>
        <v>No Gs</v>
      </c>
      <c r="E339" s="32">
        <f t="shared" si="69"/>
        <v>0</v>
      </c>
      <c r="F339" s="32" t="str">
        <f t="shared" si="70"/>
        <v>No Gs</v>
      </c>
      <c r="G339" s="32" t="str">
        <f t="shared" si="71"/>
        <v>No Gs</v>
      </c>
      <c r="H339" s="32" t="str">
        <f t="shared" si="62"/>
        <v>Gs is needed</v>
      </c>
      <c r="I339" s="32" t="str">
        <f t="shared" si="63"/>
        <v>Gs is needed</v>
      </c>
      <c r="J339" s="32" t="str">
        <f t="shared" si="64"/>
        <v>Gs is needed</v>
      </c>
      <c r="K339" s="32" t="str">
        <f t="shared" si="66"/>
        <v>Need Max and Min</v>
      </c>
      <c r="L339" s="32" t="str">
        <f t="shared" si="67"/>
        <v>Need Max and Min</v>
      </c>
      <c r="M339" s="32" t="str">
        <f t="shared" si="68"/>
        <v>Fail</v>
      </c>
      <c r="N339" s="32"/>
      <c r="O339" s="31">
        <f>'mnt Data'!A342</f>
        <v>0</v>
      </c>
      <c r="P339" s="31">
        <f>'mnt Data'!B342</f>
        <v>0</v>
      </c>
      <c r="Q339" s="31">
        <f>'mnt Data'!C342</f>
        <v>0</v>
      </c>
      <c r="R339" s="31">
        <f>'mnt Data'!D342</f>
        <v>0</v>
      </c>
      <c r="S339" s="31">
        <f>'mnt Data'!E342</f>
        <v>0</v>
      </c>
      <c r="T339" s="31">
        <f>'mnt Data'!F342</f>
        <v>0</v>
      </c>
      <c r="U339" s="31">
        <f>'mnt Data'!G342</f>
        <v>0</v>
      </c>
      <c r="V339" s="31">
        <f>'mnt Data'!H342</f>
        <v>0</v>
      </c>
      <c r="W339" s="31">
        <f>'mnt Data'!I342</f>
        <v>0</v>
      </c>
      <c r="X339" s="31">
        <f>'mnt Data'!J342</f>
        <v>0</v>
      </c>
      <c r="Y339" s="31">
        <f>'mnt Data'!K342</f>
        <v>0</v>
      </c>
      <c r="Z339" s="31">
        <f>'mnt Data'!L342</f>
        <v>0</v>
      </c>
      <c r="AA339" s="31">
        <f>'mnt Data'!M342</f>
        <v>0</v>
      </c>
      <c r="AB339" s="31">
        <f>'mnt Data'!N342</f>
        <v>0</v>
      </c>
      <c r="AC339" s="31">
        <f>'mnt Data'!O342</f>
        <v>0</v>
      </c>
      <c r="AD339" s="31">
        <f>'mnt Data'!P342</f>
        <v>0</v>
      </c>
      <c r="AE339" s="31">
        <f>'mnt Data'!Q342</f>
        <v>0</v>
      </c>
      <c r="AF339" s="31">
        <f>'mnt Data'!R342</f>
        <v>0</v>
      </c>
      <c r="AG339" s="31">
        <f>'mnt Data'!S342</f>
        <v>0</v>
      </c>
      <c r="AH339" s="31">
        <f>'mnt Data'!T342</f>
        <v>0</v>
      </c>
      <c r="AI339" s="31">
        <f>'mnt Data'!U342</f>
        <v>0</v>
      </c>
      <c r="AJ339" s="31">
        <f>'mnt Data'!V342</f>
        <v>0</v>
      </c>
      <c r="AK339" s="31">
        <f>'mnt Data'!W342</f>
        <v>0</v>
      </c>
      <c r="AL339" s="31">
        <f>'mnt Data'!X342</f>
        <v>0</v>
      </c>
      <c r="AM339" s="31">
        <f>'mnt Data'!Y342</f>
        <v>0</v>
      </c>
      <c r="AN339" s="31">
        <f>'mnt Data'!Z342</f>
        <v>0</v>
      </c>
      <c r="AO339" s="31">
        <f>'mnt Data'!AA342</f>
        <v>0</v>
      </c>
      <c r="AP339" s="31">
        <f>'mnt Data'!AB342</f>
        <v>0</v>
      </c>
      <c r="AQ339" s="31">
        <f>'mnt Data'!AC342</f>
        <v>0</v>
      </c>
      <c r="AR339" s="31">
        <f>'mnt Data'!AD342</f>
        <v>0</v>
      </c>
      <c r="AS339" s="31">
        <f>'mnt Data'!AE342</f>
        <v>0</v>
      </c>
      <c r="AT339" s="31">
        <f>'mnt Data'!AF342</f>
        <v>0</v>
      </c>
      <c r="AU339" s="31">
        <f>'mnt Data'!AG342</f>
        <v>0</v>
      </c>
      <c r="AV339" s="31">
        <f>'mnt Data'!AH342</f>
        <v>0</v>
      </c>
      <c r="AW339" s="31">
        <f>'mnt Data'!AI342</f>
        <v>0</v>
      </c>
      <c r="AX339" s="31">
        <f>'mnt Data'!AJ342</f>
        <v>0</v>
      </c>
      <c r="AY339" s="31">
        <f>'mnt Data'!AK342</f>
        <v>0</v>
      </c>
    </row>
    <row r="340" spans="1:51" x14ac:dyDescent="0.25">
      <c r="A340">
        <v>339</v>
      </c>
      <c r="B340" s="32">
        <f t="shared" si="60"/>
        <v>0</v>
      </c>
      <c r="C340" s="32">
        <f t="shared" si="61"/>
        <v>0</v>
      </c>
      <c r="D340" s="32" t="str">
        <f t="shared" si="65"/>
        <v>No Gs</v>
      </c>
      <c r="E340" s="32">
        <f t="shared" si="69"/>
        <v>0</v>
      </c>
      <c r="F340" s="32" t="str">
        <f t="shared" si="70"/>
        <v>No Gs</v>
      </c>
      <c r="G340" s="32" t="str">
        <f t="shared" si="71"/>
        <v>No Gs</v>
      </c>
      <c r="H340" s="32" t="str">
        <f t="shared" si="62"/>
        <v>Gs is needed</v>
      </c>
      <c r="I340" s="32" t="str">
        <f t="shared" si="63"/>
        <v>Gs is needed</v>
      </c>
      <c r="J340" s="32" t="str">
        <f t="shared" si="64"/>
        <v>Gs is needed</v>
      </c>
      <c r="K340" s="32" t="str">
        <f t="shared" si="66"/>
        <v>Need Max and Min</v>
      </c>
      <c r="L340" s="32" t="str">
        <f t="shared" si="67"/>
        <v>Need Max and Min</v>
      </c>
      <c r="M340" s="32" t="str">
        <f t="shared" si="68"/>
        <v>Fail</v>
      </c>
      <c r="N340" s="32"/>
      <c r="O340" s="31">
        <f>'mnt Data'!A343</f>
        <v>0</v>
      </c>
      <c r="P340" s="31">
        <f>'mnt Data'!B343</f>
        <v>0</v>
      </c>
      <c r="Q340" s="31">
        <f>'mnt Data'!C343</f>
        <v>0</v>
      </c>
      <c r="R340" s="31">
        <f>'mnt Data'!D343</f>
        <v>0</v>
      </c>
      <c r="S340" s="31">
        <f>'mnt Data'!E343</f>
        <v>0</v>
      </c>
      <c r="T340" s="31">
        <f>'mnt Data'!F343</f>
        <v>0</v>
      </c>
      <c r="U340" s="31">
        <f>'mnt Data'!G343</f>
        <v>0</v>
      </c>
      <c r="V340" s="31">
        <f>'mnt Data'!H343</f>
        <v>0</v>
      </c>
      <c r="W340" s="31">
        <f>'mnt Data'!I343</f>
        <v>0</v>
      </c>
      <c r="X340" s="31">
        <f>'mnt Data'!J343</f>
        <v>0</v>
      </c>
      <c r="Y340" s="31">
        <f>'mnt Data'!K343</f>
        <v>0</v>
      </c>
      <c r="Z340" s="31">
        <f>'mnt Data'!L343</f>
        <v>0</v>
      </c>
      <c r="AA340" s="31">
        <f>'mnt Data'!M343</f>
        <v>0</v>
      </c>
      <c r="AB340" s="31">
        <f>'mnt Data'!N343</f>
        <v>0</v>
      </c>
      <c r="AC340" s="31">
        <f>'mnt Data'!O343</f>
        <v>0</v>
      </c>
      <c r="AD340" s="31">
        <f>'mnt Data'!P343</f>
        <v>0</v>
      </c>
      <c r="AE340" s="31">
        <f>'mnt Data'!Q343</f>
        <v>0</v>
      </c>
      <c r="AF340" s="31">
        <f>'mnt Data'!R343</f>
        <v>0</v>
      </c>
      <c r="AG340" s="31">
        <f>'mnt Data'!S343</f>
        <v>0</v>
      </c>
      <c r="AH340" s="31">
        <f>'mnt Data'!T343</f>
        <v>0</v>
      </c>
      <c r="AI340" s="31">
        <f>'mnt Data'!U343</f>
        <v>0</v>
      </c>
      <c r="AJ340" s="31">
        <f>'mnt Data'!V343</f>
        <v>0</v>
      </c>
      <c r="AK340" s="31">
        <f>'mnt Data'!W343</f>
        <v>0</v>
      </c>
      <c r="AL340" s="31">
        <f>'mnt Data'!X343</f>
        <v>0</v>
      </c>
      <c r="AM340" s="31">
        <f>'mnt Data'!Y343</f>
        <v>0</v>
      </c>
      <c r="AN340" s="31">
        <f>'mnt Data'!Z343</f>
        <v>0</v>
      </c>
      <c r="AO340" s="31">
        <f>'mnt Data'!AA343</f>
        <v>0</v>
      </c>
      <c r="AP340" s="31">
        <f>'mnt Data'!AB343</f>
        <v>0</v>
      </c>
      <c r="AQ340" s="31">
        <f>'mnt Data'!AC343</f>
        <v>0</v>
      </c>
      <c r="AR340" s="31">
        <f>'mnt Data'!AD343</f>
        <v>0</v>
      </c>
      <c r="AS340" s="31">
        <f>'mnt Data'!AE343</f>
        <v>0</v>
      </c>
      <c r="AT340" s="31">
        <f>'mnt Data'!AF343</f>
        <v>0</v>
      </c>
      <c r="AU340" s="31">
        <f>'mnt Data'!AG343</f>
        <v>0</v>
      </c>
      <c r="AV340" s="31">
        <f>'mnt Data'!AH343</f>
        <v>0</v>
      </c>
      <c r="AW340" s="31">
        <f>'mnt Data'!AI343</f>
        <v>0</v>
      </c>
      <c r="AX340" s="31">
        <f>'mnt Data'!AJ343</f>
        <v>0</v>
      </c>
      <c r="AY340" s="31">
        <f>'mnt Data'!AK343</f>
        <v>0</v>
      </c>
    </row>
    <row r="341" spans="1:51" x14ac:dyDescent="0.25">
      <c r="A341">
        <v>340</v>
      </c>
      <c r="B341" s="32">
        <f t="shared" si="60"/>
        <v>0</v>
      </c>
      <c r="C341" s="32">
        <f t="shared" si="61"/>
        <v>0</v>
      </c>
      <c r="D341" s="32" t="str">
        <f t="shared" si="65"/>
        <v>No Gs</v>
      </c>
      <c r="E341" s="32">
        <f t="shared" si="69"/>
        <v>0</v>
      </c>
      <c r="F341" s="32" t="str">
        <f t="shared" si="70"/>
        <v>No Gs</v>
      </c>
      <c r="G341" s="32" t="str">
        <f t="shared" si="71"/>
        <v>No Gs</v>
      </c>
      <c r="H341" s="32" t="str">
        <f t="shared" si="62"/>
        <v>Gs is needed</v>
      </c>
      <c r="I341" s="32" t="str">
        <f t="shared" si="63"/>
        <v>Gs is needed</v>
      </c>
      <c r="J341" s="32" t="str">
        <f t="shared" si="64"/>
        <v>Gs is needed</v>
      </c>
      <c r="K341" s="32" t="str">
        <f t="shared" si="66"/>
        <v>Need Max and Min</v>
      </c>
      <c r="L341" s="32" t="str">
        <f t="shared" si="67"/>
        <v>Need Max and Min</v>
      </c>
      <c r="M341" s="32" t="str">
        <f t="shared" si="68"/>
        <v>Fail</v>
      </c>
      <c r="N341" s="32"/>
      <c r="O341" s="31">
        <f>'mnt Data'!A344</f>
        <v>0</v>
      </c>
      <c r="P341" s="31">
        <f>'mnt Data'!B344</f>
        <v>0</v>
      </c>
      <c r="Q341" s="31">
        <f>'mnt Data'!C344</f>
        <v>0</v>
      </c>
      <c r="R341" s="31">
        <f>'mnt Data'!D344</f>
        <v>0</v>
      </c>
      <c r="S341" s="31">
        <f>'mnt Data'!E344</f>
        <v>0</v>
      </c>
      <c r="T341" s="31">
        <f>'mnt Data'!F344</f>
        <v>0</v>
      </c>
      <c r="U341" s="31">
        <f>'mnt Data'!G344</f>
        <v>0</v>
      </c>
      <c r="V341" s="31">
        <f>'mnt Data'!H344</f>
        <v>0</v>
      </c>
      <c r="W341" s="31">
        <f>'mnt Data'!I344</f>
        <v>0</v>
      </c>
      <c r="X341" s="31">
        <f>'mnt Data'!J344</f>
        <v>0</v>
      </c>
      <c r="Y341" s="31">
        <f>'mnt Data'!K344</f>
        <v>0</v>
      </c>
      <c r="Z341" s="31">
        <f>'mnt Data'!L344</f>
        <v>0</v>
      </c>
      <c r="AA341" s="31">
        <f>'mnt Data'!M344</f>
        <v>0</v>
      </c>
      <c r="AB341" s="31">
        <f>'mnt Data'!N344</f>
        <v>0</v>
      </c>
      <c r="AC341" s="31">
        <f>'mnt Data'!O344</f>
        <v>0</v>
      </c>
      <c r="AD341" s="31">
        <f>'mnt Data'!P344</f>
        <v>0</v>
      </c>
      <c r="AE341" s="31">
        <f>'mnt Data'!Q344</f>
        <v>0</v>
      </c>
      <c r="AF341" s="31">
        <f>'mnt Data'!R344</f>
        <v>0</v>
      </c>
      <c r="AG341" s="31">
        <f>'mnt Data'!S344</f>
        <v>0</v>
      </c>
      <c r="AH341" s="31">
        <f>'mnt Data'!T344</f>
        <v>0</v>
      </c>
      <c r="AI341" s="31">
        <f>'mnt Data'!U344</f>
        <v>0</v>
      </c>
      <c r="AJ341" s="31">
        <f>'mnt Data'!V344</f>
        <v>0</v>
      </c>
      <c r="AK341" s="31">
        <f>'mnt Data'!W344</f>
        <v>0</v>
      </c>
      <c r="AL341" s="31">
        <f>'mnt Data'!X344</f>
        <v>0</v>
      </c>
      <c r="AM341" s="31">
        <f>'mnt Data'!Y344</f>
        <v>0</v>
      </c>
      <c r="AN341" s="31">
        <f>'mnt Data'!Z344</f>
        <v>0</v>
      </c>
      <c r="AO341" s="31">
        <f>'mnt Data'!AA344</f>
        <v>0</v>
      </c>
      <c r="AP341" s="31">
        <f>'mnt Data'!AB344</f>
        <v>0</v>
      </c>
      <c r="AQ341" s="31">
        <f>'mnt Data'!AC344</f>
        <v>0</v>
      </c>
      <c r="AR341" s="31">
        <f>'mnt Data'!AD344</f>
        <v>0</v>
      </c>
      <c r="AS341" s="31">
        <f>'mnt Data'!AE344</f>
        <v>0</v>
      </c>
      <c r="AT341" s="31">
        <f>'mnt Data'!AF344</f>
        <v>0</v>
      </c>
      <c r="AU341" s="31">
        <f>'mnt Data'!AG344</f>
        <v>0</v>
      </c>
      <c r="AV341" s="31">
        <f>'mnt Data'!AH344</f>
        <v>0</v>
      </c>
      <c r="AW341" s="31">
        <f>'mnt Data'!AI344</f>
        <v>0</v>
      </c>
      <c r="AX341" s="31">
        <f>'mnt Data'!AJ344</f>
        <v>0</v>
      </c>
      <c r="AY341" s="31">
        <f>'mnt Data'!AK344</f>
        <v>0</v>
      </c>
    </row>
    <row r="342" spans="1:51" x14ac:dyDescent="0.25">
      <c r="A342">
        <v>341</v>
      </c>
      <c r="B342" s="32">
        <f t="shared" si="60"/>
        <v>0</v>
      </c>
      <c r="C342" s="32">
        <f t="shared" si="61"/>
        <v>0</v>
      </c>
      <c r="D342" s="32" t="str">
        <f t="shared" si="65"/>
        <v>No Gs</v>
      </c>
      <c r="E342" s="32">
        <f t="shared" si="69"/>
        <v>0</v>
      </c>
      <c r="F342" s="32" t="str">
        <f t="shared" si="70"/>
        <v>No Gs</v>
      </c>
      <c r="G342" s="32" t="str">
        <f t="shared" si="71"/>
        <v>No Gs</v>
      </c>
      <c r="H342" s="32" t="str">
        <f t="shared" si="62"/>
        <v>Gs is needed</v>
      </c>
      <c r="I342" s="32" t="str">
        <f t="shared" si="63"/>
        <v>Gs is needed</v>
      </c>
      <c r="J342" s="32" t="str">
        <f t="shared" si="64"/>
        <v>Gs is needed</v>
      </c>
      <c r="K342" s="32" t="str">
        <f t="shared" si="66"/>
        <v>Need Max and Min</v>
      </c>
      <c r="L342" s="32" t="str">
        <f t="shared" si="67"/>
        <v>Need Max and Min</v>
      </c>
      <c r="M342" s="32" t="str">
        <f t="shared" si="68"/>
        <v>Fail</v>
      </c>
      <c r="N342" s="32"/>
      <c r="O342" s="31">
        <f>'mnt Data'!A345</f>
        <v>0</v>
      </c>
      <c r="P342" s="31">
        <f>'mnt Data'!B345</f>
        <v>0</v>
      </c>
      <c r="Q342" s="31">
        <f>'mnt Data'!C345</f>
        <v>0</v>
      </c>
      <c r="R342" s="31">
        <f>'mnt Data'!D345</f>
        <v>0</v>
      </c>
      <c r="S342" s="31">
        <f>'mnt Data'!E345</f>
        <v>0</v>
      </c>
      <c r="T342" s="31">
        <f>'mnt Data'!F345</f>
        <v>0</v>
      </c>
      <c r="U342" s="31">
        <f>'mnt Data'!G345</f>
        <v>0</v>
      </c>
      <c r="V342" s="31">
        <f>'mnt Data'!H345</f>
        <v>0</v>
      </c>
      <c r="W342" s="31">
        <f>'mnt Data'!I345</f>
        <v>0</v>
      </c>
      <c r="X342" s="31">
        <f>'mnt Data'!J345</f>
        <v>0</v>
      </c>
      <c r="Y342" s="31">
        <f>'mnt Data'!K345</f>
        <v>0</v>
      </c>
      <c r="Z342" s="31">
        <f>'mnt Data'!L345</f>
        <v>0</v>
      </c>
      <c r="AA342" s="31">
        <f>'mnt Data'!M345</f>
        <v>0</v>
      </c>
      <c r="AB342" s="31">
        <f>'mnt Data'!N345</f>
        <v>0</v>
      </c>
      <c r="AC342" s="31">
        <f>'mnt Data'!O345</f>
        <v>0</v>
      </c>
      <c r="AD342" s="31">
        <f>'mnt Data'!P345</f>
        <v>0</v>
      </c>
      <c r="AE342" s="31">
        <f>'mnt Data'!Q345</f>
        <v>0</v>
      </c>
      <c r="AF342" s="31">
        <f>'mnt Data'!R345</f>
        <v>0</v>
      </c>
      <c r="AG342" s="31">
        <f>'mnt Data'!S345</f>
        <v>0</v>
      </c>
      <c r="AH342" s="31">
        <f>'mnt Data'!T345</f>
        <v>0</v>
      </c>
      <c r="AI342" s="31">
        <f>'mnt Data'!U345</f>
        <v>0</v>
      </c>
      <c r="AJ342" s="31">
        <f>'mnt Data'!V345</f>
        <v>0</v>
      </c>
      <c r="AK342" s="31">
        <f>'mnt Data'!W345</f>
        <v>0</v>
      </c>
      <c r="AL342" s="31">
        <f>'mnt Data'!X345</f>
        <v>0</v>
      </c>
      <c r="AM342" s="31">
        <f>'mnt Data'!Y345</f>
        <v>0</v>
      </c>
      <c r="AN342" s="31">
        <f>'mnt Data'!Z345</f>
        <v>0</v>
      </c>
      <c r="AO342" s="31">
        <f>'mnt Data'!AA345</f>
        <v>0</v>
      </c>
      <c r="AP342" s="31">
        <f>'mnt Data'!AB345</f>
        <v>0</v>
      </c>
      <c r="AQ342" s="31">
        <f>'mnt Data'!AC345</f>
        <v>0</v>
      </c>
      <c r="AR342" s="31">
        <f>'mnt Data'!AD345</f>
        <v>0</v>
      </c>
      <c r="AS342" s="31">
        <f>'mnt Data'!AE345</f>
        <v>0</v>
      </c>
      <c r="AT342" s="31">
        <f>'mnt Data'!AF345</f>
        <v>0</v>
      </c>
      <c r="AU342" s="31">
        <f>'mnt Data'!AG345</f>
        <v>0</v>
      </c>
      <c r="AV342" s="31">
        <f>'mnt Data'!AH345</f>
        <v>0</v>
      </c>
      <c r="AW342" s="31">
        <f>'mnt Data'!AI345</f>
        <v>0</v>
      </c>
      <c r="AX342" s="31">
        <f>'mnt Data'!AJ345</f>
        <v>0</v>
      </c>
      <c r="AY342" s="31">
        <f>'mnt Data'!AK345</f>
        <v>0</v>
      </c>
    </row>
    <row r="343" spans="1:51" x14ac:dyDescent="0.25">
      <c r="A343">
        <v>342</v>
      </c>
      <c r="B343" s="32">
        <f t="shared" si="60"/>
        <v>0</v>
      </c>
      <c r="C343" s="32">
        <f t="shared" si="61"/>
        <v>0</v>
      </c>
      <c r="D343" s="32" t="str">
        <f t="shared" si="65"/>
        <v>No Gs</v>
      </c>
      <c r="E343" s="32">
        <f t="shared" si="69"/>
        <v>0</v>
      </c>
      <c r="F343" s="32" t="str">
        <f t="shared" si="70"/>
        <v>No Gs</v>
      </c>
      <c r="G343" s="32" t="str">
        <f t="shared" si="71"/>
        <v>No Gs</v>
      </c>
      <c r="H343" s="32" t="str">
        <f t="shared" si="62"/>
        <v>Gs is needed</v>
      </c>
      <c r="I343" s="32" t="str">
        <f t="shared" si="63"/>
        <v>Gs is needed</v>
      </c>
      <c r="J343" s="32" t="str">
        <f t="shared" si="64"/>
        <v>Gs is needed</v>
      </c>
      <c r="K343" s="32" t="str">
        <f t="shared" si="66"/>
        <v>Need Max and Min</v>
      </c>
      <c r="L343" s="32" t="str">
        <f t="shared" si="67"/>
        <v>Need Max and Min</v>
      </c>
      <c r="M343" s="32" t="str">
        <f t="shared" si="68"/>
        <v>Fail</v>
      </c>
      <c r="N343" s="32"/>
      <c r="O343" s="31">
        <f>'mnt Data'!A346</f>
        <v>0</v>
      </c>
      <c r="P343" s="31">
        <f>'mnt Data'!B346</f>
        <v>0</v>
      </c>
      <c r="Q343" s="31">
        <f>'mnt Data'!C346</f>
        <v>0</v>
      </c>
      <c r="R343" s="31">
        <f>'mnt Data'!D346</f>
        <v>0</v>
      </c>
      <c r="S343" s="31">
        <f>'mnt Data'!E346</f>
        <v>0</v>
      </c>
      <c r="T343" s="31">
        <f>'mnt Data'!F346</f>
        <v>0</v>
      </c>
      <c r="U343" s="31">
        <f>'mnt Data'!G346</f>
        <v>0</v>
      </c>
      <c r="V343" s="31">
        <f>'mnt Data'!H346</f>
        <v>0</v>
      </c>
      <c r="W343" s="31">
        <f>'mnt Data'!I346</f>
        <v>0</v>
      </c>
      <c r="X343" s="31">
        <f>'mnt Data'!J346</f>
        <v>0</v>
      </c>
      <c r="Y343" s="31">
        <f>'mnt Data'!K346</f>
        <v>0</v>
      </c>
      <c r="Z343" s="31">
        <f>'mnt Data'!L346</f>
        <v>0</v>
      </c>
      <c r="AA343" s="31">
        <f>'mnt Data'!M346</f>
        <v>0</v>
      </c>
      <c r="AB343" s="31">
        <f>'mnt Data'!N346</f>
        <v>0</v>
      </c>
      <c r="AC343" s="31">
        <f>'mnt Data'!O346</f>
        <v>0</v>
      </c>
      <c r="AD343" s="31">
        <f>'mnt Data'!P346</f>
        <v>0</v>
      </c>
      <c r="AE343" s="31">
        <f>'mnt Data'!Q346</f>
        <v>0</v>
      </c>
      <c r="AF343" s="31">
        <f>'mnt Data'!R346</f>
        <v>0</v>
      </c>
      <c r="AG343" s="31">
        <f>'mnt Data'!S346</f>
        <v>0</v>
      </c>
      <c r="AH343" s="31">
        <f>'mnt Data'!T346</f>
        <v>0</v>
      </c>
      <c r="AI343" s="31">
        <f>'mnt Data'!U346</f>
        <v>0</v>
      </c>
      <c r="AJ343" s="31">
        <f>'mnt Data'!V346</f>
        <v>0</v>
      </c>
      <c r="AK343" s="31">
        <f>'mnt Data'!W346</f>
        <v>0</v>
      </c>
      <c r="AL343" s="31">
        <f>'mnt Data'!X346</f>
        <v>0</v>
      </c>
      <c r="AM343" s="31">
        <f>'mnt Data'!Y346</f>
        <v>0</v>
      </c>
      <c r="AN343" s="31">
        <f>'mnt Data'!Z346</f>
        <v>0</v>
      </c>
      <c r="AO343" s="31">
        <f>'mnt Data'!AA346</f>
        <v>0</v>
      </c>
      <c r="AP343" s="31">
        <f>'mnt Data'!AB346</f>
        <v>0</v>
      </c>
      <c r="AQ343" s="31">
        <f>'mnt Data'!AC346</f>
        <v>0</v>
      </c>
      <c r="AR343" s="31">
        <f>'mnt Data'!AD346</f>
        <v>0</v>
      </c>
      <c r="AS343" s="31">
        <f>'mnt Data'!AE346</f>
        <v>0</v>
      </c>
      <c r="AT343" s="31">
        <f>'mnt Data'!AF346</f>
        <v>0</v>
      </c>
      <c r="AU343" s="31">
        <f>'mnt Data'!AG346</f>
        <v>0</v>
      </c>
      <c r="AV343" s="31">
        <f>'mnt Data'!AH346</f>
        <v>0</v>
      </c>
      <c r="AW343" s="31">
        <f>'mnt Data'!AI346</f>
        <v>0</v>
      </c>
      <c r="AX343" s="31">
        <f>'mnt Data'!AJ346</f>
        <v>0</v>
      </c>
      <c r="AY343" s="31">
        <f>'mnt Data'!AK346</f>
        <v>0</v>
      </c>
    </row>
    <row r="344" spans="1:51" x14ac:dyDescent="0.25">
      <c r="A344">
        <v>343</v>
      </c>
      <c r="B344" s="32">
        <f t="shared" si="60"/>
        <v>0</v>
      </c>
      <c r="C344" s="32">
        <f t="shared" si="61"/>
        <v>0</v>
      </c>
      <c r="D344" s="32" t="str">
        <f t="shared" si="65"/>
        <v>No Gs</v>
      </c>
      <c r="E344" s="32">
        <f t="shared" si="69"/>
        <v>0</v>
      </c>
      <c r="F344" s="32" t="str">
        <f t="shared" si="70"/>
        <v>No Gs</v>
      </c>
      <c r="G344" s="32" t="str">
        <f t="shared" si="71"/>
        <v>No Gs</v>
      </c>
      <c r="H344" s="32" t="str">
        <f t="shared" si="62"/>
        <v>Gs is needed</v>
      </c>
      <c r="I344" s="32" t="str">
        <f t="shared" si="63"/>
        <v>Gs is needed</v>
      </c>
      <c r="J344" s="32" t="str">
        <f t="shared" si="64"/>
        <v>Gs is needed</v>
      </c>
      <c r="K344" s="32" t="str">
        <f t="shared" si="66"/>
        <v>Need Max and Min</v>
      </c>
      <c r="L344" s="32" t="str">
        <f t="shared" si="67"/>
        <v>Need Max and Min</v>
      </c>
      <c r="M344" s="32" t="str">
        <f t="shared" si="68"/>
        <v>Fail</v>
      </c>
      <c r="N344" s="32"/>
      <c r="O344" s="31">
        <f>'mnt Data'!A347</f>
        <v>0</v>
      </c>
      <c r="P344" s="31">
        <f>'mnt Data'!B347</f>
        <v>0</v>
      </c>
      <c r="Q344" s="31">
        <f>'mnt Data'!C347</f>
        <v>0</v>
      </c>
      <c r="R344" s="31">
        <f>'mnt Data'!D347</f>
        <v>0</v>
      </c>
      <c r="S344" s="31">
        <f>'mnt Data'!E347</f>
        <v>0</v>
      </c>
      <c r="T344" s="31">
        <f>'mnt Data'!F347</f>
        <v>0</v>
      </c>
      <c r="U344" s="31">
        <f>'mnt Data'!G347</f>
        <v>0</v>
      </c>
      <c r="V344" s="31">
        <f>'mnt Data'!H347</f>
        <v>0</v>
      </c>
      <c r="W344" s="31">
        <f>'mnt Data'!I347</f>
        <v>0</v>
      </c>
      <c r="X344" s="31">
        <f>'mnt Data'!J347</f>
        <v>0</v>
      </c>
      <c r="Y344" s="31">
        <f>'mnt Data'!K347</f>
        <v>0</v>
      </c>
      <c r="Z344" s="31">
        <f>'mnt Data'!L347</f>
        <v>0</v>
      </c>
      <c r="AA344" s="31">
        <f>'mnt Data'!M347</f>
        <v>0</v>
      </c>
      <c r="AB344" s="31">
        <f>'mnt Data'!N347</f>
        <v>0</v>
      </c>
      <c r="AC344" s="31">
        <f>'mnt Data'!O347</f>
        <v>0</v>
      </c>
      <c r="AD344" s="31">
        <f>'mnt Data'!P347</f>
        <v>0</v>
      </c>
      <c r="AE344" s="31">
        <f>'mnt Data'!Q347</f>
        <v>0</v>
      </c>
      <c r="AF344" s="31">
        <f>'mnt Data'!R347</f>
        <v>0</v>
      </c>
      <c r="AG344" s="31">
        <f>'mnt Data'!S347</f>
        <v>0</v>
      </c>
      <c r="AH344" s="31">
        <f>'mnt Data'!T347</f>
        <v>0</v>
      </c>
      <c r="AI344" s="31">
        <f>'mnt Data'!U347</f>
        <v>0</v>
      </c>
      <c r="AJ344" s="31">
        <f>'mnt Data'!V347</f>
        <v>0</v>
      </c>
      <c r="AK344" s="31">
        <f>'mnt Data'!W347</f>
        <v>0</v>
      </c>
      <c r="AL344" s="31">
        <f>'mnt Data'!X347</f>
        <v>0</v>
      </c>
      <c r="AM344" s="31">
        <f>'mnt Data'!Y347</f>
        <v>0</v>
      </c>
      <c r="AN344" s="31">
        <f>'mnt Data'!Z347</f>
        <v>0</v>
      </c>
      <c r="AO344" s="31">
        <f>'mnt Data'!AA347</f>
        <v>0</v>
      </c>
      <c r="AP344" s="31">
        <f>'mnt Data'!AB347</f>
        <v>0</v>
      </c>
      <c r="AQ344" s="31">
        <f>'mnt Data'!AC347</f>
        <v>0</v>
      </c>
      <c r="AR344" s="31">
        <f>'mnt Data'!AD347</f>
        <v>0</v>
      </c>
      <c r="AS344" s="31">
        <f>'mnt Data'!AE347</f>
        <v>0</v>
      </c>
      <c r="AT344" s="31">
        <f>'mnt Data'!AF347</f>
        <v>0</v>
      </c>
      <c r="AU344" s="31">
        <f>'mnt Data'!AG347</f>
        <v>0</v>
      </c>
      <c r="AV344" s="31">
        <f>'mnt Data'!AH347</f>
        <v>0</v>
      </c>
      <c r="AW344" s="31">
        <f>'mnt Data'!AI347</f>
        <v>0</v>
      </c>
      <c r="AX344" s="31">
        <f>'mnt Data'!AJ347</f>
        <v>0</v>
      </c>
      <c r="AY344" s="31">
        <f>'mnt Data'!AK347</f>
        <v>0</v>
      </c>
    </row>
    <row r="345" spans="1:51" x14ac:dyDescent="0.25">
      <c r="A345">
        <v>344</v>
      </c>
      <c r="B345" s="32">
        <f t="shared" si="60"/>
        <v>0</v>
      </c>
      <c r="C345" s="32">
        <f t="shared" si="61"/>
        <v>0</v>
      </c>
      <c r="D345" s="32" t="str">
        <f t="shared" si="65"/>
        <v>No Gs</v>
      </c>
      <c r="E345" s="32">
        <f t="shared" si="69"/>
        <v>0</v>
      </c>
      <c r="F345" s="32" t="str">
        <f t="shared" si="70"/>
        <v>No Gs</v>
      </c>
      <c r="G345" s="32" t="str">
        <f t="shared" si="71"/>
        <v>No Gs</v>
      </c>
      <c r="H345" s="32" t="str">
        <f t="shared" si="62"/>
        <v>Gs is needed</v>
      </c>
      <c r="I345" s="32" t="str">
        <f t="shared" si="63"/>
        <v>Gs is needed</v>
      </c>
      <c r="J345" s="32" t="str">
        <f t="shared" si="64"/>
        <v>Gs is needed</v>
      </c>
      <c r="K345" s="32" t="str">
        <f t="shared" si="66"/>
        <v>Need Max and Min</v>
      </c>
      <c r="L345" s="32" t="str">
        <f t="shared" si="67"/>
        <v>Need Max and Min</v>
      </c>
      <c r="M345" s="32" t="str">
        <f t="shared" si="68"/>
        <v>Fail</v>
      </c>
      <c r="N345" s="32"/>
      <c r="O345" s="31">
        <f>'mnt Data'!A348</f>
        <v>0</v>
      </c>
      <c r="P345" s="31">
        <f>'mnt Data'!B348</f>
        <v>0</v>
      </c>
      <c r="Q345" s="31">
        <f>'mnt Data'!C348</f>
        <v>0</v>
      </c>
      <c r="R345" s="31">
        <f>'mnt Data'!D348</f>
        <v>0</v>
      </c>
      <c r="S345" s="31">
        <f>'mnt Data'!E348</f>
        <v>0</v>
      </c>
      <c r="T345" s="31">
        <f>'mnt Data'!F348</f>
        <v>0</v>
      </c>
      <c r="U345" s="31">
        <f>'mnt Data'!G348</f>
        <v>0</v>
      </c>
      <c r="V345" s="31">
        <f>'mnt Data'!H348</f>
        <v>0</v>
      </c>
      <c r="W345" s="31">
        <f>'mnt Data'!I348</f>
        <v>0</v>
      </c>
      <c r="X345" s="31">
        <f>'mnt Data'!J348</f>
        <v>0</v>
      </c>
      <c r="Y345" s="31">
        <f>'mnt Data'!K348</f>
        <v>0</v>
      </c>
      <c r="Z345" s="31">
        <f>'mnt Data'!L348</f>
        <v>0</v>
      </c>
      <c r="AA345" s="31">
        <f>'mnt Data'!M348</f>
        <v>0</v>
      </c>
      <c r="AB345" s="31">
        <f>'mnt Data'!N348</f>
        <v>0</v>
      </c>
      <c r="AC345" s="31">
        <f>'mnt Data'!O348</f>
        <v>0</v>
      </c>
      <c r="AD345" s="31">
        <f>'mnt Data'!P348</f>
        <v>0</v>
      </c>
      <c r="AE345" s="31">
        <f>'mnt Data'!Q348</f>
        <v>0</v>
      </c>
      <c r="AF345" s="31">
        <f>'mnt Data'!R348</f>
        <v>0</v>
      </c>
      <c r="AG345" s="31">
        <f>'mnt Data'!S348</f>
        <v>0</v>
      </c>
      <c r="AH345" s="31">
        <f>'mnt Data'!T348</f>
        <v>0</v>
      </c>
      <c r="AI345" s="31">
        <f>'mnt Data'!U348</f>
        <v>0</v>
      </c>
      <c r="AJ345" s="31">
        <f>'mnt Data'!V348</f>
        <v>0</v>
      </c>
      <c r="AK345" s="31">
        <f>'mnt Data'!W348</f>
        <v>0</v>
      </c>
      <c r="AL345" s="31">
        <f>'mnt Data'!X348</f>
        <v>0</v>
      </c>
      <c r="AM345" s="31">
        <f>'mnt Data'!Y348</f>
        <v>0</v>
      </c>
      <c r="AN345" s="31">
        <f>'mnt Data'!Z348</f>
        <v>0</v>
      </c>
      <c r="AO345" s="31">
        <f>'mnt Data'!AA348</f>
        <v>0</v>
      </c>
      <c r="AP345" s="31">
        <f>'mnt Data'!AB348</f>
        <v>0</v>
      </c>
      <c r="AQ345" s="31">
        <f>'mnt Data'!AC348</f>
        <v>0</v>
      </c>
      <c r="AR345" s="31">
        <f>'mnt Data'!AD348</f>
        <v>0</v>
      </c>
      <c r="AS345" s="31">
        <f>'mnt Data'!AE348</f>
        <v>0</v>
      </c>
      <c r="AT345" s="31">
        <f>'mnt Data'!AF348</f>
        <v>0</v>
      </c>
      <c r="AU345" s="31">
        <f>'mnt Data'!AG348</f>
        <v>0</v>
      </c>
      <c r="AV345" s="31">
        <f>'mnt Data'!AH348</f>
        <v>0</v>
      </c>
      <c r="AW345" s="31">
        <f>'mnt Data'!AI348</f>
        <v>0</v>
      </c>
      <c r="AX345" s="31">
        <f>'mnt Data'!AJ348</f>
        <v>0</v>
      </c>
      <c r="AY345" s="31">
        <f>'mnt Data'!AK348</f>
        <v>0</v>
      </c>
    </row>
    <row r="346" spans="1:51" x14ac:dyDescent="0.25">
      <c r="A346">
        <v>345</v>
      </c>
      <c r="B346" s="32">
        <f t="shared" si="60"/>
        <v>0</v>
      </c>
      <c r="C346" s="32">
        <f t="shared" si="61"/>
        <v>0</v>
      </c>
      <c r="D346" s="32" t="str">
        <f t="shared" si="65"/>
        <v>No Gs</v>
      </c>
      <c r="E346" s="32">
        <f t="shared" si="69"/>
        <v>0</v>
      </c>
      <c r="F346" s="32" t="str">
        <f t="shared" si="70"/>
        <v>No Gs</v>
      </c>
      <c r="G346" s="32" t="str">
        <f t="shared" si="71"/>
        <v>No Gs</v>
      </c>
      <c r="H346" s="32" t="str">
        <f t="shared" si="62"/>
        <v>Gs is needed</v>
      </c>
      <c r="I346" s="32" t="str">
        <f t="shared" si="63"/>
        <v>Gs is needed</v>
      </c>
      <c r="J346" s="32" t="str">
        <f t="shared" si="64"/>
        <v>Gs is needed</v>
      </c>
      <c r="K346" s="32" t="str">
        <f t="shared" si="66"/>
        <v>Need Max and Min</v>
      </c>
      <c r="L346" s="32" t="str">
        <f t="shared" si="67"/>
        <v>Need Max and Min</v>
      </c>
      <c r="M346" s="32" t="str">
        <f t="shared" si="68"/>
        <v>Fail</v>
      </c>
      <c r="N346" s="32"/>
      <c r="O346" s="31">
        <f>'mnt Data'!A349</f>
        <v>0</v>
      </c>
      <c r="P346" s="31">
        <f>'mnt Data'!B349</f>
        <v>0</v>
      </c>
      <c r="Q346" s="31">
        <f>'mnt Data'!C349</f>
        <v>0</v>
      </c>
      <c r="R346" s="31">
        <f>'mnt Data'!D349</f>
        <v>0</v>
      </c>
      <c r="S346" s="31">
        <f>'mnt Data'!E349</f>
        <v>0</v>
      </c>
      <c r="T346" s="31">
        <f>'mnt Data'!F349</f>
        <v>0</v>
      </c>
      <c r="U346" s="31">
        <f>'mnt Data'!G349</f>
        <v>0</v>
      </c>
      <c r="V346" s="31">
        <f>'mnt Data'!H349</f>
        <v>0</v>
      </c>
      <c r="W346" s="31">
        <f>'mnt Data'!I349</f>
        <v>0</v>
      </c>
      <c r="X346" s="31">
        <f>'mnt Data'!J349</f>
        <v>0</v>
      </c>
      <c r="Y346" s="31">
        <f>'mnt Data'!K349</f>
        <v>0</v>
      </c>
      <c r="Z346" s="31">
        <f>'mnt Data'!L349</f>
        <v>0</v>
      </c>
      <c r="AA346" s="31">
        <f>'mnt Data'!M349</f>
        <v>0</v>
      </c>
      <c r="AB346" s="31">
        <f>'mnt Data'!N349</f>
        <v>0</v>
      </c>
      <c r="AC346" s="31">
        <f>'mnt Data'!O349</f>
        <v>0</v>
      </c>
      <c r="AD346" s="31">
        <f>'mnt Data'!P349</f>
        <v>0</v>
      </c>
      <c r="AE346" s="31">
        <f>'mnt Data'!Q349</f>
        <v>0</v>
      </c>
      <c r="AF346" s="31">
        <f>'mnt Data'!R349</f>
        <v>0</v>
      </c>
      <c r="AG346" s="31">
        <f>'mnt Data'!S349</f>
        <v>0</v>
      </c>
      <c r="AH346" s="31">
        <f>'mnt Data'!T349</f>
        <v>0</v>
      </c>
      <c r="AI346" s="31">
        <f>'mnt Data'!U349</f>
        <v>0</v>
      </c>
      <c r="AJ346" s="31">
        <f>'mnt Data'!V349</f>
        <v>0</v>
      </c>
      <c r="AK346" s="31">
        <f>'mnt Data'!W349</f>
        <v>0</v>
      </c>
      <c r="AL346" s="31">
        <f>'mnt Data'!X349</f>
        <v>0</v>
      </c>
      <c r="AM346" s="31">
        <f>'mnt Data'!Y349</f>
        <v>0</v>
      </c>
      <c r="AN346" s="31">
        <f>'mnt Data'!Z349</f>
        <v>0</v>
      </c>
      <c r="AO346" s="31">
        <f>'mnt Data'!AA349</f>
        <v>0</v>
      </c>
      <c r="AP346" s="31">
        <f>'mnt Data'!AB349</f>
        <v>0</v>
      </c>
      <c r="AQ346" s="31">
        <f>'mnt Data'!AC349</f>
        <v>0</v>
      </c>
      <c r="AR346" s="31">
        <f>'mnt Data'!AD349</f>
        <v>0</v>
      </c>
      <c r="AS346" s="31">
        <f>'mnt Data'!AE349</f>
        <v>0</v>
      </c>
      <c r="AT346" s="31">
        <f>'mnt Data'!AF349</f>
        <v>0</v>
      </c>
      <c r="AU346" s="31">
        <f>'mnt Data'!AG349</f>
        <v>0</v>
      </c>
      <c r="AV346" s="31">
        <f>'mnt Data'!AH349</f>
        <v>0</v>
      </c>
      <c r="AW346" s="31">
        <f>'mnt Data'!AI349</f>
        <v>0</v>
      </c>
      <c r="AX346" s="31">
        <f>'mnt Data'!AJ349</f>
        <v>0</v>
      </c>
      <c r="AY346" s="31">
        <f>'mnt Data'!AK349</f>
        <v>0</v>
      </c>
    </row>
    <row r="347" spans="1:51" x14ac:dyDescent="0.25">
      <c r="A347">
        <v>346</v>
      </c>
      <c r="B347" s="32">
        <f t="shared" si="60"/>
        <v>0</v>
      </c>
      <c r="C347" s="32">
        <f t="shared" si="61"/>
        <v>0</v>
      </c>
      <c r="D347" s="32" t="str">
        <f t="shared" si="65"/>
        <v>No Gs</v>
      </c>
      <c r="E347" s="32">
        <f t="shared" si="69"/>
        <v>0</v>
      </c>
      <c r="F347" s="32" t="str">
        <f t="shared" si="70"/>
        <v>No Gs</v>
      </c>
      <c r="G347" s="32" t="str">
        <f t="shared" si="71"/>
        <v>No Gs</v>
      </c>
      <c r="H347" s="32" t="str">
        <f t="shared" si="62"/>
        <v>Gs is needed</v>
      </c>
      <c r="I347" s="32" t="str">
        <f t="shared" si="63"/>
        <v>Gs is needed</v>
      </c>
      <c r="J347" s="32" t="str">
        <f t="shared" si="64"/>
        <v>Gs is needed</v>
      </c>
      <c r="K347" s="32" t="str">
        <f t="shared" si="66"/>
        <v>Need Max and Min</v>
      </c>
      <c r="L347" s="32" t="str">
        <f t="shared" si="67"/>
        <v>Need Max and Min</v>
      </c>
      <c r="M347" s="32" t="str">
        <f t="shared" si="68"/>
        <v>Fail</v>
      </c>
      <c r="N347" s="32"/>
      <c r="O347" s="31">
        <f>'mnt Data'!A350</f>
        <v>0</v>
      </c>
      <c r="P347" s="31">
        <f>'mnt Data'!B350</f>
        <v>0</v>
      </c>
      <c r="Q347" s="31">
        <f>'mnt Data'!C350</f>
        <v>0</v>
      </c>
      <c r="R347" s="31">
        <f>'mnt Data'!D350</f>
        <v>0</v>
      </c>
      <c r="S347" s="31">
        <f>'mnt Data'!E350</f>
        <v>0</v>
      </c>
      <c r="T347" s="31">
        <f>'mnt Data'!F350</f>
        <v>0</v>
      </c>
      <c r="U347" s="31">
        <f>'mnt Data'!G350</f>
        <v>0</v>
      </c>
      <c r="V347" s="31">
        <f>'mnt Data'!H350</f>
        <v>0</v>
      </c>
      <c r="W347" s="31">
        <f>'mnt Data'!I350</f>
        <v>0</v>
      </c>
      <c r="X347" s="31">
        <f>'mnt Data'!J350</f>
        <v>0</v>
      </c>
      <c r="Y347" s="31">
        <f>'mnt Data'!K350</f>
        <v>0</v>
      </c>
      <c r="Z347" s="31">
        <f>'mnt Data'!L350</f>
        <v>0</v>
      </c>
      <c r="AA347" s="31">
        <f>'mnt Data'!M350</f>
        <v>0</v>
      </c>
      <c r="AB347" s="31">
        <f>'mnt Data'!N350</f>
        <v>0</v>
      </c>
      <c r="AC347" s="31">
        <f>'mnt Data'!O350</f>
        <v>0</v>
      </c>
      <c r="AD347" s="31">
        <f>'mnt Data'!P350</f>
        <v>0</v>
      </c>
      <c r="AE347" s="31">
        <f>'mnt Data'!Q350</f>
        <v>0</v>
      </c>
      <c r="AF347" s="31">
        <f>'mnt Data'!R350</f>
        <v>0</v>
      </c>
      <c r="AG347" s="31">
        <f>'mnt Data'!S350</f>
        <v>0</v>
      </c>
      <c r="AH347" s="31">
        <f>'mnt Data'!T350</f>
        <v>0</v>
      </c>
      <c r="AI347" s="31">
        <f>'mnt Data'!U350</f>
        <v>0</v>
      </c>
      <c r="AJ347" s="31">
        <f>'mnt Data'!V350</f>
        <v>0</v>
      </c>
      <c r="AK347" s="31">
        <f>'mnt Data'!W350</f>
        <v>0</v>
      </c>
      <c r="AL347" s="31">
        <f>'mnt Data'!X350</f>
        <v>0</v>
      </c>
      <c r="AM347" s="31">
        <f>'mnt Data'!Y350</f>
        <v>0</v>
      </c>
      <c r="AN347" s="31">
        <f>'mnt Data'!Z350</f>
        <v>0</v>
      </c>
      <c r="AO347" s="31">
        <f>'mnt Data'!AA350</f>
        <v>0</v>
      </c>
      <c r="AP347" s="31">
        <f>'mnt Data'!AB350</f>
        <v>0</v>
      </c>
      <c r="AQ347" s="31">
        <f>'mnt Data'!AC350</f>
        <v>0</v>
      </c>
      <c r="AR347" s="31">
        <f>'mnt Data'!AD350</f>
        <v>0</v>
      </c>
      <c r="AS347" s="31">
        <f>'mnt Data'!AE350</f>
        <v>0</v>
      </c>
      <c r="AT347" s="31">
        <f>'mnt Data'!AF350</f>
        <v>0</v>
      </c>
      <c r="AU347" s="31">
        <f>'mnt Data'!AG350</f>
        <v>0</v>
      </c>
      <c r="AV347" s="31">
        <f>'mnt Data'!AH350</f>
        <v>0</v>
      </c>
      <c r="AW347" s="31">
        <f>'mnt Data'!AI350</f>
        <v>0</v>
      </c>
      <c r="AX347" s="31">
        <f>'mnt Data'!AJ350</f>
        <v>0</v>
      </c>
      <c r="AY347" s="31">
        <f>'mnt Data'!AK350</f>
        <v>0</v>
      </c>
    </row>
    <row r="348" spans="1:51" x14ac:dyDescent="0.25">
      <c r="A348">
        <v>347</v>
      </c>
      <c r="B348" s="32">
        <f t="shared" si="60"/>
        <v>0</v>
      </c>
      <c r="C348" s="32">
        <f t="shared" si="61"/>
        <v>0</v>
      </c>
      <c r="D348" s="32" t="str">
        <f t="shared" si="65"/>
        <v>No Gs</v>
      </c>
      <c r="E348" s="32">
        <f t="shared" si="69"/>
        <v>0</v>
      </c>
      <c r="F348" s="32" t="str">
        <f t="shared" si="70"/>
        <v>No Gs</v>
      </c>
      <c r="G348" s="32" t="str">
        <f t="shared" si="71"/>
        <v>No Gs</v>
      </c>
      <c r="H348" s="32" t="str">
        <f t="shared" si="62"/>
        <v>Gs is needed</v>
      </c>
      <c r="I348" s="32" t="str">
        <f t="shared" si="63"/>
        <v>Gs is needed</v>
      </c>
      <c r="J348" s="32" t="str">
        <f t="shared" si="64"/>
        <v>Gs is needed</v>
      </c>
      <c r="K348" s="32" t="str">
        <f t="shared" si="66"/>
        <v>Need Max and Min</v>
      </c>
      <c r="L348" s="32" t="str">
        <f t="shared" si="67"/>
        <v>Need Max and Min</v>
      </c>
      <c r="M348" s="32" t="str">
        <f t="shared" si="68"/>
        <v>Fail</v>
      </c>
      <c r="N348" s="32"/>
      <c r="O348" s="31">
        <f>'mnt Data'!A351</f>
        <v>0</v>
      </c>
      <c r="P348" s="31">
        <f>'mnt Data'!B351</f>
        <v>0</v>
      </c>
      <c r="Q348" s="31">
        <f>'mnt Data'!C351</f>
        <v>0</v>
      </c>
      <c r="R348" s="31">
        <f>'mnt Data'!D351</f>
        <v>0</v>
      </c>
      <c r="S348" s="31">
        <f>'mnt Data'!E351</f>
        <v>0</v>
      </c>
      <c r="T348" s="31">
        <f>'mnt Data'!F351</f>
        <v>0</v>
      </c>
      <c r="U348" s="31">
        <f>'mnt Data'!G351</f>
        <v>0</v>
      </c>
      <c r="V348" s="31">
        <f>'mnt Data'!H351</f>
        <v>0</v>
      </c>
      <c r="W348" s="31">
        <f>'mnt Data'!I351</f>
        <v>0</v>
      </c>
      <c r="X348" s="31">
        <f>'mnt Data'!J351</f>
        <v>0</v>
      </c>
      <c r="Y348" s="31">
        <f>'mnt Data'!K351</f>
        <v>0</v>
      </c>
      <c r="Z348" s="31">
        <f>'mnt Data'!L351</f>
        <v>0</v>
      </c>
      <c r="AA348" s="31">
        <f>'mnt Data'!M351</f>
        <v>0</v>
      </c>
      <c r="AB348" s="31">
        <f>'mnt Data'!N351</f>
        <v>0</v>
      </c>
      <c r="AC348" s="31">
        <f>'mnt Data'!O351</f>
        <v>0</v>
      </c>
      <c r="AD348" s="31">
        <f>'mnt Data'!P351</f>
        <v>0</v>
      </c>
      <c r="AE348" s="31">
        <f>'mnt Data'!Q351</f>
        <v>0</v>
      </c>
      <c r="AF348" s="31">
        <f>'mnt Data'!R351</f>
        <v>0</v>
      </c>
      <c r="AG348" s="31">
        <f>'mnt Data'!S351</f>
        <v>0</v>
      </c>
      <c r="AH348" s="31">
        <f>'mnt Data'!T351</f>
        <v>0</v>
      </c>
      <c r="AI348" s="31">
        <f>'mnt Data'!U351</f>
        <v>0</v>
      </c>
      <c r="AJ348" s="31">
        <f>'mnt Data'!V351</f>
        <v>0</v>
      </c>
      <c r="AK348" s="31">
        <f>'mnt Data'!W351</f>
        <v>0</v>
      </c>
      <c r="AL348" s="31">
        <f>'mnt Data'!X351</f>
        <v>0</v>
      </c>
      <c r="AM348" s="31">
        <f>'mnt Data'!Y351</f>
        <v>0</v>
      </c>
      <c r="AN348" s="31">
        <f>'mnt Data'!Z351</f>
        <v>0</v>
      </c>
      <c r="AO348" s="31">
        <f>'mnt Data'!AA351</f>
        <v>0</v>
      </c>
      <c r="AP348" s="31">
        <f>'mnt Data'!AB351</f>
        <v>0</v>
      </c>
      <c r="AQ348" s="31">
        <f>'mnt Data'!AC351</f>
        <v>0</v>
      </c>
      <c r="AR348" s="31">
        <f>'mnt Data'!AD351</f>
        <v>0</v>
      </c>
      <c r="AS348" s="31">
        <f>'mnt Data'!AE351</f>
        <v>0</v>
      </c>
      <c r="AT348" s="31">
        <f>'mnt Data'!AF351</f>
        <v>0</v>
      </c>
      <c r="AU348" s="31">
        <f>'mnt Data'!AG351</f>
        <v>0</v>
      </c>
      <c r="AV348" s="31">
        <f>'mnt Data'!AH351</f>
        <v>0</v>
      </c>
      <c r="AW348" s="31">
        <f>'mnt Data'!AI351</f>
        <v>0</v>
      </c>
      <c r="AX348" s="31">
        <f>'mnt Data'!AJ351</f>
        <v>0</v>
      </c>
      <c r="AY348" s="31">
        <f>'mnt Data'!AK351</f>
        <v>0</v>
      </c>
    </row>
    <row r="349" spans="1:51" x14ac:dyDescent="0.25">
      <c r="A349">
        <v>348</v>
      </c>
      <c r="B349" s="32">
        <f t="shared" si="60"/>
        <v>0</v>
      </c>
      <c r="C349" s="32">
        <f t="shared" si="61"/>
        <v>0</v>
      </c>
      <c r="D349" s="32" t="str">
        <f t="shared" si="65"/>
        <v>No Gs</v>
      </c>
      <c r="E349" s="32">
        <f t="shared" si="69"/>
        <v>0</v>
      </c>
      <c r="F349" s="32" t="str">
        <f t="shared" si="70"/>
        <v>No Gs</v>
      </c>
      <c r="G349" s="32" t="str">
        <f t="shared" si="71"/>
        <v>No Gs</v>
      </c>
      <c r="H349" s="32" t="str">
        <f t="shared" si="62"/>
        <v>Gs is needed</v>
      </c>
      <c r="I349" s="32" t="str">
        <f t="shared" si="63"/>
        <v>Gs is needed</v>
      </c>
      <c r="J349" s="32" t="str">
        <f t="shared" si="64"/>
        <v>Gs is needed</v>
      </c>
      <c r="K349" s="32" t="str">
        <f t="shared" si="66"/>
        <v>Need Max and Min</v>
      </c>
      <c r="L349" s="32" t="str">
        <f t="shared" si="67"/>
        <v>Need Max and Min</v>
      </c>
      <c r="M349" s="32" t="str">
        <f t="shared" si="68"/>
        <v>Fail</v>
      </c>
      <c r="N349" s="32"/>
      <c r="O349" s="31">
        <f>'mnt Data'!A352</f>
        <v>0</v>
      </c>
      <c r="P349" s="31">
        <f>'mnt Data'!B352</f>
        <v>0</v>
      </c>
      <c r="Q349" s="31">
        <f>'mnt Data'!C352</f>
        <v>0</v>
      </c>
      <c r="R349" s="31">
        <f>'mnt Data'!D352</f>
        <v>0</v>
      </c>
      <c r="S349" s="31">
        <f>'mnt Data'!E352</f>
        <v>0</v>
      </c>
      <c r="T349" s="31">
        <f>'mnt Data'!F352</f>
        <v>0</v>
      </c>
      <c r="U349" s="31">
        <f>'mnt Data'!G352</f>
        <v>0</v>
      </c>
      <c r="V349" s="31">
        <f>'mnt Data'!H352</f>
        <v>0</v>
      </c>
      <c r="W349" s="31">
        <f>'mnt Data'!I352</f>
        <v>0</v>
      </c>
      <c r="X349" s="31">
        <f>'mnt Data'!J352</f>
        <v>0</v>
      </c>
      <c r="Y349" s="31">
        <f>'mnt Data'!K352</f>
        <v>0</v>
      </c>
      <c r="Z349" s="31">
        <f>'mnt Data'!L352</f>
        <v>0</v>
      </c>
      <c r="AA349" s="31">
        <f>'mnt Data'!M352</f>
        <v>0</v>
      </c>
      <c r="AB349" s="31">
        <f>'mnt Data'!N352</f>
        <v>0</v>
      </c>
      <c r="AC349" s="31">
        <f>'mnt Data'!O352</f>
        <v>0</v>
      </c>
      <c r="AD349" s="31">
        <f>'mnt Data'!P352</f>
        <v>0</v>
      </c>
      <c r="AE349" s="31">
        <f>'mnt Data'!Q352</f>
        <v>0</v>
      </c>
      <c r="AF349" s="31">
        <f>'mnt Data'!R352</f>
        <v>0</v>
      </c>
      <c r="AG349" s="31">
        <f>'mnt Data'!S352</f>
        <v>0</v>
      </c>
      <c r="AH349" s="31">
        <f>'mnt Data'!T352</f>
        <v>0</v>
      </c>
      <c r="AI349" s="31">
        <f>'mnt Data'!U352</f>
        <v>0</v>
      </c>
      <c r="AJ349" s="31">
        <f>'mnt Data'!V352</f>
        <v>0</v>
      </c>
      <c r="AK349" s="31">
        <f>'mnt Data'!W352</f>
        <v>0</v>
      </c>
      <c r="AL349" s="31">
        <f>'mnt Data'!X352</f>
        <v>0</v>
      </c>
      <c r="AM349" s="31">
        <f>'mnt Data'!Y352</f>
        <v>0</v>
      </c>
      <c r="AN349" s="31">
        <f>'mnt Data'!Z352</f>
        <v>0</v>
      </c>
      <c r="AO349" s="31">
        <f>'mnt Data'!AA352</f>
        <v>0</v>
      </c>
      <c r="AP349" s="31">
        <f>'mnt Data'!AB352</f>
        <v>0</v>
      </c>
      <c r="AQ349" s="31">
        <f>'mnt Data'!AC352</f>
        <v>0</v>
      </c>
      <c r="AR349" s="31">
        <f>'mnt Data'!AD352</f>
        <v>0</v>
      </c>
      <c r="AS349" s="31">
        <f>'mnt Data'!AE352</f>
        <v>0</v>
      </c>
      <c r="AT349" s="31">
        <f>'mnt Data'!AF352</f>
        <v>0</v>
      </c>
      <c r="AU349" s="31">
        <f>'mnt Data'!AG352</f>
        <v>0</v>
      </c>
      <c r="AV349" s="31">
        <f>'mnt Data'!AH352</f>
        <v>0</v>
      </c>
      <c r="AW349" s="31">
        <f>'mnt Data'!AI352</f>
        <v>0</v>
      </c>
      <c r="AX349" s="31">
        <f>'mnt Data'!AJ352</f>
        <v>0</v>
      </c>
      <c r="AY349" s="31">
        <f>'mnt Data'!AK352</f>
        <v>0</v>
      </c>
    </row>
    <row r="350" spans="1:51" x14ac:dyDescent="0.25">
      <c r="A350">
        <v>349</v>
      </c>
      <c r="B350" s="32">
        <f t="shared" si="60"/>
        <v>0</v>
      </c>
      <c r="C350" s="32">
        <f t="shared" si="61"/>
        <v>0</v>
      </c>
      <c r="D350" s="32" t="str">
        <f t="shared" si="65"/>
        <v>No Gs</v>
      </c>
      <c r="E350" s="32">
        <f t="shared" si="69"/>
        <v>0</v>
      </c>
      <c r="F350" s="32" t="str">
        <f t="shared" si="70"/>
        <v>No Gs</v>
      </c>
      <c r="G350" s="32" t="str">
        <f t="shared" si="71"/>
        <v>No Gs</v>
      </c>
      <c r="H350" s="32" t="str">
        <f t="shared" si="62"/>
        <v>Gs is needed</v>
      </c>
      <c r="I350" s="32" t="str">
        <f t="shared" si="63"/>
        <v>Gs is needed</v>
      </c>
      <c r="J350" s="32" t="str">
        <f t="shared" si="64"/>
        <v>Gs is needed</v>
      </c>
      <c r="K350" s="32" t="str">
        <f t="shared" si="66"/>
        <v>Need Max and Min</v>
      </c>
      <c r="L350" s="32" t="str">
        <f t="shared" si="67"/>
        <v>Need Max and Min</v>
      </c>
      <c r="M350" s="32" t="str">
        <f t="shared" si="68"/>
        <v>Fail</v>
      </c>
      <c r="N350" s="32"/>
      <c r="O350" s="31">
        <f>'mnt Data'!A353</f>
        <v>0</v>
      </c>
      <c r="P350" s="31">
        <f>'mnt Data'!B353</f>
        <v>0</v>
      </c>
      <c r="Q350" s="31">
        <f>'mnt Data'!C353</f>
        <v>0</v>
      </c>
      <c r="R350" s="31">
        <f>'mnt Data'!D353</f>
        <v>0</v>
      </c>
      <c r="S350" s="31">
        <f>'mnt Data'!E353</f>
        <v>0</v>
      </c>
      <c r="T350" s="31">
        <f>'mnt Data'!F353</f>
        <v>0</v>
      </c>
      <c r="U350" s="31">
        <f>'mnt Data'!G353</f>
        <v>0</v>
      </c>
      <c r="V350" s="31">
        <f>'mnt Data'!H353</f>
        <v>0</v>
      </c>
      <c r="W350" s="31">
        <f>'mnt Data'!I353</f>
        <v>0</v>
      </c>
      <c r="X350" s="31">
        <f>'mnt Data'!J353</f>
        <v>0</v>
      </c>
      <c r="Y350" s="31">
        <f>'mnt Data'!K353</f>
        <v>0</v>
      </c>
      <c r="Z350" s="31">
        <f>'mnt Data'!L353</f>
        <v>0</v>
      </c>
      <c r="AA350" s="31">
        <f>'mnt Data'!M353</f>
        <v>0</v>
      </c>
      <c r="AB350" s="31">
        <f>'mnt Data'!N353</f>
        <v>0</v>
      </c>
      <c r="AC350" s="31">
        <f>'mnt Data'!O353</f>
        <v>0</v>
      </c>
      <c r="AD350" s="31">
        <f>'mnt Data'!P353</f>
        <v>0</v>
      </c>
      <c r="AE350" s="31">
        <f>'mnt Data'!Q353</f>
        <v>0</v>
      </c>
      <c r="AF350" s="31">
        <f>'mnt Data'!R353</f>
        <v>0</v>
      </c>
      <c r="AG350" s="31">
        <f>'mnt Data'!S353</f>
        <v>0</v>
      </c>
      <c r="AH350" s="31">
        <f>'mnt Data'!T353</f>
        <v>0</v>
      </c>
      <c r="AI350" s="31">
        <f>'mnt Data'!U353</f>
        <v>0</v>
      </c>
      <c r="AJ350" s="31">
        <f>'mnt Data'!V353</f>
        <v>0</v>
      </c>
      <c r="AK350" s="31">
        <f>'mnt Data'!W353</f>
        <v>0</v>
      </c>
      <c r="AL350" s="31">
        <f>'mnt Data'!X353</f>
        <v>0</v>
      </c>
      <c r="AM350" s="31">
        <f>'mnt Data'!Y353</f>
        <v>0</v>
      </c>
      <c r="AN350" s="31">
        <f>'mnt Data'!Z353</f>
        <v>0</v>
      </c>
      <c r="AO350" s="31">
        <f>'mnt Data'!AA353</f>
        <v>0</v>
      </c>
      <c r="AP350" s="31">
        <f>'mnt Data'!AB353</f>
        <v>0</v>
      </c>
      <c r="AQ350" s="31">
        <f>'mnt Data'!AC353</f>
        <v>0</v>
      </c>
      <c r="AR350" s="31">
        <f>'mnt Data'!AD353</f>
        <v>0</v>
      </c>
      <c r="AS350" s="31">
        <f>'mnt Data'!AE353</f>
        <v>0</v>
      </c>
      <c r="AT350" s="31">
        <f>'mnt Data'!AF353</f>
        <v>0</v>
      </c>
      <c r="AU350" s="31">
        <f>'mnt Data'!AG353</f>
        <v>0</v>
      </c>
      <c r="AV350" s="31">
        <f>'mnt Data'!AH353</f>
        <v>0</v>
      </c>
      <c r="AW350" s="31">
        <f>'mnt Data'!AI353</f>
        <v>0</v>
      </c>
      <c r="AX350" s="31">
        <f>'mnt Data'!AJ353</f>
        <v>0</v>
      </c>
      <c r="AY350" s="31">
        <f>'mnt Data'!AK353</f>
        <v>0</v>
      </c>
    </row>
    <row r="351" spans="1:51" x14ac:dyDescent="0.25">
      <c r="A351">
        <v>350</v>
      </c>
      <c r="B351" s="32">
        <f t="shared" si="60"/>
        <v>0</v>
      </c>
      <c r="C351" s="32">
        <f t="shared" si="61"/>
        <v>0</v>
      </c>
      <c r="D351" s="32" t="str">
        <f t="shared" si="65"/>
        <v>No Gs</v>
      </c>
      <c r="E351" s="32">
        <f t="shared" si="69"/>
        <v>0</v>
      </c>
      <c r="F351" s="32" t="str">
        <f t="shared" si="70"/>
        <v>No Gs</v>
      </c>
      <c r="G351" s="32" t="str">
        <f t="shared" si="71"/>
        <v>No Gs</v>
      </c>
      <c r="H351" s="32" t="str">
        <f t="shared" si="62"/>
        <v>Gs is needed</v>
      </c>
      <c r="I351" s="32" t="str">
        <f t="shared" si="63"/>
        <v>Gs is needed</v>
      </c>
      <c r="J351" s="32" t="str">
        <f t="shared" si="64"/>
        <v>Gs is needed</v>
      </c>
      <c r="K351" s="32" t="str">
        <f t="shared" si="66"/>
        <v>Need Max and Min</v>
      </c>
      <c r="L351" s="32" t="str">
        <f t="shared" si="67"/>
        <v>Need Max and Min</v>
      </c>
      <c r="M351" s="32" t="str">
        <f t="shared" si="68"/>
        <v>Fail</v>
      </c>
      <c r="N351" s="32"/>
      <c r="O351" s="31">
        <f>'mnt Data'!A354</f>
        <v>0</v>
      </c>
      <c r="P351" s="31">
        <f>'mnt Data'!B354</f>
        <v>0</v>
      </c>
      <c r="Q351" s="31">
        <f>'mnt Data'!C354</f>
        <v>0</v>
      </c>
      <c r="R351" s="31">
        <f>'mnt Data'!D354</f>
        <v>0</v>
      </c>
      <c r="S351" s="31">
        <f>'mnt Data'!E354</f>
        <v>0</v>
      </c>
      <c r="T351" s="31">
        <f>'mnt Data'!F354</f>
        <v>0</v>
      </c>
      <c r="U351" s="31">
        <f>'mnt Data'!G354</f>
        <v>0</v>
      </c>
      <c r="V351" s="31">
        <f>'mnt Data'!H354</f>
        <v>0</v>
      </c>
      <c r="W351" s="31">
        <f>'mnt Data'!I354</f>
        <v>0</v>
      </c>
      <c r="X351" s="31">
        <f>'mnt Data'!J354</f>
        <v>0</v>
      </c>
      <c r="Y351" s="31">
        <f>'mnt Data'!K354</f>
        <v>0</v>
      </c>
      <c r="Z351" s="31">
        <f>'mnt Data'!L354</f>
        <v>0</v>
      </c>
      <c r="AA351" s="31">
        <f>'mnt Data'!M354</f>
        <v>0</v>
      </c>
      <c r="AB351" s="31">
        <f>'mnt Data'!N354</f>
        <v>0</v>
      </c>
      <c r="AC351" s="31">
        <f>'mnt Data'!O354</f>
        <v>0</v>
      </c>
      <c r="AD351" s="31">
        <f>'mnt Data'!P354</f>
        <v>0</v>
      </c>
      <c r="AE351" s="31">
        <f>'mnt Data'!Q354</f>
        <v>0</v>
      </c>
      <c r="AF351" s="31">
        <f>'mnt Data'!R354</f>
        <v>0</v>
      </c>
      <c r="AG351" s="31">
        <f>'mnt Data'!S354</f>
        <v>0</v>
      </c>
      <c r="AH351" s="31">
        <f>'mnt Data'!T354</f>
        <v>0</v>
      </c>
      <c r="AI351" s="31">
        <f>'mnt Data'!U354</f>
        <v>0</v>
      </c>
      <c r="AJ351" s="31">
        <f>'mnt Data'!V354</f>
        <v>0</v>
      </c>
      <c r="AK351" s="31">
        <f>'mnt Data'!W354</f>
        <v>0</v>
      </c>
      <c r="AL351" s="31">
        <f>'mnt Data'!X354</f>
        <v>0</v>
      </c>
      <c r="AM351" s="31">
        <f>'mnt Data'!Y354</f>
        <v>0</v>
      </c>
      <c r="AN351" s="31">
        <f>'mnt Data'!Z354</f>
        <v>0</v>
      </c>
      <c r="AO351" s="31">
        <f>'mnt Data'!AA354</f>
        <v>0</v>
      </c>
      <c r="AP351" s="31">
        <f>'mnt Data'!AB354</f>
        <v>0</v>
      </c>
      <c r="AQ351" s="31">
        <f>'mnt Data'!AC354</f>
        <v>0</v>
      </c>
      <c r="AR351" s="31">
        <f>'mnt Data'!AD354</f>
        <v>0</v>
      </c>
      <c r="AS351" s="31">
        <f>'mnt Data'!AE354</f>
        <v>0</v>
      </c>
      <c r="AT351" s="31">
        <f>'mnt Data'!AF354</f>
        <v>0</v>
      </c>
      <c r="AU351" s="31">
        <f>'mnt Data'!AG354</f>
        <v>0</v>
      </c>
      <c r="AV351" s="31">
        <f>'mnt Data'!AH354</f>
        <v>0</v>
      </c>
      <c r="AW351" s="31">
        <f>'mnt Data'!AI354</f>
        <v>0</v>
      </c>
      <c r="AX351" s="31">
        <f>'mnt Data'!AJ354</f>
        <v>0</v>
      </c>
      <c r="AY351" s="31">
        <f>'mnt Data'!AK354</f>
        <v>0</v>
      </c>
    </row>
    <row r="352" spans="1:51" x14ac:dyDescent="0.25">
      <c r="A352">
        <v>351</v>
      </c>
      <c r="B352" s="32">
        <f t="shared" si="60"/>
        <v>0</v>
      </c>
      <c r="C352" s="32">
        <f t="shared" si="61"/>
        <v>0</v>
      </c>
      <c r="D352" s="32" t="str">
        <f t="shared" si="65"/>
        <v>No Gs</v>
      </c>
      <c r="E352" s="32">
        <f t="shared" si="69"/>
        <v>0</v>
      </c>
      <c r="F352" s="32" t="str">
        <f t="shared" si="70"/>
        <v>No Gs</v>
      </c>
      <c r="G352" s="32" t="str">
        <f t="shared" si="71"/>
        <v>No Gs</v>
      </c>
      <c r="H352" s="32" t="str">
        <f t="shared" si="62"/>
        <v>Gs is needed</v>
      </c>
      <c r="I352" s="32" t="str">
        <f t="shared" si="63"/>
        <v>Gs is needed</v>
      </c>
      <c r="J352" s="32" t="str">
        <f t="shared" si="64"/>
        <v>Gs is needed</v>
      </c>
      <c r="K352" s="32" t="str">
        <f t="shared" si="66"/>
        <v>Need Max and Min</v>
      </c>
      <c r="L352" s="32" t="str">
        <f t="shared" si="67"/>
        <v>Need Max and Min</v>
      </c>
      <c r="M352" s="32" t="str">
        <f t="shared" si="68"/>
        <v>Fail</v>
      </c>
      <c r="N352" s="32"/>
      <c r="O352" s="31">
        <f>'mnt Data'!A355</f>
        <v>0</v>
      </c>
      <c r="P352" s="31">
        <f>'mnt Data'!B355</f>
        <v>0</v>
      </c>
      <c r="Q352" s="31">
        <f>'mnt Data'!C355</f>
        <v>0</v>
      </c>
      <c r="R352" s="31">
        <f>'mnt Data'!D355</f>
        <v>0</v>
      </c>
      <c r="S352" s="31">
        <f>'mnt Data'!E355</f>
        <v>0</v>
      </c>
      <c r="T352" s="31">
        <f>'mnt Data'!F355</f>
        <v>0</v>
      </c>
      <c r="U352" s="31">
        <f>'mnt Data'!G355</f>
        <v>0</v>
      </c>
      <c r="V352" s="31">
        <f>'mnt Data'!H355</f>
        <v>0</v>
      </c>
      <c r="W352" s="31">
        <f>'mnt Data'!I355</f>
        <v>0</v>
      </c>
      <c r="X352" s="31">
        <f>'mnt Data'!J355</f>
        <v>0</v>
      </c>
      <c r="Y352" s="31">
        <f>'mnt Data'!K355</f>
        <v>0</v>
      </c>
      <c r="Z352" s="31">
        <f>'mnt Data'!L355</f>
        <v>0</v>
      </c>
      <c r="AA352" s="31">
        <f>'mnt Data'!M355</f>
        <v>0</v>
      </c>
      <c r="AB352" s="31">
        <f>'mnt Data'!N355</f>
        <v>0</v>
      </c>
      <c r="AC352" s="31">
        <f>'mnt Data'!O355</f>
        <v>0</v>
      </c>
      <c r="AD352" s="31">
        <f>'mnt Data'!P355</f>
        <v>0</v>
      </c>
      <c r="AE352" s="31">
        <f>'mnt Data'!Q355</f>
        <v>0</v>
      </c>
      <c r="AF352" s="31">
        <f>'mnt Data'!R355</f>
        <v>0</v>
      </c>
      <c r="AG352" s="31">
        <f>'mnt Data'!S355</f>
        <v>0</v>
      </c>
      <c r="AH352" s="31">
        <f>'mnt Data'!T355</f>
        <v>0</v>
      </c>
      <c r="AI352" s="31">
        <f>'mnt Data'!U355</f>
        <v>0</v>
      </c>
      <c r="AJ352" s="31">
        <f>'mnt Data'!V355</f>
        <v>0</v>
      </c>
      <c r="AK352" s="31">
        <f>'mnt Data'!W355</f>
        <v>0</v>
      </c>
      <c r="AL352" s="31">
        <f>'mnt Data'!X355</f>
        <v>0</v>
      </c>
      <c r="AM352" s="31">
        <f>'mnt Data'!Y355</f>
        <v>0</v>
      </c>
      <c r="AN352" s="31">
        <f>'mnt Data'!Z355</f>
        <v>0</v>
      </c>
      <c r="AO352" s="31">
        <f>'mnt Data'!AA355</f>
        <v>0</v>
      </c>
      <c r="AP352" s="31">
        <f>'mnt Data'!AB355</f>
        <v>0</v>
      </c>
      <c r="AQ352" s="31">
        <f>'mnt Data'!AC355</f>
        <v>0</v>
      </c>
      <c r="AR352" s="31">
        <f>'mnt Data'!AD355</f>
        <v>0</v>
      </c>
      <c r="AS352" s="31">
        <f>'mnt Data'!AE355</f>
        <v>0</v>
      </c>
      <c r="AT352" s="31">
        <f>'mnt Data'!AF355</f>
        <v>0</v>
      </c>
      <c r="AU352" s="31">
        <f>'mnt Data'!AG355</f>
        <v>0</v>
      </c>
      <c r="AV352" s="31">
        <f>'mnt Data'!AH355</f>
        <v>0</v>
      </c>
      <c r="AW352" s="31">
        <f>'mnt Data'!AI355</f>
        <v>0</v>
      </c>
      <c r="AX352" s="31">
        <f>'mnt Data'!AJ355</f>
        <v>0</v>
      </c>
      <c r="AY352" s="31">
        <f>'mnt Data'!AK355</f>
        <v>0</v>
      </c>
    </row>
    <row r="353" spans="1:51" x14ac:dyDescent="0.25">
      <c r="A353">
        <v>352</v>
      </c>
      <c r="B353" s="32">
        <f t="shared" si="60"/>
        <v>0</v>
      </c>
      <c r="C353" s="32">
        <f t="shared" si="61"/>
        <v>0</v>
      </c>
      <c r="D353" s="32" t="str">
        <f t="shared" si="65"/>
        <v>No Gs</v>
      </c>
      <c r="E353" s="32">
        <f t="shared" si="69"/>
        <v>0</v>
      </c>
      <c r="F353" s="32" t="str">
        <f t="shared" si="70"/>
        <v>No Gs</v>
      </c>
      <c r="G353" s="32" t="str">
        <f t="shared" si="71"/>
        <v>No Gs</v>
      </c>
      <c r="H353" s="32" t="str">
        <f t="shared" si="62"/>
        <v>Gs is needed</v>
      </c>
      <c r="I353" s="32" t="str">
        <f t="shared" si="63"/>
        <v>Gs is needed</v>
      </c>
      <c r="J353" s="32" t="str">
        <f t="shared" si="64"/>
        <v>Gs is needed</v>
      </c>
      <c r="K353" s="32" t="str">
        <f t="shared" si="66"/>
        <v>Need Max and Min</v>
      </c>
      <c r="L353" s="32" t="str">
        <f t="shared" si="67"/>
        <v>Need Max and Min</v>
      </c>
      <c r="M353" s="32" t="str">
        <f t="shared" si="68"/>
        <v>Fail</v>
      </c>
      <c r="N353" s="32"/>
      <c r="O353" s="31">
        <f>'mnt Data'!A356</f>
        <v>0</v>
      </c>
      <c r="P353" s="31">
        <f>'mnt Data'!B356</f>
        <v>0</v>
      </c>
      <c r="Q353" s="31">
        <f>'mnt Data'!C356</f>
        <v>0</v>
      </c>
      <c r="R353" s="31">
        <f>'mnt Data'!D356</f>
        <v>0</v>
      </c>
      <c r="S353" s="31">
        <f>'mnt Data'!E356</f>
        <v>0</v>
      </c>
      <c r="T353" s="31">
        <f>'mnt Data'!F356</f>
        <v>0</v>
      </c>
      <c r="U353" s="31">
        <f>'mnt Data'!G356</f>
        <v>0</v>
      </c>
      <c r="V353" s="31">
        <f>'mnt Data'!H356</f>
        <v>0</v>
      </c>
      <c r="W353" s="31">
        <f>'mnt Data'!I356</f>
        <v>0</v>
      </c>
      <c r="X353" s="31">
        <f>'mnt Data'!J356</f>
        <v>0</v>
      </c>
      <c r="Y353" s="31">
        <f>'mnt Data'!K356</f>
        <v>0</v>
      </c>
      <c r="Z353" s="31">
        <f>'mnt Data'!L356</f>
        <v>0</v>
      </c>
      <c r="AA353" s="31">
        <f>'mnt Data'!M356</f>
        <v>0</v>
      </c>
      <c r="AB353" s="31">
        <f>'mnt Data'!N356</f>
        <v>0</v>
      </c>
      <c r="AC353" s="31">
        <f>'mnt Data'!O356</f>
        <v>0</v>
      </c>
      <c r="AD353" s="31">
        <f>'mnt Data'!P356</f>
        <v>0</v>
      </c>
      <c r="AE353" s="31">
        <f>'mnt Data'!Q356</f>
        <v>0</v>
      </c>
      <c r="AF353" s="31">
        <f>'mnt Data'!R356</f>
        <v>0</v>
      </c>
      <c r="AG353" s="31">
        <f>'mnt Data'!S356</f>
        <v>0</v>
      </c>
      <c r="AH353" s="31">
        <f>'mnt Data'!T356</f>
        <v>0</v>
      </c>
      <c r="AI353" s="31">
        <f>'mnt Data'!U356</f>
        <v>0</v>
      </c>
      <c r="AJ353" s="31">
        <f>'mnt Data'!V356</f>
        <v>0</v>
      </c>
      <c r="AK353" s="31">
        <f>'mnt Data'!W356</f>
        <v>0</v>
      </c>
      <c r="AL353" s="31">
        <f>'mnt Data'!X356</f>
        <v>0</v>
      </c>
      <c r="AM353" s="31">
        <f>'mnt Data'!Y356</f>
        <v>0</v>
      </c>
      <c r="AN353" s="31">
        <f>'mnt Data'!Z356</f>
        <v>0</v>
      </c>
      <c r="AO353" s="31">
        <f>'mnt Data'!AA356</f>
        <v>0</v>
      </c>
      <c r="AP353" s="31">
        <f>'mnt Data'!AB356</f>
        <v>0</v>
      </c>
      <c r="AQ353" s="31">
        <f>'mnt Data'!AC356</f>
        <v>0</v>
      </c>
      <c r="AR353" s="31">
        <f>'mnt Data'!AD356</f>
        <v>0</v>
      </c>
      <c r="AS353" s="31">
        <f>'mnt Data'!AE356</f>
        <v>0</v>
      </c>
      <c r="AT353" s="31">
        <f>'mnt Data'!AF356</f>
        <v>0</v>
      </c>
      <c r="AU353" s="31">
        <f>'mnt Data'!AG356</f>
        <v>0</v>
      </c>
      <c r="AV353" s="31">
        <f>'mnt Data'!AH356</f>
        <v>0</v>
      </c>
      <c r="AW353" s="31">
        <f>'mnt Data'!AI356</f>
        <v>0</v>
      </c>
      <c r="AX353" s="31">
        <f>'mnt Data'!AJ356</f>
        <v>0</v>
      </c>
      <c r="AY353" s="31">
        <f>'mnt Data'!AK356</f>
        <v>0</v>
      </c>
    </row>
    <row r="354" spans="1:51" x14ac:dyDescent="0.25">
      <c r="A354">
        <v>353</v>
      </c>
      <c r="B354" s="32">
        <f t="shared" si="60"/>
        <v>0</v>
      </c>
      <c r="C354" s="32">
        <f t="shared" si="61"/>
        <v>0</v>
      </c>
      <c r="D354" s="32" t="str">
        <f t="shared" si="65"/>
        <v>No Gs</v>
      </c>
      <c r="E354" s="32">
        <f t="shared" si="69"/>
        <v>0</v>
      </c>
      <c r="F354" s="32" t="str">
        <f t="shared" si="70"/>
        <v>No Gs</v>
      </c>
      <c r="G354" s="32" t="str">
        <f t="shared" si="71"/>
        <v>No Gs</v>
      </c>
      <c r="H354" s="32" t="str">
        <f t="shared" si="62"/>
        <v>Gs is needed</v>
      </c>
      <c r="I354" s="32" t="str">
        <f t="shared" si="63"/>
        <v>Gs is needed</v>
      </c>
      <c r="J354" s="32" t="str">
        <f t="shared" si="64"/>
        <v>Gs is needed</v>
      </c>
      <c r="K354" s="32" t="str">
        <f t="shared" si="66"/>
        <v>Need Max and Min</v>
      </c>
      <c r="L354" s="32" t="str">
        <f t="shared" si="67"/>
        <v>Need Max and Min</v>
      </c>
      <c r="M354" s="32" t="str">
        <f t="shared" si="68"/>
        <v>Fail</v>
      </c>
      <c r="N354" s="32"/>
      <c r="O354" s="31">
        <f>'mnt Data'!A357</f>
        <v>0</v>
      </c>
      <c r="P354" s="31">
        <f>'mnt Data'!B357</f>
        <v>0</v>
      </c>
      <c r="Q354" s="31">
        <f>'mnt Data'!C357</f>
        <v>0</v>
      </c>
      <c r="R354" s="31">
        <f>'mnt Data'!D357</f>
        <v>0</v>
      </c>
      <c r="S354" s="31">
        <f>'mnt Data'!E357</f>
        <v>0</v>
      </c>
      <c r="T354" s="31">
        <f>'mnt Data'!F357</f>
        <v>0</v>
      </c>
      <c r="U354" s="31">
        <f>'mnt Data'!G357</f>
        <v>0</v>
      </c>
      <c r="V354" s="31">
        <f>'mnt Data'!H357</f>
        <v>0</v>
      </c>
      <c r="W354" s="31">
        <f>'mnt Data'!I357</f>
        <v>0</v>
      </c>
      <c r="X354" s="31">
        <f>'mnt Data'!J357</f>
        <v>0</v>
      </c>
      <c r="Y354" s="31">
        <f>'mnt Data'!K357</f>
        <v>0</v>
      </c>
      <c r="Z354" s="31">
        <f>'mnt Data'!L357</f>
        <v>0</v>
      </c>
      <c r="AA354" s="31">
        <f>'mnt Data'!M357</f>
        <v>0</v>
      </c>
      <c r="AB354" s="31">
        <f>'mnt Data'!N357</f>
        <v>0</v>
      </c>
      <c r="AC354" s="31">
        <f>'mnt Data'!O357</f>
        <v>0</v>
      </c>
      <c r="AD354" s="31">
        <f>'mnt Data'!P357</f>
        <v>0</v>
      </c>
      <c r="AE354" s="31">
        <f>'mnt Data'!Q357</f>
        <v>0</v>
      </c>
      <c r="AF354" s="31">
        <f>'mnt Data'!R357</f>
        <v>0</v>
      </c>
      <c r="AG354" s="31">
        <f>'mnt Data'!S357</f>
        <v>0</v>
      </c>
      <c r="AH354" s="31">
        <f>'mnt Data'!T357</f>
        <v>0</v>
      </c>
      <c r="AI354" s="31">
        <f>'mnt Data'!U357</f>
        <v>0</v>
      </c>
      <c r="AJ354" s="31">
        <f>'mnt Data'!V357</f>
        <v>0</v>
      </c>
      <c r="AK354" s="31">
        <f>'mnt Data'!W357</f>
        <v>0</v>
      </c>
      <c r="AL354" s="31">
        <f>'mnt Data'!X357</f>
        <v>0</v>
      </c>
      <c r="AM354" s="31">
        <f>'mnt Data'!Y357</f>
        <v>0</v>
      </c>
      <c r="AN354" s="31">
        <f>'mnt Data'!Z357</f>
        <v>0</v>
      </c>
      <c r="AO354" s="31">
        <f>'mnt Data'!AA357</f>
        <v>0</v>
      </c>
      <c r="AP354" s="31">
        <f>'mnt Data'!AB357</f>
        <v>0</v>
      </c>
      <c r="AQ354" s="31">
        <f>'mnt Data'!AC357</f>
        <v>0</v>
      </c>
      <c r="AR354" s="31">
        <f>'mnt Data'!AD357</f>
        <v>0</v>
      </c>
      <c r="AS354" s="31">
        <f>'mnt Data'!AE357</f>
        <v>0</v>
      </c>
      <c r="AT354" s="31">
        <f>'mnt Data'!AF357</f>
        <v>0</v>
      </c>
      <c r="AU354" s="31">
        <f>'mnt Data'!AG357</f>
        <v>0</v>
      </c>
      <c r="AV354" s="31">
        <f>'mnt Data'!AH357</f>
        <v>0</v>
      </c>
      <c r="AW354" s="31">
        <f>'mnt Data'!AI357</f>
        <v>0</v>
      </c>
      <c r="AX354" s="31">
        <f>'mnt Data'!AJ357</f>
        <v>0</v>
      </c>
      <c r="AY354" s="31">
        <f>'mnt Data'!AK357</f>
        <v>0</v>
      </c>
    </row>
    <row r="355" spans="1:51" x14ac:dyDescent="0.25">
      <c r="A355">
        <v>354</v>
      </c>
      <c r="B355" s="32">
        <f t="shared" si="60"/>
        <v>0</v>
      </c>
      <c r="C355" s="32">
        <f t="shared" si="61"/>
        <v>0</v>
      </c>
      <c r="D355" s="32" t="str">
        <f t="shared" si="65"/>
        <v>No Gs</v>
      </c>
      <c r="E355" s="32">
        <f t="shared" si="69"/>
        <v>0</v>
      </c>
      <c r="F355" s="32" t="str">
        <f t="shared" si="70"/>
        <v>No Gs</v>
      </c>
      <c r="G355" s="32" t="str">
        <f t="shared" si="71"/>
        <v>No Gs</v>
      </c>
      <c r="H355" s="32" t="str">
        <f t="shared" si="62"/>
        <v>Gs is needed</v>
      </c>
      <c r="I355" s="32" t="str">
        <f t="shared" si="63"/>
        <v>Gs is needed</v>
      </c>
      <c r="J355" s="32" t="str">
        <f t="shared" si="64"/>
        <v>Gs is needed</v>
      </c>
      <c r="K355" s="32" t="str">
        <f t="shared" si="66"/>
        <v>Need Max and Min</v>
      </c>
      <c r="L355" s="32" t="str">
        <f t="shared" si="67"/>
        <v>Need Max and Min</v>
      </c>
      <c r="M355" s="32" t="str">
        <f t="shared" si="68"/>
        <v>Fail</v>
      </c>
      <c r="N355" s="32"/>
      <c r="O355" s="31">
        <f>'mnt Data'!A358</f>
        <v>0</v>
      </c>
      <c r="P355" s="31">
        <f>'mnt Data'!B358</f>
        <v>0</v>
      </c>
      <c r="Q355" s="31">
        <f>'mnt Data'!C358</f>
        <v>0</v>
      </c>
      <c r="R355" s="31">
        <f>'mnt Data'!D358</f>
        <v>0</v>
      </c>
      <c r="S355" s="31">
        <f>'mnt Data'!E358</f>
        <v>0</v>
      </c>
      <c r="T355" s="31">
        <f>'mnt Data'!F358</f>
        <v>0</v>
      </c>
      <c r="U355" s="31">
        <f>'mnt Data'!G358</f>
        <v>0</v>
      </c>
      <c r="V355" s="31">
        <f>'mnt Data'!H358</f>
        <v>0</v>
      </c>
      <c r="W355" s="31">
        <f>'mnt Data'!I358</f>
        <v>0</v>
      </c>
      <c r="X355" s="31">
        <f>'mnt Data'!J358</f>
        <v>0</v>
      </c>
      <c r="Y355" s="31">
        <f>'mnt Data'!K358</f>
        <v>0</v>
      </c>
      <c r="Z355" s="31">
        <f>'mnt Data'!L358</f>
        <v>0</v>
      </c>
      <c r="AA355" s="31">
        <f>'mnt Data'!M358</f>
        <v>0</v>
      </c>
      <c r="AB355" s="31">
        <f>'mnt Data'!N358</f>
        <v>0</v>
      </c>
      <c r="AC355" s="31">
        <f>'mnt Data'!O358</f>
        <v>0</v>
      </c>
      <c r="AD355" s="31">
        <f>'mnt Data'!P358</f>
        <v>0</v>
      </c>
      <c r="AE355" s="31">
        <f>'mnt Data'!Q358</f>
        <v>0</v>
      </c>
      <c r="AF355" s="31">
        <f>'mnt Data'!R358</f>
        <v>0</v>
      </c>
      <c r="AG355" s="31">
        <f>'mnt Data'!S358</f>
        <v>0</v>
      </c>
      <c r="AH355" s="31">
        <f>'mnt Data'!T358</f>
        <v>0</v>
      </c>
      <c r="AI355" s="31">
        <f>'mnt Data'!U358</f>
        <v>0</v>
      </c>
      <c r="AJ355" s="31">
        <f>'mnt Data'!V358</f>
        <v>0</v>
      </c>
      <c r="AK355" s="31">
        <f>'mnt Data'!W358</f>
        <v>0</v>
      </c>
      <c r="AL355" s="31">
        <f>'mnt Data'!X358</f>
        <v>0</v>
      </c>
      <c r="AM355" s="31">
        <f>'mnt Data'!Y358</f>
        <v>0</v>
      </c>
      <c r="AN355" s="31">
        <f>'mnt Data'!Z358</f>
        <v>0</v>
      </c>
      <c r="AO355" s="31">
        <f>'mnt Data'!AA358</f>
        <v>0</v>
      </c>
      <c r="AP355" s="31">
        <f>'mnt Data'!AB358</f>
        <v>0</v>
      </c>
      <c r="AQ355" s="31">
        <f>'mnt Data'!AC358</f>
        <v>0</v>
      </c>
      <c r="AR355" s="31">
        <f>'mnt Data'!AD358</f>
        <v>0</v>
      </c>
      <c r="AS355" s="31">
        <f>'mnt Data'!AE358</f>
        <v>0</v>
      </c>
      <c r="AT355" s="31">
        <f>'mnt Data'!AF358</f>
        <v>0</v>
      </c>
      <c r="AU355" s="31">
        <f>'mnt Data'!AG358</f>
        <v>0</v>
      </c>
      <c r="AV355" s="31">
        <f>'mnt Data'!AH358</f>
        <v>0</v>
      </c>
      <c r="AW355" s="31">
        <f>'mnt Data'!AI358</f>
        <v>0</v>
      </c>
      <c r="AX355" s="31">
        <f>'mnt Data'!AJ358</f>
        <v>0</v>
      </c>
      <c r="AY355" s="31">
        <f>'mnt Data'!AK358</f>
        <v>0</v>
      </c>
    </row>
    <row r="356" spans="1:51" x14ac:dyDescent="0.25">
      <c r="A356">
        <v>355</v>
      </c>
      <c r="B356" s="32">
        <f t="shared" si="60"/>
        <v>0</v>
      </c>
      <c r="C356" s="32">
        <f t="shared" si="61"/>
        <v>0</v>
      </c>
      <c r="D356" s="32" t="str">
        <f t="shared" si="65"/>
        <v>No Gs</v>
      </c>
      <c r="E356" s="32">
        <f t="shared" si="69"/>
        <v>0</v>
      </c>
      <c r="F356" s="32" t="str">
        <f t="shared" si="70"/>
        <v>No Gs</v>
      </c>
      <c r="G356" s="32" t="str">
        <f t="shared" si="71"/>
        <v>No Gs</v>
      </c>
      <c r="H356" s="32" t="str">
        <f t="shared" si="62"/>
        <v>Gs is needed</v>
      </c>
      <c r="I356" s="32" t="str">
        <f t="shared" si="63"/>
        <v>Gs is needed</v>
      </c>
      <c r="J356" s="32" t="str">
        <f t="shared" si="64"/>
        <v>Gs is needed</v>
      </c>
      <c r="K356" s="32" t="str">
        <f t="shared" si="66"/>
        <v>Need Max and Min</v>
      </c>
      <c r="L356" s="32" t="str">
        <f t="shared" si="67"/>
        <v>Need Max and Min</v>
      </c>
      <c r="M356" s="32" t="str">
        <f t="shared" si="68"/>
        <v>Fail</v>
      </c>
      <c r="N356" s="32"/>
      <c r="O356" s="31">
        <f>'mnt Data'!A359</f>
        <v>0</v>
      </c>
      <c r="P356" s="31">
        <f>'mnt Data'!B359</f>
        <v>0</v>
      </c>
      <c r="Q356" s="31">
        <f>'mnt Data'!C359</f>
        <v>0</v>
      </c>
      <c r="R356" s="31">
        <f>'mnt Data'!D359</f>
        <v>0</v>
      </c>
      <c r="S356" s="31">
        <f>'mnt Data'!E359</f>
        <v>0</v>
      </c>
      <c r="T356" s="31">
        <f>'mnt Data'!F359</f>
        <v>0</v>
      </c>
      <c r="U356" s="31">
        <f>'mnt Data'!G359</f>
        <v>0</v>
      </c>
      <c r="V356" s="31">
        <f>'mnt Data'!H359</f>
        <v>0</v>
      </c>
      <c r="W356" s="31">
        <f>'mnt Data'!I359</f>
        <v>0</v>
      </c>
      <c r="X356" s="31">
        <f>'mnt Data'!J359</f>
        <v>0</v>
      </c>
      <c r="Y356" s="31">
        <f>'mnt Data'!K359</f>
        <v>0</v>
      </c>
      <c r="Z356" s="31">
        <f>'mnt Data'!L359</f>
        <v>0</v>
      </c>
      <c r="AA356" s="31">
        <f>'mnt Data'!M359</f>
        <v>0</v>
      </c>
      <c r="AB356" s="31">
        <f>'mnt Data'!N359</f>
        <v>0</v>
      </c>
      <c r="AC356" s="31">
        <f>'mnt Data'!O359</f>
        <v>0</v>
      </c>
      <c r="AD356" s="31">
        <f>'mnt Data'!P359</f>
        <v>0</v>
      </c>
      <c r="AE356" s="31">
        <f>'mnt Data'!Q359</f>
        <v>0</v>
      </c>
      <c r="AF356" s="31">
        <f>'mnt Data'!R359</f>
        <v>0</v>
      </c>
      <c r="AG356" s="31">
        <f>'mnt Data'!S359</f>
        <v>0</v>
      </c>
      <c r="AH356" s="31">
        <f>'mnt Data'!T359</f>
        <v>0</v>
      </c>
      <c r="AI356" s="31">
        <f>'mnt Data'!U359</f>
        <v>0</v>
      </c>
      <c r="AJ356" s="31">
        <f>'mnt Data'!V359</f>
        <v>0</v>
      </c>
      <c r="AK356" s="31">
        <f>'mnt Data'!W359</f>
        <v>0</v>
      </c>
      <c r="AL356" s="31">
        <f>'mnt Data'!X359</f>
        <v>0</v>
      </c>
      <c r="AM356" s="31">
        <f>'mnt Data'!Y359</f>
        <v>0</v>
      </c>
      <c r="AN356" s="31">
        <f>'mnt Data'!Z359</f>
        <v>0</v>
      </c>
      <c r="AO356" s="31">
        <f>'mnt Data'!AA359</f>
        <v>0</v>
      </c>
      <c r="AP356" s="31">
        <f>'mnt Data'!AB359</f>
        <v>0</v>
      </c>
      <c r="AQ356" s="31">
        <f>'mnt Data'!AC359</f>
        <v>0</v>
      </c>
      <c r="AR356" s="31">
        <f>'mnt Data'!AD359</f>
        <v>0</v>
      </c>
      <c r="AS356" s="31">
        <f>'mnt Data'!AE359</f>
        <v>0</v>
      </c>
      <c r="AT356" s="31">
        <f>'mnt Data'!AF359</f>
        <v>0</v>
      </c>
      <c r="AU356" s="31">
        <f>'mnt Data'!AG359</f>
        <v>0</v>
      </c>
      <c r="AV356" s="31">
        <f>'mnt Data'!AH359</f>
        <v>0</v>
      </c>
      <c r="AW356" s="31">
        <f>'mnt Data'!AI359</f>
        <v>0</v>
      </c>
      <c r="AX356" s="31">
        <f>'mnt Data'!AJ359</f>
        <v>0</v>
      </c>
      <c r="AY356" s="31">
        <f>'mnt Data'!AK359</f>
        <v>0</v>
      </c>
    </row>
    <row r="357" spans="1:51" x14ac:dyDescent="0.25">
      <c r="A357">
        <v>356</v>
      </c>
      <c r="B357" s="32">
        <f t="shared" si="60"/>
        <v>0</v>
      </c>
      <c r="C357" s="32">
        <f t="shared" si="61"/>
        <v>0</v>
      </c>
      <c r="D357" s="32" t="str">
        <f t="shared" si="65"/>
        <v>No Gs</v>
      </c>
      <c r="E357" s="32">
        <f t="shared" si="69"/>
        <v>0</v>
      </c>
      <c r="F357" s="32" t="str">
        <f t="shared" si="70"/>
        <v>No Gs</v>
      </c>
      <c r="G357" s="32" t="str">
        <f t="shared" si="71"/>
        <v>No Gs</v>
      </c>
      <c r="H357" s="32" t="str">
        <f t="shared" si="62"/>
        <v>Gs is needed</v>
      </c>
      <c r="I357" s="32" t="str">
        <f t="shared" si="63"/>
        <v>Gs is needed</v>
      </c>
      <c r="J357" s="32" t="str">
        <f t="shared" si="64"/>
        <v>Gs is needed</v>
      </c>
      <c r="K357" s="32" t="str">
        <f t="shared" si="66"/>
        <v>Need Max and Min</v>
      </c>
      <c r="L357" s="32" t="str">
        <f t="shared" si="67"/>
        <v>Need Max and Min</v>
      </c>
      <c r="M357" s="32" t="str">
        <f t="shared" si="68"/>
        <v>Fail</v>
      </c>
      <c r="N357" s="32"/>
      <c r="O357" s="31">
        <f>'mnt Data'!A360</f>
        <v>0</v>
      </c>
      <c r="P357" s="31">
        <f>'mnt Data'!B360</f>
        <v>0</v>
      </c>
      <c r="Q357" s="31">
        <f>'mnt Data'!C360</f>
        <v>0</v>
      </c>
      <c r="R357" s="31">
        <f>'mnt Data'!D360</f>
        <v>0</v>
      </c>
      <c r="S357" s="31">
        <f>'mnt Data'!E360</f>
        <v>0</v>
      </c>
      <c r="T357" s="31">
        <f>'mnt Data'!F360</f>
        <v>0</v>
      </c>
      <c r="U357" s="31">
        <f>'mnt Data'!G360</f>
        <v>0</v>
      </c>
      <c r="V357" s="31">
        <f>'mnt Data'!H360</f>
        <v>0</v>
      </c>
      <c r="W357" s="31">
        <f>'mnt Data'!I360</f>
        <v>0</v>
      </c>
      <c r="X357" s="31">
        <f>'mnt Data'!J360</f>
        <v>0</v>
      </c>
      <c r="Y357" s="31">
        <f>'mnt Data'!K360</f>
        <v>0</v>
      </c>
      <c r="Z357" s="31">
        <f>'mnt Data'!L360</f>
        <v>0</v>
      </c>
      <c r="AA357" s="31">
        <f>'mnt Data'!M360</f>
        <v>0</v>
      </c>
      <c r="AB357" s="31">
        <f>'mnt Data'!N360</f>
        <v>0</v>
      </c>
      <c r="AC357" s="31">
        <f>'mnt Data'!O360</f>
        <v>0</v>
      </c>
      <c r="AD357" s="31">
        <f>'mnt Data'!P360</f>
        <v>0</v>
      </c>
      <c r="AE357" s="31">
        <f>'mnt Data'!Q360</f>
        <v>0</v>
      </c>
      <c r="AF357" s="31">
        <f>'mnt Data'!R360</f>
        <v>0</v>
      </c>
      <c r="AG357" s="31">
        <f>'mnt Data'!S360</f>
        <v>0</v>
      </c>
      <c r="AH357" s="31">
        <f>'mnt Data'!T360</f>
        <v>0</v>
      </c>
      <c r="AI357" s="31">
        <f>'mnt Data'!U360</f>
        <v>0</v>
      </c>
      <c r="AJ357" s="31">
        <f>'mnt Data'!V360</f>
        <v>0</v>
      </c>
      <c r="AK357" s="31">
        <f>'mnt Data'!W360</f>
        <v>0</v>
      </c>
      <c r="AL357" s="31">
        <f>'mnt Data'!X360</f>
        <v>0</v>
      </c>
      <c r="AM357" s="31">
        <f>'mnt Data'!Y360</f>
        <v>0</v>
      </c>
      <c r="AN357" s="31">
        <f>'mnt Data'!Z360</f>
        <v>0</v>
      </c>
      <c r="AO357" s="31">
        <f>'mnt Data'!AA360</f>
        <v>0</v>
      </c>
      <c r="AP357" s="31">
        <f>'mnt Data'!AB360</f>
        <v>0</v>
      </c>
      <c r="AQ357" s="31">
        <f>'mnt Data'!AC360</f>
        <v>0</v>
      </c>
      <c r="AR357" s="31">
        <f>'mnt Data'!AD360</f>
        <v>0</v>
      </c>
      <c r="AS357" s="31">
        <f>'mnt Data'!AE360</f>
        <v>0</v>
      </c>
      <c r="AT357" s="31">
        <f>'mnt Data'!AF360</f>
        <v>0</v>
      </c>
      <c r="AU357" s="31">
        <f>'mnt Data'!AG360</f>
        <v>0</v>
      </c>
      <c r="AV357" s="31">
        <f>'mnt Data'!AH360</f>
        <v>0</v>
      </c>
      <c r="AW357" s="31">
        <f>'mnt Data'!AI360</f>
        <v>0</v>
      </c>
      <c r="AX357" s="31">
        <f>'mnt Data'!AJ360</f>
        <v>0</v>
      </c>
      <c r="AY357" s="31">
        <f>'mnt Data'!AK360</f>
        <v>0</v>
      </c>
    </row>
    <row r="358" spans="1:51" x14ac:dyDescent="0.25">
      <c r="A358">
        <v>357</v>
      </c>
      <c r="B358" s="32">
        <f t="shared" si="60"/>
        <v>0</v>
      </c>
      <c r="C358" s="32">
        <f t="shared" si="61"/>
        <v>0</v>
      </c>
      <c r="D358" s="32" t="str">
        <f t="shared" si="65"/>
        <v>No Gs</v>
      </c>
      <c r="E358" s="32">
        <f t="shared" si="69"/>
        <v>0</v>
      </c>
      <c r="F358" s="32" t="str">
        <f t="shared" si="70"/>
        <v>No Gs</v>
      </c>
      <c r="G358" s="32" t="str">
        <f t="shared" si="71"/>
        <v>No Gs</v>
      </c>
      <c r="H358" s="32" t="str">
        <f t="shared" si="62"/>
        <v>Gs is needed</v>
      </c>
      <c r="I358" s="32" t="str">
        <f t="shared" si="63"/>
        <v>Gs is needed</v>
      </c>
      <c r="J358" s="32" t="str">
        <f t="shared" si="64"/>
        <v>Gs is needed</v>
      </c>
      <c r="K358" s="32" t="str">
        <f t="shared" si="66"/>
        <v>Need Max and Min</v>
      </c>
      <c r="L358" s="32" t="str">
        <f t="shared" si="67"/>
        <v>Need Max and Min</v>
      </c>
      <c r="M358" s="32" t="str">
        <f t="shared" si="68"/>
        <v>Fail</v>
      </c>
      <c r="N358" s="32"/>
      <c r="O358" s="31">
        <f>'mnt Data'!A361</f>
        <v>0</v>
      </c>
      <c r="P358" s="31">
        <f>'mnt Data'!B361</f>
        <v>0</v>
      </c>
      <c r="Q358" s="31">
        <f>'mnt Data'!C361</f>
        <v>0</v>
      </c>
      <c r="R358" s="31">
        <f>'mnt Data'!D361</f>
        <v>0</v>
      </c>
      <c r="S358" s="31">
        <f>'mnt Data'!E361</f>
        <v>0</v>
      </c>
      <c r="T358" s="31">
        <f>'mnt Data'!F361</f>
        <v>0</v>
      </c>
      <c r="U358" s="31">
        <f>'mnt Data'!G361</f>
        <v>0</v>
      </c>
      <c r="V358" s="31">
        <f>'mnt Data'!H361</f>
        <v>0</v>
      </c>
      <c r="W358" s="31">
        <f>'mnt Data'!I361</f>
        <v>0</v>
      </c>
      <c r="X358" s="31">
        <f>'mnt Data'!J361</f>
        <v>0</v>
      </c>
      <c r="Y358" s="31">
        <f>'mnt Data'!K361</f>
        <v>0</v>
      </c>
      <c r="Z358" s="31">
        <f>'mnt Data'!L361</f>
        <v>0</v>
      </c>
      <c r="AA358" s="31">
        <f>'mnt Data'!M361</f>
        <v>0</v>
      </c>
      <c r="AB358" s="31">
        <f>'mnt Data'!N361</f>
        <v>0</v>
      </c>
      <c r="AC358" s="31">
        <f>'mnt Data'!O361</f>
        <v>0</v>
      </c>
      <c r="AD358" s="31">
        <f>'mnt Data'!P361</f>
        <v>0</v>
      </c>
      <c r="AE358" s="31">
        <f>'mnt Data'!Q361</f>
        <v>0</v>
      </c>
      <c r="AF358" s="31">
        <f>'mnt Data'!R361</f>
        <v>0</v>
      </c>
      <c r="AG358" s="31">
        <f>'mnt Data'!S361</f>
        <v>0</v>
      </c>
      <c r="AH358" s="31">
        <f>'mnt Data'!T361</f>
        <v>0</v>
      </c>
      <c r="AI358" s="31">
        <f>'mnt Data'!U361</f>
        <v>0</v>
      </c>
      <c r="AJ358" s="31">
        <f>'mnt Data'!V361</f>
        <v>0</v>
      </c>
      <c r="AK358" s="31">
        <f>'mnt Data'!W361</f>
        <v>0</v>
      </c>
      <c r="AL358" s="31">
        <f>'mnt Data'!X361</f>
        <v>0</v>
      </c>
      <c r="AM358" s="31">
        <f>'mnt Data'!Y361</f>
        <v>0</v>
      </c>
      <c r="AN358" s="31">
        <f>'mnt Data'!Z361</f>
        <v>0</v>
      </c>
      <c r="AO358" s="31">
        <f>'mnt Data'!AA361</f>
        <v>0</v>
      </c>
      <c r="AP358" s="31">
        <f>'mnt Data'!AB361</f>
        <v>0</v>
      </c>
      <c r="AQ358" s="31">
        <f>'mnt Data'!AC361</f>
        <v>0</v>
      </c>
      <c r="AR358" s="31">
        <f>'mnt Data'!AD361</f>
        <v>0</v>
      </c>
      <c r="AS358" s="31">
        <f>'mnt Data'!AE361</f>
        <v>0</v>
      </c>
      <c r="AT358" s="31">
        <f>'mnt Data'!AF361</f>
        <v>0</v>
      </c>
      <c r="AU358" s="31">
        <f>'mnt Data'!AG361</f>
        <v>0</v>
      </c>
      <c r="AV358" s="31">
        <f>'mnt Data'!AH361</f>
        <v>0</v>
      </c>
      <c r="AW358" s="31">
        <f>'mnt Data'!AI361</f>
        <v>0</v>
      </c>
      <c r="AX358" s="31">
        <f>'mnt Data'!AJ361</f>
        <v>0</v>
      </c>
      <c r="AY358" s="31">
        <f>'mnt Data'!AK361</f>
        <v>0</v>
      </c>
    </row>
    <row r="359" spans="1:51" x14ac:dyDescent="0.25">
      <c r="A359">
        <v>358</v>
      </c>
      <c r="B359" s="32">
        <f t="shared" si="60"/>
        <v>0</v>
      </c>
      <c r="C359" s="32">
        <f t="shared" si="61"/>
        <v>0</v>
      </c>
      <c r="D359" s="32" t="str">
        <f t="shared" si="65"/>
        <v>No Gs</v>
      </c>
      <c r="E359" s="32">
        <f t="shared" si="69"/>
        <v>0</v>
      </c>
      <c r="F359" s="32" t="str">
        <f t="shared" si="70"/>
        <v>No Gs</v>
      </c>
      <c r="G359" s="32" t="str">
        <f t="shared" si="71"/>
        <v>No Gs</v>
      </c>
      <c r="H359" s="32" t="str">
        <f t="shared" si="62"/>
        <v>Gs is needed</v>
      </c>
      <c r="I359" s="32" t="str">
        <f t="shared" si="63"/>
        <v>Gs is needed</v>
      </c>
      <c r="J359" s="32" t="str">
        <f t="shared" si="64"/>
        <v>Gs is needed</v>
      </c>
      <c r="K359" s="32" t="str">
        <f t="shared" si="66"/>
        <v>Need Max and Min</v>
      </c>
      <c r="L359" s="32" t="str">
        <f t="shared" si="67"/>
        <v>Need Max and Min</v>
      </c>
      <c r="M359" s="32" t="str">
        <f t="shared" si="68"/>
        <v>Fail</v>
      </c>
      <c r="N359" s="32"/>
      <c r="O359" s="31">
        <f>'mnt Data'!A362</f>
        <v>0</v>
      </c>
      <c r="P359" s="31">
        <f>'mnt Data'!B362</f>
        <v>0</v>
      </c>
      <c r="Q359" s="31">
        <f>'mnt Data'!C362</f>
        <v>0</v>
      </c>
      <c r="R359" s="31">
        <f>'mnt Data'!D362</f>
        <v>0</v>
      </c>
      <c r="S359" s="31">
        <f>'mnt Data'!E362</f>
        <v>0</v>
      </c>
      <c r="T359" s="31">
        <f>'mnt Data'!F362</f>
        <v>0</v>
      </c>
      <c r="U359" s="31">
        <f>'mnt Data'!G362</f>
        <v>0</v>
      </c>
      <c r="V359" s="31">
        <f>'mnt Data'!H362</f>
        <v>0</v>
      </c>
      <c r="W359" s="31">
        <f>'mnt Data'!I362</f>
        <v>0</v>
      </c>
      <c r="X359" s="31">
        <f>'mnt Data'!J362</f>
        <v>0</v>
      </c>
      <c r="Y359" s="31">
        <f>'mnt Data'!K362</f>
        <v>0</v>
      </c>
      <c r="Z359" s="31">
        <f>'mnt Data'!L362</f>
        <v>0</v>
      </c>
      <c r="AA359" s="31">
        <f>'mnt Data'!M362</f>
        <v>0</v>
      </c>
      <c r="AB359" s="31">
        <f>'mnt Data'!N362</f>
        <v>0</v>
      </c>
      <c r="AC359" s="31">
        <f>'mnt Data'!O362</f>
        <v>0</v>
      </c>
      <c r="AD359" s="31">
        <f>'mnt Data'!P362</f>
        <v>0</v>
      </c>
      <c r="AE359" s="31">
        <f>'mnt Data'!Q362</f>
        <v>0</v>
      </c>
      <c r="AF359" s="31">
        <f>'mnt Data'!R362</f>
        <v>0</v>
      </c>
      <c r="AG359" s="31">
        <f>'mnt Data'!S362</f>
        <v>0</v>
      </c>
      <c r="AH359" s="31">
        <f>'mnt Data'!T362</f>
        <v>0</v>
      </c>
      <c r="AI359" s="31">
        <f>'mnt Data'!U362</f>
        <v>0</v>
      </c>
      <c r="AJ359" s="31">
        <f>'mnt Data'!V362</f>
        <v>0</v>
      </c>
      <c r="AK359" s="31">
        <f>'mnt Data'!W362</f>
        <v>0</v>
      </c>
      <c r="AL359" s="31">
        <f>'mnt Data'!X362</f>
        <v>0</v>
      </c>
      <c r="AM359" s="31">
        <f>'mnt Data'!Y362</f>
        <v>0</v>
      </c>
      <c r="AN359" s="31">
        <f>'mnt Data'!Z362</f>
        <v>0</v>
      </c>
      <c r="AO359" s="31">
        <f>'mnt Data'!AA362</f>
        <v>0</v>
      </c>
      <c r="AP359" s="31">
        <f>'mnt Data'!AB362</f>
        <v>0</v>
      </c>
      <c r="AQ359" s="31">
        <f>'mnt Data'!AC362</f>
        <v>0</v>
      </c>
      <c r="AR359" s="31">
        <f>'mnt Data'!AD362</f>
        <v>0</v>
      </c>
      <c r="AS359" s="31">
        <f>'mnt Data'!AE362</f>
        <v>0</v>
      </c>
      <c r="AT359" s="31">
        <f>'mnt Data'!AF362</f>
        <v>0</v>
      </c>
      <c r="AU359" s="31">
        <f>'mnt Data'!AG362</f>
        <v>0</v>
      </c>
      <c r="AV359" s="31">
        <f>'mnt Data'!AH362</f>
        <v>0</v>
      </c>
      <c r="AW359" s="31">
        <f>'mnt Data'!AI362</f>
        <v>0</v>
      </c>
      <c r="AX359" s="31">
        <f>'mnt Data'!AJ362</f>
        <v>0</v>
      </c>
      <c r="AY359" s="31">
        <f>'mnt Data'!AK362</f>
        <v>0</v>
      </c>
    </row>
    <row r="360" spans="1:51" x14ac:dyDescent="0.25">
      <c r="A360">
        <v>359</v>
      </c>
      <c r="B360" s="32">
        <f t="shared" si="60"/>
        <v>0</v>
      </c>
      <c r="C360" s="32">
        <f t="shared" si="61"/>
        <v>0</v>
      </c>
      <c r="D360" s="32" t="str">
        <f t="shared" si="65"/>
        <v>No Gs</v>
      </c>
      <c r="E360" s="32">
        <f t="shared" si="69"/>
        <v>0</v>
      </c>
      <c r="F360" s="32" t="str">
        <f t="shared" si="70"/>
        <v>No Gs</v>
      </c>
      <c r="G360" s="32" t="str">
        <f t="shared" si="71"/>
        <v>No Gs</v>
      </c>
      <c r="H360" s="32" t="str">
        <f t="shared" si="62"/>
        <v>Gs is needed</v>
      </c>
      <c r="I360" s="32" t="str">
        <f t="shared" si="63"/>
        <v>Gs is needed</v>
      </c>
      <c r="J360" s="32" t="str">
        <f t="shared" si="64"/>
        <v>Gs is needed</v>
      </c>
      <c r="K360" s="32" t="str">
        <f t="shared" si="66"/>
        <v>Need Max and Min</v>
      </c>
      <c r="L360" s="32" t="str">
        <f t="shared" si="67"/>
        <v>Need Max and Min</v>
      </c>
      <c r="M360" s="32" t="str">
        <f t="shared" si="68"/>
        <v>Fail</v>
      </c>
      <c r="N360" s="32"/>
      <c r="O360" s="31">
        <f>'mnt Data'!A363</f>
        <v>0</v>
      </c>
      <c r="P360" s="31">
        <f>'mnt Data'!B363</f>
        <v>0</v>
      </c>
      <c r="Q360" s="31">
        <f>'mnt Data'!C363</f>
        <v>0</v>
      </c>
      <c r="R360" s="31">
        <f>'mnt Data'!D363</f>
        <v>0</v>
      </c>
      <c r="S360" s="31">
        <f>'mnt Data'!E363</f>
        <v>0</v>
      </c>
      <c r="T360" s="31">
        <f>'mnt Data'!F363</f>
        <v>0</v>
      </c>
      <c r="U360" s="31">
        <f>'mnt Data'!G363</f>
        <v>0</v>
      </c>
      <c r="V360" s="31">
        <f>'mnt Data'!H363</f>
        <v>0</v>
      </c>
      <c r="W360" s="31">
        <f>'mnt Data'!I363</f>
        <v>0</v>
      </c>
      <c r="X360" s="31">
        <f>'mnt Data'!J363</f>
        <v>0</v>
      </c>
      <c r="Y360" s="31">
        <f>'mnt Data'!K363</f>
        <v>0</v>
      </c>
      <c r="Z360" s="31">
        <f>'mnt Data'!L363</f>
        <v>0</v>
      </c>
      <c r="AA360" s="31">
        <f>'mnt Data'!M363</f>
        <v>0</v>
      </c>
      <c r="AB360" s="31">
        <f>'mnt Data'!N363</f>
        <v>0</v>
      </c>
      <c r="AC360" s="31">
        <f>'mnt Data'!O363</f>
        <v>0</v>
      </c>
      <c r="AD360" s="31">
        <f>'mnt Data'!P363</f>
        <v>0</v>
      </c>
      <c r="AE360" s="31">
        <f>'mnt Data'!Q363</f>
        <v>0</v>
      </c>
      <c r="AF360" s="31">
        <f>'mnt Data'!R363</f>
        <v>0</v>
      </c>
      <c r="AG360" s="31">
        <f>'mnt Data'!S363</f>
        <v>0</v>
      </c>
      <c r="AH360" s="31">
        <f>'mnt Data'!T363</f>
        <v>0</v>
      </c>
      <c r="AI360" s="31">
        <f>'mnt Data'!U363</f>
        <v>0</v>
      </c>
      <c r="AJ360" s="31">
        <f>'mnt Data'!V363</f>
        <v>0</v>
      </c>
      <c r="AK360" s="31">
        <f>'mnt Data'!W363</f>
        <v>0</v>
      </c>
      <c r="AL360" s="31">
        <f>'mnt Data'!X363</f>
        <v>0</v>
      </c>
      <c r="AM360" s="31">
        <f>'mnt Data'!Y363</f>
        <v>0</v>
      </c>
      <c r="AN360" s="31">
        <f>'mnt Data'!Z363</f>
        <v>0</v>
      </c>
      <c r="AO360" s="31">
        <f>'mnt Data'!AA363</f>
        <v>0</v>
      </c>
      <c r="AP360" s="31">
        <f>'mnt Data'!AB363</f>
        <v>0</v>
      </c>
      <c r="AQ360" s="31">
        <f>'mnt Data'!AC363</f>
        <v>0</v>
      </c>
      <c r="AR360" s="31">
        <f>'mnt Data'!AD363</f>
        <v>0</v>
      </c>
      <c r="AS360" s="31">
        <f>'mnt Data'!AE363</f>
        <v>0</v>
      </c>
      <c r="AT360" s="31">
        <f>'mnt Data'!AF363</f>
        <v>0</v>
      </c>
      <c r="AU360" s="31">
        <f>'mnt Data'!AG363</f>
        <v>0</v>
      </c>
      <c r="AV360" s="31">
        <f>'mnt Data'!AH363</f>
        <v>0</v>
      </c>
      <c r="AW360" s="31">
        <f>'mnt Data'!AI363</f>
        <v>0</v>
      </c>
      <c r="AX360" s="31">
        <f>'mnt Data'!AJ363</f>
        <v>0</v>
      </c>
      <c r="AY360" s="31">
        <f>'mnt Data'!AK363</f>
        <v>0</v>
      </c>
    </row>
    <row r="361" spans="1:51" x14ac:dyDescent="0.25">
      <c r="A361">
        <v>360</v>
      </c>
      <c r="B361" s="32">
        <f t="shared" ref="B361:B424" si="72">O361</f>
        <v>0</v>
      </c>
      <c r="C361" s="32">
        <f t="shared" ref="C361:C424" si="73">O361*(Q361/100)</f>
        <v>0</v>
      </c>
      <c r="D361" s="32" t="str">
        <f t="shared" si="65"/>
        <v>No Gs</v>
      </c>
      <c r="E361" s="32">
        <f t="shared" si="69"/>
        <v>0</v>
      </c>
      <c r="F361" s="32" t="str">
        <f t="shared" si="70"/>
        <v>No Gs</v>
      </c>
      <c r="G361" s="32" t="str">
        <f t="shared" si="71"/>
        <v>No Gs</v>
      </c>
      <c r="H361" s="32" t="str">
        <f t="shared" ref="H361:H424" si="74">IFERROR(E361/G361,"Gs is needed")</f>
        <v>Gs is needed</v>
      </c>
      <c r="I361" s="32" t="str">
        <f t="shared" ref="I361:I424" si="75">IFERROR(G361/1,"Gs is needed")</f>
        <v>Gs is needed</v>
      </c>
      <c r="J361" s="32" t="str">
        <f t="shared" ref="J361:J424" si="76">IFERROR(G361/D361,"Gs is needed")</f>
        <v>Gs is needed</v>
      </c>
      <c r="K361" s="32" t="str">
        <f t="shared" si="66"/>
        <v>Need Max and Min</v>
      </c>
      <c r="L361" s="32" t="str">
        <f t="shared" si="67"/>
        <v>Need Max and Min</v>
      </c>
      <c r="M361" s="32" t="str">
        <f t="shared" si="68"/>
        <v>Fail</v>
      </c>
      <c r="N361" s="32"/>
      <c r="O361" s="31">
        <f>'mnt Data'!A364</f>
        <v>0</v>
      </c>
      <c r="P361" s="31">
        <f>'mnt Data'!B364</f>
        <v>0</v>
      </c>
      <c r="Q361" s="31">
        <f>'mnt Data'!C364</f>
        <v>0</v>
      </c>
      <c r="R361" s="31">
        <f>'mnt Data'!D364</f>
        <v>0</v>
      </c>
      <c r="S361" s="31">
        <f>'mnt Data'!E364</f>
        <v>0</v>
      </c>
      <c r="T361" s="31">
        <f>'mnt Data'!F364</f>
        <v>0</v>
      </c>
      <c r="U361" s="31">
        <f>'mnt Data'!G364</f>
        <v>0</v>
      </c>
      <c r="V361" s="31">
        <f>'mnt Data'!H364</f>
        <v>0</v>
      </c>
      <c r="W361" s="31">
        <f>'mnt Data'!I364</f>
        <v>0</v>
      </c>
      <c r="X361" s="31">
        <f>'mnt Data'!J364</f>
        <v>0</v>
      </c>
      <c r="Y361" s="31">
        <f>'mnt Data'!K364</f>
        <v>0</v>
      </c>
      <c r="Z361" s="31">
        <f>'mnt Data'!L364</f>
        <v>0</v>
      </c>
      <c r="AA361" s="31">
        <f>'mnt Data'!M364</f>
        <v>0</v>
      </c>
      <c r="AB361" s="31">
        <f>'mnt Data'!N364</f>
        <v>0</v>
      </c>
      <c r="AC361" s="31">
        <f>'mnt Data'!O364</f>
        <v>0</v>
      </c>
      <c r="AD361" s="31">
        <f>'mnt Data'!P364</f>
        <v>0</v>
      </c>
      <c r="AE361" s="31">
        <f>'mnt Data'!Q364</f>
        <v>0</v>
      </c>
      <c r="AF361" s="31">
        <f>'mnt Data'!R364</f>
        <v>0</v>
      </c>
      <c r="AG361" s="31">
        <f>'mnt Data'!S364</f>
        <v>0</v>
      </c>
      <c r="AH361" s="31">
        <f>'mnt Data'!T364</f>
        <v>0</v>
      </c>
      <c r="AI361" s="31">
        <f>'mnt Data'!U364</f>
        <v>0</v>
      </c>
      <c r="AJ361" s="31">
        <f>'mnt Data'!V364</f>
        <v>0</v>
      </c>
      <c r="AK361" s="31">
        <f>'mnt Data'!W364</f>
        <v>0</v>
      </c>
      <c r="AL361" s="31">
        <f>'mnt Data'!X364</f>
        <v>0</v>
      </c>
      <c r="AM361" s="31">
        <f>'mnt Data'!Y364</f>
        <v>0</v>
      </c>
      <c r="AN361" s="31">
        <f>'mnt Data'!Z364</f>
        <v>0</v>
      </c>
      <c r="AO361" s="31">
        <f>'mnt Data'!AA364</f>
        <v>0</v>
      </c>
      <c r="AP361" s="31">
        <f>'mnt Data'!AB364</f>
        <v>0</v>
      </c>
      <c r="AQ361" s="31">
        <f>'mnt Data'!AC364</f>
        <v>0</v>
      </c>
      <c r="AR361" s="31">
        <f>'mnt Data'!AD364</f>
        <v>0</v>
      </c>
      <c r="AS361" s="31">
        <f>'mnt Data'!AE364</f>
        <v>0</v>
      </c>
      <c r="AT361" s="31">
        <f>'mnt Data'!AF364</f>
        <v>0</v>
      </c>
      <c r="AU361" s="31">
        <f>'mnt Data'!AG364</f>
        <v>0</v>
      </c>
      <c r="AV361" s="31">
        <f>'mnt Data'!AH364</f>
        <v>0</v>
      </c>
      <c r="AW361" s="31">
        <f>'mnt Data'!AI364</f>
        <v>0</v>
      </c>
      <c r="AX361" s="31">
        <f>'mnt Data'!AJ364</f>
        <v>0</v>
      </c>
      <c r="AY361" s="31">
        <f>'mnt Data'!AK364</f>
        <v>0</v>
      </c>
    </row>
    <row r="362" spans="1:51" x14ac:dyDescent="0.25">
      <c r="A362">
        <v>361</v>
      </c>
      <c r="B362" s="32">
        <f t="shared" si="72"/>
        <v>0</v>
      </c>
      <c r="C362" s="32">
        <f t="shared" si="73"/>
        <v>0</v>
      </c>
      <c r="D362" s="32" t="str">
        <f t="shared" si="65"/>
        <v>No Gs</v>
      </c>
      <c r="E362" s="32">
        <f t="shared" si="69"/>
        <v>0</v>
      </c>
      <c r="F362" s="32" t="str">
        <f t="shared" si="70"/>
        <v>No Gs</v>
      </c>
      <c r="G362" s="32" t="str">
        <f t="shared" si="71"/>
        <v>No Gs</v>
      </c>
      <c r="H362" s="32" t="str">
        <f t="shared" si="74"/>
        <v>Gs is needed</v>
      </c>
      <c r="I362" s="32" t="str">
        <f t="shared" si="75"/>
        <v>Gs is needed</v>
      </c>
      <c r="J362" s="32" t="str">
        <f t="shared" si="76"/>
        <v>Gs is needed</v>
      </c>
      <c r="K362" s="32" t="str">
        <f t="shared" si="66"/>
        <v>Need Max and Min</v>
      </c>
      <c r="L362" s="32" t="str">
        <f t="shared" si="67"/>
        <v>Need Max and Min</v>
      </c>
      <c r="M362" s="32" t="str">
        <f t="shared" si="68"/>
        <v>Fail</v>
      </c>
      <c r="N362" s="32"/>
      <c r="O362" s="31">
        <f>'mnt Data'!A365</f>
        <v>0</v>
      </c>
      <c r="P362" s="31">
        <f>'mnt Data'!B365</f>
        <v>0</v>
      </c>
      <c r="Q362" s="31">
        <f>'mnt Data'!C365</f>
        <v>0</v>
      </c>
      <c r="R362" s="31">
        <f>'mnt Data'!D365</f>
        <v>0</v>
      </c>
      <c r="S362" s="31">
        <f>'mnt Data'!E365</f>
        <v>0</v>
      </c>
      <c r="T362" s="31">
        <f>'mnt Data'!F365</f>
        <v>0</v>
      </c>
      <c r="U362" s="31">
        <f>'mnt Data'!G365</f>
        <v>0</v>
      </c>
      <c r="V362" s="31">
        <f>'mnt Data'!H365</f>
        <v>0</v>
      </c>
      <c r="W362" s="31">
        <f>'mnt Data'!I365</f>
        <v>0</v>
      </c>
      <c r="X362" s="31">
        <f>'mnt Data'!J365</f>
        <v>0</v>
      </c>
      <c r="Y362" s="31">
        <f>'mnt Data'!K365</f>
        <v>0</v>
      </c>
      <c r="Z362" s="31">
        <f>'mnt Data'!L365</f>
        <v>0</v>
      </c>
      <c r="AA362" s="31">
        <f>'mnt Data'!M365</f>
        <v>0</v>
      </c>
      <c r="AB362" s="31">
        <f>'mnt Data'!N365</f>
        <v>0</v>
      </c>
      <c r="AC362" s="31">
        <f>'mnt Data'!O365</f>
        <v>0</v>
      </c>
      <c r="AD362" s="31">
        <f>'mnt Data'!P365</f>
        <v>0</v>
      </c>
      <c r="AE362" s="31">
        <f>'mnt Data'!Q365</f>
        <v>0</v>
      </c>
      <c r="AF362" s="31">
        <f>'mnt Data'!R365</f>
        <v>0</v>
      </c>
      <c r="AG362" s="31">
        <f>'mnt Data'!S365</f>
        <v>0</v>
      </c>
      <c r="AH362" s="31">
        <f>'mnt Data'!T365</f>
        <v>0</v>
      </c>
      <c r="AI362" s="31">
        <f>'mnt Data'!U365</f>
        <v>0</v>
      </c>
      <c r="AJ362" s="31">
        <f>'mnt Data'!V365</f>
        <v>0</v>
      </c>
      <c r="AK362" s="31">
        <f>'mnt Data'!W365</f>
        <v>0</v>
      </c>
      <c r="AL362" s="31">
        <f>'mnt Data'!X365</f>
        <v>0</v>
      </c>
      <c r="AM362" s="31">
        <f>'mnt Data'!Y365</f>
        <v>0</v>
      </c>
      <c r="AN362" s="31">
        <f>'mnt Data'!Z365</f>
        <v>0</v>
      </c>
      <c r="AO362" s="31">
        <f>'mnt Data'!AA365</f>
        <v>0</v>
      </c>
      <c r="AP362" s="31">
        <f>'mnt Data'!AB365</f>
        <v>0</v>
      </c>
      <c r="AQ362" s="31">
        <f>'mnt Data'!AC365</f>
        <v>0</v>
      </c>
      <c r="AR362" s="31">
        <f>'mnt Data'!AD365</f>
        <v>0</v>
      </c>
      <c r="AS362" s="31">
        <f>'mnt Data'!AE365</f>
        <v>0</v>
      </c>
      <c r="AT362" s="31">
        <f>'mnt Data'!AF365</f>
        <v>0</v>
      </c>
      <c r="AU362" s="31">
        <f>'mnt Data'!AG365</f>
        <v>0</v>
      </c>
      <c r="AV362" s="31">
        <f>'mnt Data'!AH365</f>
        <v>0</v>
      </c>
      <c r="AW362" s="31">
        <f>'mnt Data'!AI365</f>
        <v>0</v>
      </c>
      <c r="AX362" s="31">
        <f>'mnt Data'!AJ365</f>
        <v>0</v>
      </c>
      <c r="AY362" s="31">
        <f>'mnt Data'!AK365</f>
        <v>0</v>
      </c>
    </row>
    <row r="363" spans="1:51" x14ac:dyDescent="0.25">
      <c r="A363">
        <v>362</v>
      </c>
      <c r="B363" s="32">
        <f t="shared" si="72"/>
        <v>0</v>
      </c>
      <c r="C363" s="32">
        <f t="shared" si="73"/>
        <v>0</v>
      </c>
      <c r="D363" s="32" t="str">
        <f t="shared" si="65"/>
        <v>No Gs</v>
      </c>
      <c r="E363" s="32">
        <f t="shared" si="69"/>
        <v>0</v>
      </c>
      <c r="F363" s="32" t="str">
        <f t="shared" si="70"/>
        <v>No Gs</v>
      </c>
      <c r="G363" s="32" t="str">
        <f t="shared" si="71"/>
        <v>No Gs</v>
      </c>
      <c r="H363" s="32" t="str">
        <f t="shared" si="74"/>
        <v>Gs is needed</v>
      </c>
      <c r="I363" s="32" t="str">
        <f t="shared" si="75"/>
        <v>Gs is needed</v>
      </c>
      <c r="J363" s="32" t="str">
        <f t="shared" si="76"/>
        <v>Gs is needed</v>
      </c>
      <c r="K363" s="32" t="str">
        <f t="shared" si="66"/>
        <v>Need Max and Min</v>
      </c>
      <c r="L363" s="32" t="str">
        <f t="shared" si="67"/>
        <v>Need Max and Min</v>
      </c>
      <c r="M363" s="32" t="str">
        <f t="shared" si="68"/>
        <v>Fail</v>
      </c>
      <c r="N363" s="32"/>
      <c r="O363" s="31">
        <f>'mnt Data'!A366</f>
        <v>0</v>
      </c>
      <c r="P363" s="31">
        <f>'mnt Data'!B366</f>
        <v>0</v>
      </c>
      <c r="Q363" s="31">
        <f>'mnt Data'!C366</f>
        <v>0</v>
      </c>
      <c r="R363" s="31">
        <f>'mnt Data'!D366</f>
        <v>0</v>
      </c>
      <c r="S363" s="31">
        <f>'mnt Data'!E366</f>
        <v>0</v>
      </c>
      <c r="T363" s="31">
        <f>'mnt Data'!F366</f>
        <v>0</v>
      </c>
      <c r="U363" s="31">
        <f>'mnt Data'!G366</f>
        <v>0</v>
      </c>
      <c r="V363" s="31">
        <f>'mnt Data'!H366</f>
        <v>0</v>
      </c>
      <c r="W363" s="31">
        <f>'mnt Data'!I366</f>
        <v>0</v>
      </c>
      <c r="X363" s="31">
        <f>'mnt Data'!J366</f>
        <v>0</v>
      </c>
      <c r="Y363" s="31">
        <f>'mnt Data'!K366</f>
        <v>0</v>
      </c>
      <c r="Z363" s="31">
        <f>'mnt Data'!L366</f>
        <v>0</v>
      </c>
      <c r="AA363" s="31">
        <f>'mnt Data'!M366</f>
        <v>0</v>
      </c>
      <c r="AB363" s="31">
        <f>'mnt Data'!N366</f>
        <v>0</v>
      </c>
      <c r="AC363" s="31">
        <f>'mnt Data'!O366</f>
        <v>0</v>
      </c>
      <c r="AD363" s="31">
        <f>'mnt Data'!P366</f>
        <v>0</v>
      </c>
      <c r="AE363" s="31">
        <f>'mnt Data'!Q366</f>
        <v>0</v>
      </c>
      <c r="AF363" s="31">
        <f>'mnt Data'!R366</f>
        <v>0</v>
      </c>
      <c r="AG363" s="31">
        <f>'mnt Data'!S366</f>
        <v>0</v>
      </c>
      <c r="AH363" s="31">
        <f>'mnt Data'!T366</f>
        <v>0</v>
      </c>
      <c r="AI363" s="31">
        <f>'mnt Data'!U366</f>
        <v>0</v>
      </c>
      <c r="AJ363" s="31">
        <f>'mnt Data'!V366</f>
        <v>0</v>
      </c>
      <c r="AK363" s="31">
        <f>'mnt Data'!W366</f>
        <v>0</v>
      </c>
      <c r="AL363" s="31">
        <f>'mnt Data'!X366</f>
        <v>0</v>
      </c>
      <c r="AM363" s="31">
        <f>'mnt Data'!Y366</f>
        <v>0</v>
      </c>
      <c r="AN363" s="31">
        <f>'mnt Data'!Z366</f>
        <v>0</v>
      </c>
      <c r="AO363" s="31">
        <f>'mnt Data'!AA366</f>
        <v>0</v>
      </c>
      <c r="AP363" s="31">
        <f>'mnt Data'!AB366</f>
        <v>0</v>
      </c>
      <c r="AQ363" s="31">
        <f>'mnt Data'!AC366</f>
        <v>0</v>
      </c>
      <c r="AR363" s="31">
        <f>'mnt Data'!AD366</f>
        <v>0</v>
      </c>
      <c r="AS363" s="31">
        <f>'mnt Data'!AE366</f>
        <v>0</v>
      </c>
      <c r="AT363" s="31">
        <f>'mnt Data'!AF366</f>
        <v>0</v>
      </c>
      <c r="AU363" s="31">
        <f>'mnt Data'!AG366</f>
        <v>0</v>
      </c>
      <c r="AV363" s="31">
        <f>'mnt Data'!AH366</f>
        <v>0</v>
      </c>
      <c r="AW363" s="31">
        <f>'mnt Data'!AI366</f>
        <v>0</v>
      </c>
      <c r="AX363" s="31">
        <f>'mnt Data'!AJ366</f>
        <v>0</v>
      </c>
      <c r="AY363" s="31">
        <f>'mnt Data'!AK366</f>
        <v>0</v>
      </c>
    </row>
    <row r="364" spans="1:51" x14ac:dyDescent="0.25">
      <c r="A364">
        <v>363</v>
      </c>
      <c r="B364" s="32">
        <f t="shared" si="72"/>
        <v>0</v>
      </c>
      <c r="C364" s="32">
        <f t="shared" si="73"/>
        <v>0</v>
      </c>
      <c r="D364" s="32" t="str">
        <f t="shared" si="65"/>
        <v>No Gs</v>
      </c>
      <c r="E364" s="32">
        <f t="shared" si="69"/>
        <v>0</v>
      </c>
      <c r="F364" s="32" t="str">
        <f t="shared" si="70"/>
        <v>No Gs</v>
      </c>
      <c r="G364" s="32" t="str">
        <f t="shared" si="71"/>
        <v>No Gs</v>
      </c>
      <c r="H364" s="32" t="str">
        <f t="shared" si="74"/>
        <v>Gs is needed</v>
      </c>
      <c r="I364" s="32" t="str">
        <f t="shared" si="75"/>
        <v>Gs is needed</v>
      </c>
      <c r="J364" s="32" t="str">
        <f t="shared" si="76"/>
        <v>Gs is needed</v>
      </c>
      <c r="K364" s="32" t="str">
        <f t="shared" si="66"/>
        <v>Need Max and Min</v>
      </c>
      <c r="L364" s="32" t="str">
        <f t="shared" si="67"/>
        <v>Need Max and Min</v>
      </c>
      <c r="M364" s="32" t="str">
        <f t="shared" si="68"/>
        <v>Fail</v>
      </c>
      <c r="N364" s="32"/>
      <c r="O364" s="31">
        <f>'mnt Data'!A367</f>
        <v>0</v>
      </c>
      <c r="P364" s="31">
        <f>'mnt Data'!B367</f>
        <v>0</v>
      </c>
      <c r="Q364" s="31">
        <f>'mnt Data'!C367</f>
        <v>0</v>
      </c>
      <c r="R364" s="31">
        <f>'mnt Data'!D367</f>
        <v>0</v>
      </c>
      <c r="S364" s="31">
        <f>'mnt Data'!E367</f>
        <v>0</v>
      </c>
      <c r="T364" s="31">
        <f>'mnt Data'!F367</f>
        <v>0</v>
      </c>
      <c r="U364" s="31">
        <f>'mnt Data'!G367</f>
        <v>0</v>
      </c>
      <c r="V364" s="31">
        <f>'mnt Data'!H367</f>
        <v>0</v>
      </c>
      <c r="W364" s="31">
        <f>'mnt Data'!I367</f>
        <v>0</v>
      </c>
      <c r="X364" s="31">
        <f>'mnt Data'!J367</f>
        <v>0</v>
      </c>
      <c r="Y364" s="31">
        <f>'mnt Data'!K367</f>
        <v>0</v>
      </c>
      <c r="Z364" s="31">
        <f>'mnt Data'!L367</f>
        <v>0</v>
      </c>
      <c r="AA364" s="31">
        <f>'mnt Data'!M367</f>
        <v>0</v>
      </c>
      <c r="AB364" s="31">
        <f>'mnt Data'!N367</f>
        <v>0</v>
      </c>
      <c r="AC364" s="31">
        <f>'mnt Data'!O367</f>
        <v>0</v>
      </c>
      <c r="AD364" s="31">
        <f>'mnt Data'!P367</f>
        <v>0</v>
      </c>
      <c r="AE364" s="31">
        <f>'mnt Data'!Q367</f>
        <v>0</v>
      </c>
      <c r="AF364" s="31">
        <f>'mnt Data'!R367</f>
        <v>0</v>
      </c>
      <c r="AG364" s="31">
        <f>'mnt Data'!S367</f>
        <v>0</v>
      </c>
      <c r="AH364" s="31">
        <f>'mnt Data'!T367</f>
        <v>0</v>
      </c>
      <c r="AI364" s="31">
        <f>'mnt Data'!U367</f>
        <v>0</v>
      </c>
      <c r="AJ364" s="31">
        <f>'mnt Data'!V367</f>
        <v>0</v>
      </c>
      <c r="AK364" s="31">
        <f>'mnt Data'!W367</f>
        <v>0</v>
      </c>
      <c r="AL364" s="31">
        <f>'mnt Data'!X367</f>
        <v>0</v>
      </c>
      <c r="AM364" s="31">
        <f>'mnt Data'!Y367</f>
        <v>0</v>
      </c>
      <c r="AN364" s="31">
        <f>'mnt Data'!Z367</f>
        <v>0</v>
      </c>
      <c r="AO364" s="31">
        <f>'mnt Data'!AA367</f>
        <v>0</v>
      </c>
      <c r="AP364" s="31">
        <f>'mnt Data'!AB367</f>
        <v>0</v>
      </c>
      <c r="AQ364" s="31">
        <f>'mnt Data'!AC367</f>
        <v>0</v>
      </c>
      <c r="AR364" s="31">
        <f>'mnt Data'!AD367</f>
        <v>0</v>
      </c>
      <c r="AS364" s="31">
        <f>'mnt Data'!AE367</f>
        <v>0</v>
      </c>
      <c r="AT364" s="31">
        <f>'mnt Data'!AF367</f>
        <v>0</v>
      </c>
      <c r="AU364" s="31">
        <f>'mnt Data'!AG367</f>
        <v>0</v>
      </c>
      <c r="AV364" s="31">
        <f>'mnt Data'!AH367</f>
        <v>0</v>
      </c>
      <c r="AW364" s="31">
        <f>'mnt Data'!AI367</f>
        <v>0</v>
      </c>
      <c r="AX364" s="31">
        <f>'mnt Data'!AJ367</f>
        <v>0</v>
      </c>
      <c r="AY364" s="31">
        <f>'mnt Data'!AK367</f>
        <v>0</v>
      </c>
    </row>
    <row r="365" spans="1:51" x14ac:dyDescent="0.25">
      <c r="A365">
        <v>364</v>
      </c>
      <c r="B365" s="32">
        <f t="shared" si="72"/>
        <v>0</v>
      </c>
      <c r="C365" s="32">
        <f t="shared" si="73"/>
        <v>0</v>
      </c>
      <c r="D365" s="32" t="str">
        <f t="shared" si="65"/>
        <v>No Gs</v>
      </c>
      <c r="E365" s="32">
        <f t="shared" si="69"/>
        <v>0</v>
      </c>
      <c r="F365" s="32" t="str">
        <f t="shared" si="70"/>
        <v>No Gs</v>
      </c>
      <c r="G365" s="32" t="str">
        <f t="shared" si="71"/>
        <v>No Gs</v>
      </c>
      <c r="H365" s="32" t="str">
        <f t="shared" si="74"/>
        <v>Gs is needed</v>
      </c>
      <c r="I365" s="32" t="str">
        <f t="shared" si="75"/>
        <v>Gs is needed</v>
      </c>
      <c r="J365" s="32" t="str">
        <f t="shared" si="76"/>
        <v>Gs is needed</v>
      </c>
      <c r="K365" s="32" t="str">
        <f t="shared" si="66"/>
        <v>Need Max and Min</v>
      </c>
      <c r="L365" s="32" t="str">
        <f t="shared" si="67"/>
        <v>Need Max and Min</v>
      </c>
      <c r="M365" s="32" t="str">
        <f t="shared" si="68"/>
        <v>Fail</v>
      </c>
      <c r="N365" s="32"/>
      <c r="O365" s="31">
        <f>'mnt Data'!A368</f>
        <v>0</v>
      </c>
      <c r="P365" s="31">
        <f>'mnt Data'!B368</f>
        <v>0</v>
      </c>
      <c r="Q365" s="31">
        <f>'mnt Data'!C368</f>
        <v>0</v>
      </c>
      <c r="R365" s="31">
        <f>'mnt Data'!D368</f>
        <v>0</v>
      </c>
      <c r="S365" s="31">
        <f>'mnt Data'!E368</f>
        <v>0</v>
      </c>
      <c r="T365" s="31">
        <f>'mnt Data'!F368</f>
        <v>0</v>
      </c>
      <c r="U365" s="31">
        <f>'mnt Data'!G368</f>
        <v>0</v>
      </c>
      <c r="V365" s="31">
        <f>'mnt Data'!H368</f>
        <v>0</v>
      </c>
      <c r="W365" s="31">
        <f>'mnt Data'!I368</f>
        <v>0</v>
      </c>
      <c r="X365" s="31">
        <f>'mnt Data'!J368</f>
        <v>0</v>
      </c>
      <c r="Y365" s="31">
        <f>'mnt Data'!K368</f>
        <v>0</v>
      </c>
      <c r="Z365" s="31">
        <f>'mnt Data'!L368</f>
        <v>0</v>
      </c>
      <c r="AA365" s="31">
        <f>'mnt Data'!M368</f>
        <v>0</v>
      </c>
      <c r="AB365" s="31">
        <f>'mnt Data'!N368</f>
        <v>0</v>
      </c>
      <c r="AC365" s="31">
        <f>'mnt Data'!O368</f>
        <v>0</v>
      </c>
      <c r="AD365" s="31">
        <f>'mnt Data'!P368</f>
        <v>0</v>
      </c>
      <c r="AE365" s="31">
        <f>'mnt Data'!Q368</f>
        <v>0</v>
      </c>
      <c r="AF365" s="31">
        <f>'mnt Data'!R368</f>
        <v>0</v>
      </c>
      <c r="AG365" s="31">
        <f>'mnt Data'!S368</f>
        <v>0</v>
      </c>
      <c r="AH365" s="31">
        <f>'mnt Data'!T368</f>
        <v>0</v>
      </c>
      <c r="AI365" s="31">
        <f>'mnt Data'!U368</f>
        <v>0</v>
      </c>
      <c r="AJ365" s="31">
        <f>'mnt Data'!V368</f>
        <v>0</v>
      </c>
      <c r="AK365" s="31">
        <f>'mnt Data'!W368</f>
        <v>0</v>
      </c>
      <c r="AL365" s="31">
        <f>'mnt Data'!X368</f>
        <v>0</v>
      </c>
      <c r="AM365" s="31">
        <f>'mnt Data'!Y368</f>
        <v>0</v>
      </c>
      <c r="AN365" s="31">
        <f>'mnt Data'!Z368</f>
        <v>0</v>
      </c>
      <c r="AO365" s="31">
        <f>'mnt Data'!AA368</f>
        <v>0</v>
      </c>
      <c r="AP365" s="31">
        <f>'mnt Data'!AB368</f>
        <v>0</v>
      </c>
      <c r="AQ365" s="31">
        <f>'mnt Data'!AC368</f>
        <v>0</v>
      </c>
      <c r="AR365" s="31">
        <f>'mnt Data'!AD368</f>
        <v>0</v>
      </c>
      <c r="AS365" s="31">
        <f>'mnt Data'!AE368</f>
        <v>0</v>
      </c>
      <c r="AT365" s="31">
        <f>'mnt Data'!AF368</f>
        <v>0</v>
      </c>
      <c r="AU365" s="31">
        <f>'mnt Data'!AG368</f>
        <v>0</v>
      </c>
      <c r="AV365" s="31">
        <f>'mnt Data'!AH368</f>
        <v>0</v>
      </c>
      <c r="AW365" s="31">
        <f>'mnt Data'!AI368</f>
        <v>0</v>
      </c>
      <c r="AX365" s="31">
        <f>'mnt Data'!AJ368</f>
        <v>0</v>
      </c>
      <c r="AY365" s="31">
        <f>'mnt Data'!AK368</f>
        <v>0</v>
      </c>
    </row>
    <row r="366" spans="1:51" x14ac:dyDescent="0.25">
      <c r="A366">
        <v>365</v>
      </c>
      <c r="B366" s="32">
        <f t="shared" si="72"/>
        <v>0</v>
      </c>
      <c r="C366" s="32">
        <f t="shared" si="73"/>
        <v>0</v>
      </c>
      <c r="D366" s="32" t="str">
        <f t="shared" si="65"/>
        <v>No Gs</v>
      </c>
      <c r="E366" s="32">
        <f t="shared" si="69"/>
        <v>0</v>
      </c>
      <c r="F366" s="32" t="str">
        <f t="shared" si="70"/>
        <v>No Gs</v>
      </c>
      <c r="G366" s="32" t="str">
        <f t="shared" si="71"/>
        <v>No Gs</v>
      </c>
      <c r="H366" s="32" t="str">
        <f t="shared" si="74"/>
        <v>Gs is needed</v>
      </c>
      <c r="I366" s="32" t="str">
        <f t="shared" si="75"/>
        <v>Gs is needed</v>
      </c>
      <c r="J366" s="32" t="str">
        <f t="shared" si="76"/>
        <v>Gs is needed</v>
      </c>
      <c r="K366" s="32" t="str">
        <f t="shared" si="66"/>
        <v>Need Max and Min</v>
      </c>
      <c r="L366" s="32" t="str">
        <f t="shared" si="67"/>
        <v>Need Max and Min</v>
      </c>
      <c r="M366" s="32" t="str">
        <f t="shared" si="68"/>
        <v>Fail</v>
      </c>
      <c r="N366" s="32"/>
      <c r="O366" s="31">
        <f>'mnt Data'!A369</f>
        <v>0</v>
      </c>
      <c r="P366" s="31">
        <f>'mnt Data'!B369</f>
        <v>0</v>
      </c>
      <c r="Q366" s="31">
        <f>'mnt Data'!C369</f>
        <v>0</v>
      </c>
      <c r="R366" s="31">
        <f>'mnt Data'!D369</f>
        <v>0</v>
      </c>
      <c r="S366" s="31">
        <f>'mnt Data'!E369</f>
        <v>0</v>
      </c>
      <c r="T366" s="31">
        <f>'mnt Data'!F369</f>
        <v>0</v>
      </c>
      <c r="U366" s="31">
        <f>'mnt Data'!G369</f>
        <v>0</v>
      </c>
      <c r="V366" s="31">
        <f>'mnt Data'!H369</f>
        <v>0</v>
      </c>
      <c r="W366" s="31">
        <f>'mnt Data'!I369</f>
        <v>0</v>
      </c>
      <c r="X366" s="31">
        <f>'mnt Data'!J369</f>
        <v>0</v>
      </c>
      <c r="Y366" s="31">
        <f>'mnt Data'!K369</f>
        <v>0</v>
      </c>
      <c r="Z366" s="31">
        <f>'mnt Data'!L369</f>
        <v>0</v>
      </c>
      <c r="AA366" s="31">
        <f>'mnt Data'!M369</f>
        <v>0</v>
      </c>
      <c r="AB366" s="31">
        <f>'mnt Data'!N369</f>
        <v>0</v>
      </c>
      <c r="AC366" s="31">
        <f>'mnt Data'!O369</f>
        <v>0</v>
      </c>
      <c r="AD366" s="31">
        <f>'mnt Data'!P369</f>
        <v>0</v>
      </c>
      <c r="AE366" s="31">
        <f>'mnt Data'!Q369</f>
        <v>0</v>
      </c>
      <c r="AF366" s="31">
        <f>'mnt Data'!R369</f>
        <v>0</v>
      </c>
      <c r="AG366" s="31">
        <f>'mnt Data'!S369</f>
        <v>0</v>
      </c>
      <c r="AH366" s="31">
        <f>'mnt Data'!T369</f>
        <v>0</v>
      </c>
      <c r="AI366" s="31">
        <f>'mnt Data'!U369</f>
        <v>0</v>
      </c>
      <c r="AJ366" s="31">
        <f>'mnt Data'!V369</f>
        <v>0</v>
      </c>
      <c r="AK366" s="31">
        <f>'mnt Data'!W369</f>
        <v>0</v>
      </c>
      <c r="AL366" s="31">
        <f>'mnt Data'!X369</f>
        <v>0</v>
      </c>
      <c r="AM366" s="31">
        <f>'mnt Data'!Y369</f>
        <v>0</v>
      </c>
      <c r="AN366" s="31">
        <f>'mnt Data'!Z369</f>
        <v>0</v>
      </c>
      <c r="AO366" s="31">
        <f>'mnt Data'!AA369</f>
        <v>0</v>
      </c>
      <c r="AP366" s="31">
        <f>'mnt Data'!AB369</f>
        <v>0</v>
      </c>
      <c r="AQ366" s="31">
        <f>'mnt Data'!AC369</f>
        <v>0</v>
      </c>
      <c r="AR366" s="31">
        <f>'mnt Data'!AD369</f>
        <v>0</v>
      </c>
      <c r="AS366" s="31">
        <f>'mnt Data'!AE369</f>
        <v>0</v>
      </c>
      <c r="AT366" s="31">
        <f>'mnt Data'!AF369</f>
        <v>0</v>
      </c>
      <c r="AU366" s="31">
        <f>'mnt Data'!AG369</f>
        <v>0</v>
      </c>
      <c r="AV366" s="31">
        <f>'mnt Data'!AH369</f>
        <v>0</v>
      </c>
      <c r="AW366" s="31">
        <f>'mnt Data'!AI369</f>
        <v>0</v>
      </c>
      <c r="AX366" s="31">
        <f>'mnt Data'!AJ369</f>
        <v>0</v>
      </c>
      <c r="AY366" s="31">
        <f>'mnt Data'!AK369</f>
        <v>0</v>
      </c>
    </row>
    <row r="367" spans="1:51" x14ac:dyDescent="0.25">
      <c r="A367">
        <v>366</v>
      </c>
      <c r="B367" s="32">
        <f t="shared" si="72"/>
        <v>0</v>
      </c>
      <c r="C367" s="32">
        <f t="shared" si="73"/>
        <v>0</v>
      </c>
      <c r="D367" s="32" t="str">
        <f t="shared" si="65"/>
        <v>No Gs</v>
      </c>
      <c r="E367" s="32">
        <f t="shared" si="69"/>
        <v>0</v>
      </c>
      <c r="F367" s="32" t="str">
        <f t="shared" si="70"/>
        <v>No Gs</v>
      </c>
      <c r="G367" s="32" t="str">
        <f t="shared" si="71"/>
        <v>No Gs</v>
      </c>
      <c r="H367" s="32" t="str">
        <f t="shared" si="74"/>
        <v>Gs is needed</v>
      </c>
      <c r="I367" s="32" t="str">
        <f t="shared" si="75"/>
        <v>Gs is needed</v>
      </c>
      <c r="J367" s="32" t="str">
        <f t="shared" si="76"/>
        <v>Gs is needed</v>
      </c>
      <c r="K367" s="32" t="str">
        <f t="shared" si="66"/>
        <v>Need Max and Min</v>
      </c>
      <c r="L367" s="32" t="str">
        <f t="shared" si="67"/>
        <v>Need Max and Min</v>
      </c>
      <c r="M367" s="32" t="str">
        <f t="shared" si="68"/>
        <v>Fail</v>
      </c>
      <c r="N367" s="32"/>
      <c r="O367" s="31">
        <f>'mnt Data'!A370</f>
        <v>0</v>
      </c>
      <c r="P367" s="31">
        <f>'mnt Data'!B370</f>
        <v>0</v>
      </c>
      <c r="Q367" s="31">
        <f>'mnt Data'!C370</f>
        <v>0</v>
      </c>
      <c r="R367" s="31">
        <f>'mnt Data'!D370</f>
        <v>0</v>
      </c>
      <c r="S367" s="31">
        <f>'mnt Data'!E370</f>
        <v>0</v>
      </c>
      <c r="T367" s="31">
        <f>'mnt Data'!F370</f>
        <v>0</v>
      </c>
      <c r="U367" s="31">
        <f>'mnt Data'!G370</f>
        <v>0</v>
      </c>
      <c r="V367" s="31">
        <f>'mnt Data'!H370</f>
        <v>0</v>
      </c>
      <c r="W367" s="31">
        <f>'mnt Data'!I370</f>
        <v>0</v>
      </c>
      <c r="X367" s="31">
        <f>'mnt Data'!J370</f>
        <v>0</v>
      </c>
      <c r="Y367" s="31">
        <f>'mnt Data'!K370</f>
        <v>0</v>
      </c>
      <c r="Z367" s="31">
        <f>'mnt Data'!L370</f>
        <v>0</v>
      </c>
      <c r="AA367" s="31">
        <f>'mnt Data'!M370</f>
        <v>0</v>
      </c>
      <c r="AB367" s="31">
        <f>'mnt Data'!N370</f>
        <v>0</v>
      </c>
      <c r="AC367" s="31">
        <f>'mnt Data'!O370</f>
        <v>0</v>
      </c>
      <c r="AD367" s="31">
        <f>'mnt Data'!P370</f>
        <v>0</v>
      </c>
      <c r="AE367" s="31">
        <f>'mnt Data'!Q370</f>
        <v>0</v>
      </c>
      <c r="AF367" s="31">
        <f>'mnt Data'!R370</f>
        <v>0</v>
      </c>
      <c r="AG367" s="31">
        <f>'mnt Data'!S370</f>
        <v>0</v>
      </c>
      <c r="AH367" s="31">
        <f>'mnt Data'!T370</f>
        <v>0</v>
      </c>
      <c r="AI367" s="31">
        <f>'mnt Data'!U370</f>
        <v>0</v>
      </c>
      <c r="AJ367" s="31">
        <f>'mnt Data'!V370</f>
        <v>0</v>
      </c>
      <c r="AK367" s="31">
        <f>'mnt Data'!W370</f>
        <v>0</v>
      </c>
      <c r="AL367" s="31">
        <f>'mnt Data'!X370</f>
        <v>0</v>
      </c>
      <c r="AM367" s="31">
        <f>'mnt Data'!Y370</f>
        <v>0</v>
      </c>
      <c r="AN367" s="31">
        <f>'mnt Data'!Z370</f>
        <v>0</v>
      </c>
      <c r="AO367" s="31">
        <f>'mnt Data'!AA370</f>
        <v>0</v>
      </c>
      <c r="AP367" s="31">
        <f>'mnt Data'!AB370</f>
        <v>0</v>
      </c>
      <c r="AQ367" s="31">
        <f>'mnt Data'!AC370</f>
        <v>0</v>
      </c>
      <c r="AR367" s="31">
        <f>'mnt Data'!AD370</f>
        <v>0</v>
      </c>
      <c r="AS367" s="31">
        <f>'mnt Data'!AE370</f>
        <v>0</v>
      </c>
      <c r="AT367" s="31">
        <f>'mnt Data'!AF370</f>
        <v>0</v>
      </c>
      <c r="AU367" s="31">
        <f>'mnt Data'!AG370</f>
        <v>0</v>
      </c>
      <c r="AV367" s="31">
        <f>'mnt Data'!AH370</f>
        <v>0</v>
      </c>
      <c r="AW367" s="31">
        <f>'mnt Data'!AI370</f>
        <v>0</v>
      </c>
      <c r="AX367" s="31">
        <f>'mnt Data'!AJ370</f>
        <v>0</v>
      </c>
      <c r="AY367" s="31">
        <f>'mnt Data'!AK370</f>
        <v>0</v>
      </c>
    </row>
    <row r="368" spans="1:51" x14ac:dyDescent="0.25">
      <c r="A368">
        <v>367</v>
      </c>
      <c r="B368" s="32">
        <f t="shared" si="72"/>
        <v>0</v>
      </c>
      <c r="C368" s="32">
        <f t="shared" si="73"/>
        <v>0</v>
      </c>
      <c r="D368" s="32" t="str">
        <f t="shared" si="65"/>
        <v>No Gs</v>
      </c>
      <c r="E368" s="32">
        <f t="shared" si="69"/>
        <v>0</v>
      </c>
      <c r="F368" s="32" t="str">
        <f t="shared" si="70"/>
        <v>No Gs</v>
      </c>
      <c r="G368" s="32" t="str">
        <f t="shared" si="71"/>
        <v>No Gs</v>
      </c>
      <c r="H368" s="32" t="str">
        <f t="shared" si="74"/>
        <v>Gs is needed</v>
      </c>
      <c r="I368" s="32" t="str">
        <f t="shared" si="75"/>
        <v>Gs is needed</v>
      </c>
      <c r="J368" s="32" t="str">
        <f t="shared" si="76"/>
        <v>Gs is needed</v>
      </c>
      <c r="K368" s="32" t="str">
        <f t="shared" si="66"/>
        <v>Need Max and Min</v>
      </c>
      <c r="L368" s="32" t="str">
        <f t="shared" si="67"/>
        <v>Need Max and Min</v>
      </c>
      <c r="M368" s="32" t="str">
        <f t="shared" si="68"/>
        <v>Fail</v>
      </c>
      <c r="N368" s="32"/>
      <c r="O368" s="31">
        <f>'mnt Data'!A371</f>
        <v>0</v>
      </c>
      <c r="P368" s="31">
        <f>'mnt Data'!B371</f>
        <v>0</v>
      </c>
      <c r="Q368" s="31">
        <f>'mnt Data'!C371</f>
        <v>0</v>
      </c>
      <c r="R368" s="31">
        <f>'mnt Data'!D371</f>
        <v>0</v>
      </c>
      <c r="S368" s="31">
        <f>'mnt Data'!E371</f>
        <v>0</v>
      </c>
      <c r="T368" s="31">
        <f>'mnt Data'!F371</f>
        <v>0</v>
      </c>
      <c r="U368" s="31">
        <f>'mnt Data'!G371</f>
        <v>0</v>
      </c>
      <c r="V368" s="31">
        <f>'mnt Data'!H371</f>
        <v>0</v>
      </c>
      <c r="W368" s="31">
        <f>'mnt Data'!I371</f>
        <v>0</v>
      </c>
      <c r="X368" s="31">
        <f>'mnt Data'!J371</f>
        <v>0</v>
      </c>
      <c r="Y368" s="31">
        <f>'mnt Data'!K371</f>
        <v>0</v>
      </c>
      <c r="Z368" s="31">
        <f>'mnt Data'!L371</f>
        <v>0</v>
      </c>
      <c r="AA368" s="31">
        <f>'mnt Data'!M371</f>
        <v>0</v>
      </c>
      <c r="AB368" s="31">
        <f>'mnt Data'!N371</f>
        <v>0</v>
      </c>
      <c r="AC368" s="31">
        <f>'mnt Data'!O371</f>
        <v>0</v>
      </c>
      <c r="AD368" s="31">
        <f>'mnt Data'!P371</f>
        <v>0</v>
      </c>
      <c r="AE368" s="31">
        <f>'mnt Data'!Q371</f>
        <v>0</v>
      </c>
      <c r="AF368" s="31">
        <f>'mnt Data'!R371</f>
        <v>0</v>
      </c>
      <c r="AG368" s="31">
        <f>'mnt Data'!S371</f>
        <v>0</v>
      </c>
      <c r="AH368" s="31">
        <f>'mnt Data'!T371</f>
        <v>0</v>
      </c>
      <c r="AI368" s="31">
        <f>'mnt Data'!U371</f>
        <v>0</v>
      </c>
      <c r="AJ368" s="31">
        <f>'mnt Data'!V371</f>
        <v>0</v>
      </c>
      <c r="AK368" s="31">
        <f>'mnt Data'!W371</f>
        <v>0</v>
      </c>
      <c r="AL368" s="31">
        <f>'mnt Data'!X371</f>
        <v>0</v>
      </c>
      <c r="AM368" s="31">
        <f>'mnt Data'!Y371</f>
        <v>0</v>
      </c>
      <c r="AN368" s="31">
        <f>'mnt Data'!Z371</f>
        <v>0</v>
      </c>
      <c r="AO368" s="31">
        <f>'mnt Data'!AA371</f>
        <v>0</v>
      </c>
      <c r="AP368" s="31">
        <f>'mnt Data'!AB371</f>
        <v>0</v>
      </c>
      <c r="AQ368" s="31">
        <f>'mnt Data'!AC371</f>
        <v>0</v>
      </c>
      <c r="AR368" s="31">
        <f>'mnt Data'!AD371</f>
        <v>0</v>
      </c>
      <c r="AS368" s="31">
        <f>'mnt Data'!AE371</f>
        <v>0</v>
      </c>
      <c r="AT368" s="31">
        <f>'mnt Data'!AF371</f>
        <v>0</v>
      </c>
      <c r="AU368" s="31">
        <f>'mnt Data'!AG371</f>
        <v>0</v>
      </c>
      <c r="AV368" s="31">
        <f>'mnt Data'!AH371</f>
        <v>0</v>
      </c>
      <c r="AW368" s="31">
        <f>'mnt Data'!AI371</f>
        <v>0</v>
      </c>
      <c r="AX368" s="31">
        <f>'mnt Data'!AJ371</f>
        <v>0</v>
      </c>
      <c r="AY368" s="31">
        <f>'mnt Data'!AK371</f>
        <v>0</v>
      </c>
    </row>
    <row r="369" spans="1:51" x14ac:dyDescent="0.25">
      <c r="A369">
        <v>368</v>
      </c>
      <c r="B369" s="32">
        <f t="shared" si="72"/>
        <v>0</v>
      </c>
      <c r="C369" s="32">
        <f t="shared" si="73"/>
        <v>0</v>
      </c>
      <c r="D369" s="32" t="str">
        <f t="shared" si="65"/>
        <v>No Gs</v>
      </c>
      <c r="E369" s="32">
        <f t="shared" si="69"/>
        <v>0</v>
      </c>
      <c r="F369" s="32" t="str">
        <f t="shared" si="70"/>
        <v>No Gs</v>
      </c>
      <c r="G369" s="32" t="str">
        <f t="shared" si="71"/>
        <v>No Gs</v>
      </c>
      <c r="H369" s="32" t="str">
        <f t="shared" si="74"/>
        <v>Gs is needed</v>
      </c>
      <c r="I369" s="32" t="str">
        <f t="shared" si="75"/>
        <v>Gs is needed</v>
      </c>
      <c r="J369" s="32" t="str">
        <f t="shared" si="76"/>
        <v>Gs is needed</v>
      </c>
      <c r="K369" s="32" t="str">
        <f t="shared" si="66"/>
        <v>Need Max and Min</v>
      </c>
      <c r="L369" s="32" t="str">
        <f t="shared" si="67"/>
        <v>Need Max and Min</v>
      </c>
      <c r="M369" s="32" t="str">
        <f t="shared" si="68"/>
        <v>Fail</v>
      </c>
      <c r="N369" s="32"/>
      <c r="O369" s="31">
        <f>'mnt Data'!A372</f>
        <v>0</v>
      </c>
      <c r="P369" s="31">
        <f>'mnt Data'!B372</f>
        <v>0</v>
      </c>
      <c r="Q369" s="31">
        <f>'mnt Data'!C372</f>
        <v>0</v>
      </c>
      <c r="R369" s="31">
        <f>'mnt Data'!D372</f>
        <v>0</v>
      </c>
      <c r="S369" s="31">
        <f>'mnt Data'!E372</f>
        <v>0</v>
      </c>
      <c r="T369" s="31">
        <f>'mnt Data'!F372</f>
        <v>0</v>
      </c>
      <c r="U369" s="31">
        <f>'mnt Data'!G372</f>
        <v>0</v>
      </c>
      <c r="V369" s="31">
        <f>'mnt Data'!H372</f>
        <v>0</v>
      </c>
      <c r="W369" s="31">
        <f>'mnt Data'!I372</f>
        <v>0</v>
      </c>
      <c r="X369" s="31">
        <f>'mnt Data'!J372</f>
        <v>0</v>
      </c>
      <c r="Y369" s="31">
        <f>'mnt Data'!K372</f>
        <v>0</v>
      </c>
      <c r="Z369" s="31">
        <f>'mnt Data'!L372</f>
        <v>0</v>
      </c>
      <c r="AA369" s="31">
        <f>'mnt Data'!M372</f>
        <v>0</v>
      </c>
      <c r="AB369" s="31">
        <f>'mnt Data'!N372</f>
        <v>0</v>
      </c>
      <c r="AC369" s="31">
        <f>'mnt Data'!O372</f>
        <v>0</v>
      </c>
      <c r="AD369" s="31">
        <f>'mnt Data'!P372</f>
        <v>0</v>
      </c>
      <c r="AE369" s="31">
        <f>'mnt Data'!Q372</f>
        <v>0</v>
      </c>
      <c r="AF369" s="31">
        <f>'mnt Data'!R372</f>
        <v>0</v>
      </c>
      <c r="AG369" s="31">
        <f>'mnt Data'!S372</f>
        <v>0</v>
      </c>
      <c r="AH369" s="31">
        <f>'mnt Data'!T372</f>
        <v>0</v>
      </c>
      <c r="AI369" s="31">
        <f>'mnt Data'!U372</f>
        <v>0</v>
      </c>
      <c r="AJ369" s="31">
        <f>'mnt Data'!V372</f>
        <v>0</v>
      </c>
      <c r="AK369" s="31">
        <f>'mnt Data'!W372</f>
        <v>0</v>
      </c>
      <c r="AL369" s="31">
        <f>'mnt Data'!X372</f>
        <v>0</v>
      </c>
      <c r="AM369" s="31">
        <f>'mnt Data'!Y372</f>
        <v>0</v>
      </c>
      <c r="AN369" s="31">
        <f>'mnt Data'!Z372</f>
        <v>0</v>
      </c>
      <c r="AO369" s="31">
        <f>'mnt Data'!AA372</f>
        <v>0</v>
      </c>
      <c r="AP369" s="31">
        <f>'mnt Data'!AB372</f>
        <v>0</v>
      </c>
      <c r="AQ369" s="31">
        <f>'mnt Data'!AC372</f>
        <v>0</v>
      </c>
      <c r="AR369" s="31">
        <f>'mnt Data'!AD372</f>
        <v>0</v>
      </c>
      <c r="AS369" s="31">
        <f>'mnt Data'!AE372</f>
        <v>0</v>
      </c>
      <c r="AT369" s="31">
        <f>'mnt Data'!AF372</f>
        <v>0</v>
      </c>
      <c r="AU369" s="31">
        <f>'mnt Data'!AG372</f>
        <v>0</v>
      </c>
      <c r="AV369" s="31">
        <f>'mnt Data'!AH372</f>
        <v>0</v>
      </c>
      <c r="AW369" s="31">
        <f>'mnt Data'!AI372</f>
        <v>0</v>
      </c>
      <c r="AX369" s="31">
        <f>'mnt Data'!AJ372</f>
        <v>0</v>
      </c>
      <c r="AY369" s="31">
        <f>'mnt Data'!AK372</f>
        <v>0</v>
      </c>
    </row>
    <row r="370" spans="1:51" x14ac:dyDescent="0.25">
      <c r="A370">
        <v>369</v>
      </c>
      <c r="B370" s="32">
        <f t="shared" si="72"/>
        <v>0</v>
      </c>
      <c r="C370" s="32">
        <f t="shared" si="73"/>
        <v>0</v>
      </c>
      <c r="D370" s="32" t="str">
        <f t="shared" si="65"/>
        <v>No Gs</v>
      </c>
      <c r="E370" s="32">
        <f t="shared" si="69"/>
        <v>0</v>
      </c>
      <c r="F370" s="32" t="str">
        <f t="shared" si="70"/>
        <v>No Gs</v>
      </c>
      <c r="G370" s="32" t="str">
        <f t="shared" si="71"/>
        <v>No Gs</v>
      </c>
      <c r="H370" s="32" t="str">
        <f t="shared" si="74"/>
        <v>Gs is needed</v>
      </c>
      <c r="I370" s="32" t="str">
        <f t="shared" si="75"/>
        <v>Gs is needed</v>
      </c>
      <c r="J370" s="32" t="str">
        <f t="shared" si="76"/>
        <v>Gs is needed</v>
      </c>
      <c r="K370" s="32" t="str">
        <f t="shared" si="66"/>
        <v>Need Max and Min</v>
      </c>
      <c r="L370" s="32" t="str">
        <f t="shared" si="67"/>
        <v>Need Max and Min</v>
      </c>
      <c r="M370" s="32" t="str">
        <f t="shared" si="68"/>
        <v>Fail</v>
      </c>
      <c r="N370" s="32"/>
      <c r="O370" s="31">
        <f>'mnt Data'!A373</f>
        <v>0</v>
      </c>
      <c r="P370" s="31">
        <f>'mnt Data'!B373</f>
        <v>0</v>
      </c>
      <c r="Q370" s="31">
        <f>'mnt Data'!C373</f>
        <v>0</v>
      </c>
      <c r="R370" s="31">
        <f>'mnt Data'!D373</f>
        <v>0</v>
      </c>
      <c r="S370" s="31">
        <f>'mnt Data'!E373</f>
        <v>0</v>
      </c>
      <c r="T370" s="31">
        <f>'mnt Data'!F373</f>
        <v>0</v>
      </c>
      <c r="U370" s="31">
        <f>'mnt Data'!G373</f>
        <v>0</v>
      </c>
      <c r="V370" s="31">
        <f>'mnt Data'!H373</f>
        <v>0</v>
      </c>
      <c r="W370" s="31">
        <f>'mnt Data'!I373</f>
        <v>0</v>
      </c>
      <c r="X370" s="31">
        <f>'mnt Data'!J373</f>
        <v>0</v>
      </c>
      <c r="Y370" s="31">
        <f>'mnt Data'!K373</f>
        <v>0</v>
      </c>
      <c r="Z370" s="31">
        <f>'mnt Data'!L373</f>
        <v>0</v>
      </c>
      <c r="AA370" s="31">
        <f>'mnt Data'!M373</f>
        <v>0</v>
      </c>
      <c r="AB370" s="31">
        <f>'mnt Data'!N373</f>
        <v>0</v>
      </c>
      <c r="AC370" s="31">
        <f>'mnt Data'!O373</f>
        <v>0</v>
      </c>
      <c r="AD370" s="31">
        <f>'mnt Data'!P373</f>
        <v>0</v>
      </c>
      <c r="AE370" s="31">
        <f>'mnt Data'!Q373</f>
        <v>0</v>
      </c>
      <c r="AF370" s="31">
        <f>'mnt Data'!R373</f>
        <v>0</v>
      </c>
      <c r="AG370" s="31">
        <f>'mnt Data'!S373</f>
        <v>0</v>
      </c>
      <c r="AH370" s="31">
        <f>'mnt Data'!T373</f>
        <v>0</v>
      </c>
      <c r="AI370" s="31">
        <f>'mnt Data'!U373</f>
        <v>0</v>
      </c>
      <c r="AJ370" s="31">
        <f>'mnt Data'!V373</f>
        <v>0</v>
      </c>
      <c r="AK370" s="31">
        <f>'mnt Data'!W373</f>
        <v>0</v>
      </c>
      <c r="AL370" s="31">
        <f>'mnt Data'!X373</f>
        <v>0</v>
      </c>
      <c r="AM370" s="31">
        <f>'mnt Data'!Y373</f>
        <v>0</v>
      </c>
      <c r="AN370" s="31">
        <f>'mnt Data'!Z373</f>
        <v>0</v>
      </c>
      <c r="AO370" s="31">
        <f>'mnt Data'!AA373</f>
        <v>0</v>
      </c>
      <c r="AP370" s="31">
        <f>'mnt Data'!AB373</f>
        <v>0</v>
      </c>
      <c r="AQ370" s="31">
        <f>'mnt Data'!AC373</f>
        <v>0</v>
      </c>
      <c r="AR370" s="31">
        <f>'mnt Data'!AD373</f>
        <v>0</v>
      </c>
      <c r="AS370" s="31">
        <f>'mnt Data'!AE373</f>
        <v>0</v>
      </c>
      <c r="AT370" s="31">
        <f>'mnt Data'!AF373</f>
        <v>0</v>
      </c>
      <c r="AU370" s="31">
        <f>'mnt Data'!AG373</f>
        <v>0</v>
      </c>
      <c r="AV370" s="31">
        <f>'mnt Data'!AH373</f>
        <v>0</v>
      </c>
      <c r="AW370" s="31">
        <f>'mnt Data'!AI373</f>
        <v>0</v>
      </c>
      <c r="AX370" s="31">
        <f>'mnt Data'!AJ373</f>
        <v>0</v>
      </c>
      <c r="AY370" s="31">
        <f>'mnt Data'!AK373</f>
        <v>0</v>
      </c>
    </row>
    <row r="371" spans="1:51" x14ac:dyDescent="0.25">
      <c r="A371">
        <v>370</v>
      </c>
      <c r="B371" s="32">
        <f t="shared" si="72"/>
        <v>0</v>
      </c>
      <c r="C371" s="32">
        <f t="shared" si="73"/>
        <v>0</v>
      </c>
      <c r="D371" s="32" t="str">
        <f t="shared" si="65"/>
        <v>No Gs</v>
      </c>
      <c r="E371" s="32">
        <f t="shared" si="69"/>
        <v>0</v>
      </c>
      <c r="F371" s="32" t="str">
        <f t="shared" si="70"/>
        <v>No Gs</v>
      </c>
      <c r="G371" s="32" t="str">
        <f t="shared" si="71"/>
        <v>No Gs</v>
      </c>
      <c r="H371" s="32" t="str">
        <f t="shared" si="74"/>
        <v>Gs is needed</v>
      </c>
      <c r="I371" s="32" t="str">
        <f t="shared" si="75"/>
        <v>Gs is needed</v>
      </c>
      <c r="J371" s="32" t="str">
        <f t="shared" si="76"/>
        <v>Gs is needed</v>
      </c>
      <c r="K371" s="32" t="str">
        <f t="shared" si="66"/>
        <v>Need Max and Min</v>
      </c>
      <c r="L371" s="32" t="str">
        <f t="shared" si="67"/>
        <v>Need Max and Min</v>
      </c>
      <c r="M371" s="32" t="str">
        <f t="shared" si="68"/>
        <v>Fail</v>
      </c>
      <c r="N371" s="32"/>
      <c r="O371" s="31">
        <f>'mnt Data'!A374</f>
        <v>0</v>
      </c>
      <c r="P371" s="31">
        <f>'mnt Data'!B374</f>
        <v>0</v>
      </c>
      <c r="Q371" s="31">
        <f>'mnt Data'!C374</f>
        <v>0</v>
      </c>
      <c r="R371" s="31">
        <f>'mnt Data'!D374</f>
        <v>0</v>
      </c>
      <c r="S371" s="31">
        <f>'mnt Data'!E374</f>
        <v>0</v>
      </c>
      <c r="T371" s="31">
        <f>'mnt Data'!F374</f>
        <v>0</v>
      </c>
      <c r="U371" s="31">
        <f>'mnt Data'!G374</f>
        <v>0</v>
      </c>
      <c r="V371" s="31">
        <f>'mnt Data'!H374</f>
        <v>0</v>
      </c>
      <c r="W371" s="31">
        <f>'mnt Data'!I374</f>
        <v>0</v>
      </c>
      <c r="X371" s="31">
        <f>'mnt Data'!J374</f>
        <v>0</v>
      </c>
      <c r="Y371" s="31">
        <f>'mnt Data'!K374</f>
        <v>0</v>
      </c>
      <c r="Z371" s="31">
        <f>'mnt Data'!L374</f>
        <v>0</v>
      </c>
      <c r="AA371" s="31">
        <f>'mnt Data'!M374</f>
        <v>0</v>
      </c>
      <c r="AB371" s="31">
        <f>'mnt Data'!N374</f>
        <v>0</v>
      </c>
      <c r="AC371" s="31">
        <f>'mnt Data'!O374</f>
        <v>0</v>
      </c>
      <c r="AD371" s="31">
        <f>'mnt Data'!P374</f>
        <v>0</v>
      </c>
      <c r="AE371" s="31">
        <f>'mnt Data'!Q374</f>
        <v>0</v>
      </c>
      <c r="AF371" s="31">
        <f>'mnt Data'!R374</f>
        <v>0</v>
      </c>
      <c r="AG371" s="31">
        <f>'mnt Data'!S374</f>
        <v>0</v>
      </c>
      <c r="AH371" s="31">
        <f>'mnt Data'!T374</f>
        <v>0</v>
      </c>
      <c r="AI371" s="31">
        <f>'mnt Data'!U374</f>
        <v>0</v>
      </c>
      <c r="AJ371" s="31">
        <f>'mnt Data'!V374</f>
        <v>0</v>
      </c>
      <c r="AK371" s="31">
        <f>'mnt Data'!W374</f>
        <v>0</v>
      </c>
      <c r="AL371" s="31">
        <f>'mnt Data'!X374</f>
        <v>0</v>
      </c>
      <c r="AM371" s="31">
        <f>'mnt Data'!Y374</f>
        <v>0</v>
      </c>
      <c r="AN371" s="31">
        <f>'mnt Data'!Z374</f>
        <v>0</v>
      </c>
      <c r="AO371" s="31">
        <f>'mnt Data'!AA374</f>
        <v>0</v>
      </c>
      <c r="AP371" s="31">
        <f>'mnt Data'!AB374</f>
        <v>0</v>
      </c>
      <c r="AQ371" s="31">
        <f>'mnt Data'!AC374</f>
        <v>0</v>
      </c>
      <c r="AR371" s="31">
        <f>'mnt Data'!AD374</f>
        <v>0</v>
      </c>
      <c r="AS371" s="31">
        <f>'mnt Data'!AE374</f>
        <v>0</v>
      </c>
      <c r="AT371" s="31">
        <f>'mnt Data'!AF374</f>
        <v>0</v>
      </c>
      <c r="AU371" s="31">
        <f>'mnt Data'!AG374</f>
        <v>0</v>
      </c>
      <c r="AV371" s="31">
        <f>'mnt Data'!AH374</f>
        <v>0</v>
      </c>
      <c r="AW371" s="31">
        <f>'mnt Data'!AI374</f>
        <v>0</v>
      </c>
      <c r="AX371" s="31">
        <f>'mnt Data'!AJ374</f>
        <v>0</v>
      </c>
      <c r="AY371" s="31">
        <f>'mnt Data'!AK374</f>
        <v>0</v>
      </c>
    </row>
    <row r="372" spans="1:51" x14ac:dyDescent="0.25">
      <c r="A372">
        <v>371</v>
      </c>
      <c r="B372" s="32">
        <f t="shared" si="72"/>
        <v>0</v>
      </c>
      <c r="C372" s="32">
        <f t="shared" si="73"/>
        <v>0</v>
      </c>
      <c r="D372" s="32" t="str">
        <f t="shared" si="65"/>
        <v>No Gs</v>
      </c>
      <c r="E372" s="32">
        <f t="shared" si="69"/>
        <v>0</v>
      </c>
      <c r="F372" s="32" t="str">
        <f t="shared" si="70"/>
        <v>No Gs</v>
      </c>
      <c r="G372" s="32" t="str">
        <f t="shared" si="71"/>
        <v>No Gs</v>
      </c>
      <c r="H372" s="32" t="str">
        <f t="shared" si="74"/>
        <v>Gs is needed</v>
      </c>
      <c r="I372" s="32" t="str">
        <f t="shared" si="75"/>
        <v>Gs is needed</v>
      </c>
      <c r="J372" s="32" t="str">
        <f t="shared" si="76"/>
        <v>Gs is needed</v>
      </c>
      <c r="K372" s="32" t="str">
        <f t="shared" si="66"/>
        <v>Need Max and Min</v>
      </c>
      <c r="L372" s="32" t="str">
        <f t="shared" si="67"/>
        <v>Need Max and Min</v>
      </c>
      <c r="M372" s="32" t="str">
        <f t="shared" si="68"/>
        <v>Fail</v>
      </c>
      <c r="N372" s="32"/>
      <c r="O372" s="31">
        <f>'mnt Data'!A375</f>
        <v>0</v>
      </c>
      <c r="P372" s="31">
        <f>'mnt Data'!B375</f>
        <v>0</v>
      </c>
      <c r="Q372" s="31">
        <f>'mnt Data'!C375</f>
        <v>0</v>
      </c>
      <c r="R372" s="31">
        <f>'mnt Data'!D375</f>
        <v>0</v>
      </c>
      <c r="S372" s="31">
        <f>'mnt Data'!E375</f>
        <v>0</v>
      </c>
      <c r="T372" s="31">
        <f>'mnt Data'!F375</f>
        <v>0</v>
      </c>
      <c r="U372" s="31">
        <f>'mnt Data'!G375</f>
        <v>0</v>
      </c>
      <c r="V372" s="31">
        <f>'mnt Data'!H375</f>
        <v>0</v>
      </c>
      <c r="W372" s="31">
        <f>'mnt Data'!I375</f>
        <v>0</v>
      </c>
      <c r="X372" s="31">
        <f>'mnt Data'!J375</f>
        <v>0</v>
      </c>
      <c r="Y372" s="31">
        <f>'mnt Data'!K375</f>
        <v>0</v>
      </c>
      <c r="Z372" s="31">
        <f>'mnt Data'!L375</f>
        <v>0</v>
      </c>
      <c r="AA372" s="31">
        <f>'mnt Data'!M375</f>
        <v>0</v>
      </c>
      <c r="AB372" s="31">
        <f>'mnt Data'!N375</f>
        <v>0</v>
      </c>
      <c r="AC372" s="31">
        <f>'mnt Data'!O375</f>
        <v>0</v>
      </c>
      <c r="AD372" s="31">
        <f>'mnt Data'!P375</f>
        <v>0</v>
      </c>
      <c r="AE372" s="31">
        <f>'mnt Data'!Q375</f>
        <v>0</v>
      </c>
      <c r="AF372" s="31">
        <f>'mnt Data'!R375</f>
        <v>0</v>
      </c>
      <c r="AG372" s="31">
        <f>'mnt Data'!S375</f>
        <v>0</v>
      </c>
      <c r="AH372" s="31">
        <f>'mnt Data'!T375</f>
        <v>0</v>
      </c>
      <c r="AI372" s="31">
        <f>'mnt Data'!U375</f>
        <v>0</v>
      </c>
      <c r="AJ372" s="31">
        <f>'mnt Data'!V375</f>
        <v>0</v>
      </c>
      <c r="AK372" s="31">
        <f>'mnt Data'!W375</f>
        <v>0</v>
      </c>
      <c r="AL372" s="31">
        <f>'mnt Data'!X375</f>
        <v>0</v>
      </c>
      <c r="AM372" s="31">
        <f>'mnt Data'!Y375</f>
        <v>0</v>
      </c>
      <c r="AN372" s="31">
        <f>'mnt Data'!Z375</f>
        <v>0</v>
      </c>
      <c r="AO372" s="31">
        <f>'mnt Data'!AA375</f>
        <v>0</v>
      </c>
      <c r="AP372" s="31">
        <f>'mnt Data'!AB375</f>
        <v>0</v>
      </c>
      <c r="AQ372" s="31">
        <f>'mnt Data'!AC375</f>
        <v>0</v>
      </c>
      <c r="AR372" s="31">
        <f>'mnt Data'!AD375</f>
        <v>0</v>
      </c>
      <c r="AS372" s="31">
        <f>'mnt Data'!AE375</f>
        <v>0</v>
      </c>
      <c r="AT372" s="31">
        <f>'mnt Data'!AF375</f>
        <v>0</v>
      </c>
      <c r="AU372" s="31">
        <f>'mnt Data'!AG375</f>
        <v>0</v>
      </c>
      <c r="AV372" s="31">
        <f>'mnt Data'!AH375</f>
        <v>0</v>
      </c>
      <c r="AW372" s="31">
        <f>'mnt Data'!AI375</f>
        <v>0</v>
      </c>
      <c r="AX372" s="31">
        <f>'mnt Data'!AJ375</f>
        <v>0</v>
      </c>
      <c r="AY372" s="31">
        <f>'mnt Data'!AK375</f>
        <v>0</v>
      </c>
    </row>
    <row r="373" spans="1:51" x14ac:dyDescent="0.25">
      <c r="A373">
        <v>372</v>
      </c>
      <c r="B373" s="32">
        <f t="shared" si="72"/>
        <v>0</v>
      </c>
      <c r="C373" s="32">
        <f t="shared" si="73"/>
        <v>0</v>
      </c>
      <c r="D373" s="32" t="str">
        <f t="shared" si="65"/>
        <v>No Gs</v>
      </c>
      <c r="E373" s="32">
        <f t="shared" si="69"/>
        <v>0</v>
      </c>
      <c r="F373" s="32" t="str">
        <f t="shared" si="70"/>
        <v>No Gs</v>
      </c>
      <c r="G373" s="32" t="str">
        <f t="shared" si="71"/>
        <v>No Gs</v>
      </c>
      <c r="H373" s="32" t="str">
        <f t="shared" si="74"/>
        <v>Gs is needed</v>
      </c>
      <c r="I373" s="32" t="str">
        <f t="shared" si="75"/>
        <v>Gs is needed</v>
      </c>
      <c r="J373" s="32" t="str">
        <f t="shared" si="76"/>
        <v>Gs is needed</v>
      </c>
      <c r="K373" s="32" t="str">
        <f t="shared" si="66"/>
        <v>Need Max and Min</v>
      </c>
      <c r="L373" s="32" t="str">
        <f t="shared" si="67"/>
        <v>Need Max and Min</v>
      </c>
      <c r="M373" s="32" t="str">
        <f t="shared" si="68"/>
        <v>Fail</v>
      </c>
      <c r="N373" s="32"/>
      <c r="O373" s="31">
        <f>'mnt Data'!A376</f>
        <v>0</v>
      </c>
      <c r="P373" s="31">
        <f>'mnt Data'!B376</f>
        <v>0</v>
      </c>
      <c r="Q373" s="31">
        <f>'mnt Data'!C376</f>
        <v>0</v>
      </c>
      <c r="R373" s="31">
        <f>'mnt Data'!D376</f>
        <v>0</v>
      </c>
      <c r="S373" s="31">
        <f>'mnt Data'!E376</f>
        <v>0</v>
      </c>
      <c r="T373" s="31">
        <f>'mnt Data'!F376</f>
        <v>0</v>
      </c>
      <c r="U373" s="31">
        <f>'mnt Data'!G376</f>
        <v>0</v>
      </c>
      <c r="V373" s="31">
        <f>'mnt Data'!H376</f>
        <v>0</v>
      </c>
      <c r="W373" s="31">
        <f>'mnt Data'!I376</f>
        <v>0</v>
      </c>
      <c r="X373" s="31">
        <f>'mnt Data'!J376</f>
        <v>0</v>
      </c>
      <c r="Y373" s="31">
        <f>'mnt Data'!K376</f>
        <v>0</v>
      </c>
      <c r="Z373" s="31">
        <f>'mnt Data'!L376</f>
        <v>0</v>
      </c>
      <c r="AA373" s="31">
        <f>'mnt Data'!M376</f>
        <v>0</v>
      </c>
      <c r="AB373" s="31">
        <f>'mnt Data'!N376</f>
        <v>0</v>
      </c>
      <c r="AC373" s="31">
        <f>'mnt Data'!O376</f>
        <v>0</v>
      </c>
      <c r="AD373" s="31">
        <f>'mnt Data'!P376</f>
        <v>0</v>
      </c>
      <c r="AE373" s="31">
        <f>'mnt Data'!Q376</f>
        <v>0</v>
      </c>
      <c r="AF373" s="31">
        <f>'mnt Data'!R376</f>
        <v>0</v>
      </c>
      <c r="AG373" s="31">
        <f>'mnt Data'!S376</f>
        <v>0</v>
      </c>
      <c r="AH373" s="31">
        <f>'mnt Data'!T376</f>
        <v>0</v>
      </c>
      <c r="AI373" s="31">
        <f>'mnt Data'!U376</f>
        <v>0</v>
      </c>
      <c r="AJ373" s="31">
        <f>'mnt Data'!V376</f>
        <v>0</v>
      </c>
      <c r="AK373" s="31">
        <f>'mnt Data'!W376</f>
        <v>0</v>
      </c>
      <c r="AL373" s="31">
        <f>'mnt Data'!X376</f>
        <v>0</v>
      </c>
      <c r="AM373" s="31">
        <f>'mnt Data'!Y376</f>
        <v>0</v>
      </c>
      <c r="AN373" s="31">
        <f>'mnt Data'!Z376</f>
        <v>0</v>
      </c>
      <c r="AO373" s="31">
        <f>'mnt Data'!AA376</f>
        <v>0</v>
      </c>
      <c r="AP373" s="31">
        <f>'mnt Data'!AB376</f>
        <v>0</v>
      </c>
      <c r="AQ373" s="31">
        <f>'mnt Data'!AC376</f>
        <v>0</v>
      </c>
      <c r="AR373" s="31">
        <f>'mnt Data'!AD376</f>
        <v>0</v>
      </c>
      <c r="AS373" s="31">
        <f>'mnt Data'!AE376</f>
        <v>0</v>
      </c>
      <c r="AT373" s="31">
        <f>'mnt Data'!AF376</f>
        <v>0</v>
      </c>
      <c r="AU373" s="31">
        <f>'mnt Data'!AG376</f>
        <v>0</v>
      </c>
      <c r="AV373" s="31">
        <f>'mnt Data'!AH376</f>
        <v>0</v>
      </c>
      <c r="AW373" s="31">
        <f>'mnt Data'!AI376</f>
        <v>0</v>
      </c>
      <c r="AX373" s="31">
        <f>'mnt Data'!AJ376</f>
        <v>0</v>
      </c>
      <c r="AY373" s="31">
        <f>'mnt Data'!AK376</f>
        <v>0</v>
      </c>
    </row>
    <row r="374" spans="1:51" x14ac:dyDescent="0.25">
      <c r="A374">
        <v>373</v>
      </c>
      <c r="B374" s="32">
        <f t="shared" si="72"/>
        <v>0</v>
      </c>
      <c r="C374" s="32">
        <f t="shared" si="73"/>
        <v>0</v>
      </c>
      <c r="D374" s="32" t="str">
        <f t="shared" si="65"/>
        <v>No Gs</v>
      </c>
      <c r="E374" s="32">
        <f t="shared" si="69"/>
        <v>0</v>
      </c>
      <c r="F374" s="32" t="str">
        <f t="shared" si="70"/>
        <v>No Gs</v>
      </c>
      <c r="G374" s="32" t="str">
        <f t="shared" si="71"/>
        <v>No Gs</v>
      </c>
      <c r="H374" s="32" t="str">
        <f t="shared" si="74"/>
        <v>Gs is needed</v>
      </c>
      <c r="I374" s="32" t="str">
        <f t="shared" si="75"/>
        <v>Gs is needed</v>
      </c>
      <c r="J374" s="32" t="str">
        <f t="shared" si="76"/>
        <v>Gs is needed</v>
      </c>
      <c r="K374" s="32" t="str">
        <f t="shared" si="66"/>
        <v>Need Max and Min</v>
      </c>
      <c r="L374" s="32" t="str">
        <f t="shared" si="67"/>
        <v>Need Max and Min</v>
      </c>
      <c r="M374" s="32" t="str">
        <f t="shared" si="68"/>
        <v>Fail</v>
      </c>
      <c r="N374" s="32"/>
      <c r="O374" s="31">
        <f>'mnt Data'!A377</f>
        <v>0</v>
      </c>
      <c r="P374" s="31">
        <f>'mnt Data'!B377</f>
        <v>0</v>
      </c>
      <c r="Q374" s="31">
        <f>'mnt Data'!C377</f>
        <v>0</v>
      </c>
      <c r="R374" s="31">
        <f>'mnt Data'!D377</f>
        <v>0</v>
      </c>
      <c r="S374" s="31">
        <f>'mnt Data'!E377</f>
        <v>0</v>
      </c>
      <c r="T374" s="31">
        <f>'mnt Data'!F377</f>
        <v>0</v>
      </c>
      <c r="U374" s="31">
        <f>'mnt Data'!G377</f>
        <v>0</v>
      </c>
      <c r="V374" s="31">
        <f>'mnt Data'!H377</f>
        <v>0</v>
      </c>
      <c r="W374" s="31">
        <f>'mnt Data'!I377</f>
        <v>0</v>
      </c>
      <c r="X374" s="31">
        <f>'mnt Data'!J377</f>
        <v>0</v>
      </c>
      <c r="Y374" s="31">
        <f>'mnt Data'!K377</f>
        <v>0</v>
      </c>
      <c r="Z374" s="31">
        <f>'mnt Data'!L377</f>
        <v>0</v>
      </c>
      <c r="AA374" s="31">
        <f>'mnt Data'!M377</f>
        <v>0</v>
      </c>
      <c r="AB374" s="31">
        <f>'mnt Data'!N377</f>
        <v>0</v>
      </c>
      <c r="AC374" s="31">
        <f>'mnt Data'!O377</f>
        <v>0</v>
      </c>
      <c r="AD374" s="31">
        <f>'mnt Data'!P377</f>
        <v>0</v>
      </c>
      <c r="AE374" s="31">
        <f>'mnt Data'!Q377</f>
        <v>0</v>
      </c>
      <c r="AF374" s="31">
        <f>'mnt Data'!R377</f>
        <v>0</v>
      </c>
      <c r="AG374" s="31">
        <f>'mnt Data'!S377</f>
        <v>0</v>
      </c>
      <c r="AH374" s="31">
        <f>'mnt Data'!T377</f>
        <v>0</v>
      </c>
      <c r="AI374" s="31">
        <f>'mnt Data'!U377</f>
        <v>0</v>
      </c>
      <c r="AJ374" s="31">
        <f>'mnt Data'!V377</f>
        <v>0</v>
      </c>
      <c r="AK374" s="31">
        <f>'mnt Data'!W377</f>
        <v>0</v>
      </c>
      <c r="AL374" s="31">
        <f>'mnt Data'!X377</f>
        <v>0</v>
      </c>
      <c r="AM374" s="31">
        <f>'mnt Data'!Y377</f>
        <v>0</v>
      </c>
      <c r="AN374" s="31">
        <f>'mnt Data'!Z377</f>
        <v>0</v>
      </c>
      <c r="AO374" s="31">
        <f>'mnt Data'!AA377</f>
        <v>0</v>
      </c>
      <c r="AP374" s="31">
        <f>'mnt Data'!AB377</f>
        <v>0</v>
      </c>
      <c r="AQ374" s="31">
        <f>'mnt Data'!AC377</f>
        <v>0</v>
      </c>
      <c r="AR374" s="31">
        <f>'mnt Data'!AD377</f>
        <v>0</v>
      </c>
      <c r="AS374" s="31">
        <f>'mnt Data'!AE377</f>
        <v>0</v>
      </c>
      <c r="AT374" s="31">
        <f>'mnt Data'!AF377</f>
        <v>0</v>
      </c>
      <c r="AU374" s="31">
        <f>'mnt Data'!AG377</f>
        <v>0</v>
      </c>
      <c r="AV374" s="31">
        <f>'mnt Data'!AH377</f>
        <v>0</v>
      </c>
      <c r="AW374" s="31">
        <f>'mnt Data'!AI377</f>
        <v>0</v>
      </c>
      <c r="AX374" s="31">
        <f>'mnt Data'!AJ377</f>
        <v>0</v>
      </c>
      <c r="AY374" s="31">
        <f>'mnt Data'!AK377</f>
        <v>0</v>
      </c>
    </row>
    <row r="375" spans="1:51" x14ac:dyDescent="0.25">
      <c r="A375">
        <v>374</v>
      </c>
      <c r="B375" s="32">
        <f t="shared" si="72"/>
        <v>0</v>
      </c>
      <c r="C375" s="32">
        <f t="shared" si="73"/>
        <v>0</v>
      </c>
      <c r="D375" s="32" t="str">
        <f t="shared" si="65"/>
        <v>No Gs</v>
      </c>
      <c r="E375" s="32">
        <f t="shared" si="69"/>
        <v>0</v>
      </c>
      <c r="F375" s="32" t="str">
        <f t="shared" si="70"/>
        <v>No Gs</v>
      </c>
      <c r="G375" s="32" t="str">
        <f t="shared" si="71"/>
        <v>No Gs</v>
      </c>
      <c r="H375" s="32" t="str">
        <f t="shared" si="74"/>
        <v>Gs is needed</v>
      </c>
      <c r="I375" s="32" t="str">
        <f t="shared" si="75"/>
        <v>Gs is needed</v>
      </c>
      <c r="J375" s="32" t="str">
        <f t="shared" si="76"/>
        <v>Gs is needed</v>
      </c>
      <c r="K375" s="32" t="str">
        <f t="shared" si="66"/>
        <v>Need Max and Min</v>
      </c>
      <c r="L375" s="32" t="str">
        <f t="shared" si="67"/>
        <v>Need Max and Min</v>
      </c>
      <c r="M375" s="32" t="str">
        <f t="shared" si="68"/>
        <v>Fail</v>
      </c>
      <c r="N375" s="32"/>
      <c r="O375" s="31">
        <f>'mnt Data'!A378</f>
        <v>0</v>
      </c>
      <c r="P375" s="31">
        <f>'mnt Data'!B378</f>
        <v>0</v>
      </c>
      <c r="Q375" s="31">
        <f>'mnt Data'!C378</f>
        <v>0</v>
      </c>
      <c r="R375" s="31">
        <f>'mnt Data'!D378</f>
        <v>0</v>
      </c>
      <c r="S375" s="31">
        <f>'mnt Data'!E378</f>
        <v>0</v>
      </c>
      <c r="T375" s="31">
        <f>'mnt Data'!F378</f>
        <v>0</v>
      </c>
      <c r="U375" s="31">
        <f>'mnt Data'!G378</f>
        <v>0</v>
      </c>
      <c r="V375" s="31">
        <f>'mnt Data'!H378</f>
        <v>0</v>
      </c>
      <c r="W375" s="31">
        <f>'mnt Data'!I378</f>
        <v>0</v>
      </c>
      <c r="X375" s="31">
        <f>'mnt Data'!J378</f>
        <v>0</v>
      </c>
      <c r="Y375" s="31">
        <f>'mnt Data'!K378</f>
        <v>0</v>
      </c>
      <c r="Z375" s="31">
        <f>'mnt Data'!L378</f>
        <v>0</v>
      </c>
      <c r="AA375" s="31">
        <f>'mnt Data'!M378</f>
        <v>0</v>
      </c>
      <c r="AB375" s="31">
        <f>'mnt Data'!N378</f>
        <v>0</v>
      </c>
      <c r="AC375" s="31">
        <f>'mnt Data'!O378</f>
        <v>0</v>
      </c>
      <c r="AD375" s="31">
        <f>'mnt Data'!P378</f>
        <v>0</v>
      </c>
      <c r="AE375" s="31">
        <f>'mnt Data'!Q378</f>
        <v>0</v>
      </c>
      <c r="AF375" s="31">
        <f>'mnt Data'!R378</f>
        <v>0</v>
      </c>
      <c r="AG375" s="31">
        <f>'mnt Data'!S378</f>
        <v>0</v>
      </c>
      <c r="AH375" s="31">
        <f>'mnt Data'!T378</f>
        <v>0</v>
      </c>
      <c r="AI375" s="31">
        <f>'mnt Data'!U378</f>
        <v>0</v>
      </c>
      <c r="AJ375" s="31">
        <f>'mnt Data'!V378</f>
        <v>0</v>
      </c>
      <c r="AK375" s="31">
        <f>'mnt Data'!W378</f>
        <v>0</v>
      </c>
      <c r="AL375" s="31">
        <f>'mnt Data'!X378</f>
        <v>0</v>
      </c>
      <c r="AM375" s="31">
        <f>'mnt Data'!Y378</f>
        <v>0</v>
      </c>
      <c r="AN375" s="31">
        <f>'mnt Data'!Z378</f>
        <v>0</v>
      </c>
      <c r="AO375" s="31">
        <f>'mnt Data'!AA378</f>
        <v>0</v>
      </c>
      <c r="AP375" s="31">
        <f>'mnt Data'!AB378</f>
        <v>0</v>
      </c>
      <c r="AQ375" s="31">
        <f>'mnt Data'!AC378</f>
        <v>0</v>
      </c>
      <c r="AR375" s="31">
        <f>'mnt Data'!AD378</f>
        <v>0</v>
      </c>
      <c r="AS375" s="31">
        <f>'mnt Data'!AE378</f>
        <v>0</v>
      </c>
      <c r="AT375" s="31">
        <f>'mnt Data'!AF378</f>
        <v>0</v>
      </c>
      <c r="AU375" s="31">
        <f>'mnt Data'!AG378</f>
        <v>0</v>
      </c>
      <c r="AV375" s="31">
        <f>'mnt Data'!AH378</f>
        <v>0</v>
      </c>
      <c r="AW375" s="31">
        <f>'mnt Data'!AI378</f>
        <v>0</v>
      </c>
      <c r="AX375" s="31">
        <f>'mnt Data'!AJ378</f>
        <v>0</v>
      </c>
      <c r="AY375" s="31">
        <f>'mnt Data'!AK378</f>
        <v>0</v>
      </c>
    </row>
    <row r="376" spans="1:51" x14ac:dyDescent="0.25">
      <c r="A376">
        <v>375</v>
      </c>
      <c r="B376" s="32">
        <f t="shared" si="72"/>
        <v>0</v>
      </c>
      <c r="C376" s="32">
        <f t="shared" si="73"/>
        <v>0</v>
      </c>
      <c r="D376" s="32" t="str">
        <f t="shared" si="65"/>
        <v>No Gs</v>
      </c>
      <c r="E376" s="32">
        <f t="shared" si="69"/>
        <v>0</v>
      </c>
      <c r="F376" s="32" t="str">
        <f t="shared" si="70"/>
        <v>No Gs</v>
      </c>
      <c r="G376" s="32" t="str">
        <f t="shared" si="71"/>
        <v>No Gs</v>
      </c>
      <c r="H376" s="32" t="str">
        <f t="shared" si="74"/>
        <v>Gs is needed</v>
      </c>
      <c r="I376" s="32" t="str">
        <f t="shared" si="75"/>
        <v>Gs is needed</v>
      </c>
      <c r="J376" s="32" t="str">
        <f t="shared" si="76"/>
        <v>Gs is needed</v>
      </c>
      <c r="K376" s="32" t="str">
        <f t="shared" si="66"/>
        <v>Need Max and Min</v>
      </c>
      <c r="L376" s="32" t="str">
        <f t="shared" si="67"/>
        <v>Need Max and Min</v>
      </c>
      <c r="M376" s="32" t="str">
        <f t="shared" si="68"/>
        <v>Fail</v>
      </c>
      <c r="N376" s="32"/>
      <c r="O376" s="31">
        <f>'mnt Data'!A379</f>
        <v>0</v>
      </c>
      <c r="P376" s="31">
        <f>'mnt Data'!B379</f>
        <v>0</v>
      </c>
      <c r="Q376" s="31">
        <f>'mnt Data'!C379</f>
        <v>0</v>
      </c>
      <c r="R376" s="31">
        <f>'mnt Data'!D379</f>
        <v>0</v>
      </c>
      <c r="S376" s="31">
        <f>'mnt Data'!E379</f>
        <v>0</v>
      </c>
      <c r="T376" s="31">
        <f>'mnt Data'!F379</f>
        <v>0</v>
      </c>
      <c r="U376" s="31">
        <f>'mnt Data'!G379</f>
        <v>0</v>
      </c>
      <c r="V376" s="31">
        <f>'mnt Data'!H379</f>
        <v>0</v>
      </c>
      <c r="W376" s="31">
        <f>'mnt Data'!I379</f>
        <v>0</v>
      </c>
      <c r="X376" s="31">
        <f>'mnt Data'!J379</f>
        <v>0</v>
      </c>
      <c r="Y376" s="31">
        <f>'mnt Data'!K379</f>
        <v>0</v>
      </c>
      <c r="Z376" s="31">
        <f>'mnt Data'!L379</f>
        <v>0</v>
      </c>
      <c r="AA376" s="31">
        <f>'mnt Data'!M379</f>
        <v>0</v>
      </c>
      <c r="AB376" s="31">
        <f>'mnt Data'!N379</f>
        <v>0</v>
      </c>
      <c r="AC376" s="31">
        <f>'mnt Data'!O379</f>
        <v>0</v>
      </c>
      <c r="AD376" s="31">
        <f>'mnt Data'!P379</f>
        <v>0</v>
      </c>
      <c r="AE376" s="31">
        <f>'mnt Data'!Q379</f>
        <v>0</v>
      </c>
      <c r="AF376" s="31">
        <f>'mnt Data'!R379</f>
        <v>0</v>
      </c>
      <c r="AG376" s="31">
        <f>'mnt Data'!S379</f>
        <v>0</v>
      </c>
      <c r="AH376" s="31">
        <f>'mnt Data'!T379</f>
        <v>0</v>
      </c>
      <c r="AI376" s="31">
        <f>'mnt Data'!U379</f>
        <v>0</v>
      </c>
      <c r="AJ376" s="31">
        <f>'mnt Data'!V379</f>
        <v>0</v>
      </c>
      <c r="AK376" s="31">
        <f>'mnt Data'!W379</f>
        <v>0</v>
      </c>
      <c r="AL376" s="31">
        <f>'mnt Data'!X379</f>
        <v>0</v>
      </c>
      <c r="AM376" s="31">
        <f>'mnt Data'!Y379</f>
        <v>0</v>
      </c>
      <c r="AN376" s="31">
        <f>'mnt Data'!Z379</f>
        <v>0</v>
      </c>
      <c r="AO376" s="31">
        <f>'mnt Data'!AA379</f>
        <v>0</v>
      </c>
      <c r="AP376" s="31">
        <f>'mnt Data'!AB379</f>
        <v>0</v>
      </c>
      <c r="AQ376" s="31">
        <f>'mnt Data'!AC379</f>
        <v>0</v>
      </c>
      <c r="AR376" s="31">
        <f>'mnt Data'!AD379</f>
        <v>0</v>
      </c>
      <c r="AS376" s="31">
        <f>'mnt Data'!AE379</f>
        <v>0</v>
      </c>
      <c r="AT376" s="31">
        <f>'mnt Data'!AF379</f>
        <v>0</v>
      </c>
      <c r="AU376" s="31">
        <f>'mnt Data'!AG379</f>
        <v>0</v>
      </c>
      <c r="AV376" s="31">
        <f>'mnt Data'!AH379</f>
        <v>0</v>
      </c>
      <c r="AW376" s="31">
        <f>'mnt Data'!AI379</f>
        <v>0</v>
      </c>
      <c r="AX376" s="31">
        <f>'mnt Data'!AJ379</f>
        <v>0</v>
      </c>
      <c r="AY376" s="31">
        <f>'mnt Data'!AK379</f>
        <v>0</v>
      </c>
    </row>
    <row r="377" spans="1:51" x14ac:dyDescent="0.25">
      <c r="A377">
        <v>376</v>
      </c>
      <c r="B377" s="32">
        <f t="shared" si="72"/>
        <v>0</v>
      </c>
      <c r="C377" s="32">
        <f t="shared" si="73"/>
        <v>0</v>
      </c>
      <c r="D377" s="32" t="str">
        <f t="shared" si="65"/>
        <v>No Gs</v>
      </c>
      <c r="E377" s="32">
        <f t="shared" si="69"/>
        <v>0</v>
      </c>
      <c r="F377" s="32" t="str">
        <f t="shared" si="70"/>
        <v>No Gs</v>
      </c>
      <c r="G377" s="32" t="str">
        <f t="shared" si="71"/>
        <v>No Gs</v>
      </c>
      <c r="H377" s="32" t="str">
        <f t="shared" si="74"/>
        <v>Gs is needed</v>
      </c>
      <c r="I377" s="32" t="str">
        <f t="shared" si="75"/>
        <v>Gs is needed</v>
      </c>
      <c r="J377" s="32" t="str">
        <f t="shared" si="76"/>
        <v>Gs is needed</v>
      </c>
      <c r="K377" s="32" t="str">
        <f t="shared" si="66"/>
        <v>Need Max and Min</v>
      </c>
      <c r="L377" s="32" t="str">
        <f t="shared" si="67"/>
        <v>Need Max and Min</v>
      </c>
      <c r="M377" s="32" t="str">
        <f t="shared" si="68"/>
        <v>Fail</v>
      </c>
      <c r="N377" s="32"/>
      <c r="O377" s="31">
        <f>'mnt Data'!A380</f>
        <v>0</v>
      </c>
      <c r="P377" s="31">
        <f>'mnt Data'!B380</f>
        <v>0</v>
      </c>
      <c r="Q377" s="31">
        <f>'mnt Data'!C380</f>
        <v>0</v>
      </c>
      <c r="R377" s="31">
        <f>'mnt Data'!D380</f>
        <v>0</v>
      </c>
      <c r="S377" s="31">
        <f>'mnt Data'!E380</f>
        <v>0</v>
      </c>
      <c r="T377" s="31">
        <f>'mnt Data'!F380</f>
        <v>0</v>
      </c>
      <c r="U377" s="31">
        <f>'mnt Data'!G380</f>
        <v>0</v>
      </c>
      <c r="V377" s="31">
        <f>'mnt Data'!H380</f>
        <v>0</v>
      </c>
      <c r="W377" s="31">
        <f>'mnt Data'!I380</f>
        <v>0</v>
      </c>
      <c r="X377" s="31">
        <f>'mnt Data'!J380</f>
        <v>0</v>
      </c>
      <c r="Y377" s="31">
        <f>'mnt Data'!K380</f>
        <v>0</v>
      </c>
      <c r="Z377" s="31">
        <f>'mnt Data'!L380</f>
        <v>0</v>
      </c>
      <c r="AA377" s="31">
        <f>'mnt Data'!M380</f>
        <v>0</v>
      </c>
      <c r="AB377" s="31">
        <f>'mnt Data'!N380</f>
        <v>0</v>
      </c>
      <c r="AC377" s="31">
        <f>'mnt Data'!O380</f>
        <v>0</v>
      </c>
      <c r="AD377" s="31">
        <f>'mnt Data'!P380</f>
        <v>0</v>
      </c>
      <c r="AE377" s="31">
        <f>'mnt Data'!Q380</f>
        <v>0</v>
      </c>
      <c r="AF377" s="31">
        <f>'mnt Data'!R380</f>
        <v>0</v>
      </c>
      <c r="AG377" s="31">
        <f>'mnt Data'!S380</f>
        <v>0</v>
      </c>
      <c r="AH377" s="31">
        <f>'mnt Data'!T380</f>
        <v>0</v>
      </c>
      <c r="AI377" s="31">
        <f>'mnt Data'!U380</f>
        <v>0</v>
      </c>
      <c r="AJ377" s="31">
        <f>'mnt Data'!V380</f>
        <v>0</v>
      </c>
      <c r="AK377" s="31">
        <f>'mnt Data'!W380</f>
        <v>0</v>
      </c>
      <c r="AL377" s="31">
        <f>'mnt Data'!X380</f>
        <v>0</v>
      </c>
      <c r="AM377" s="31">
        <f>'mnt Data'!Y380</f>
        <v>0</v>
      </c>
      <c r="AN377" s="31">
        <f>'mnt Data'!Z380</f>
        <v>0</v>
      </c>
      <c r="AO377" s="31">
        <f>'mnt Data'!AA380</f>
        <v>0</v>
      </c>
      <c r="AP377" s="31">
        <f>'mnt Data'!AB380</f>
        <v>0</v>
      </c>
      <c r="AQ377" s="31">
        <f>'mnt Data'!AC380</f>
        <v>0</v>
      </c>
      <c r="AR377" s="31">
        <f>'mnt Data'!AD380</f>
        <v>0</v>
      </c>
      <c r="AS377" s="31">
        <f>'mnt Data'!AE380</f>
        <v>0</v>
      </c>
      <c r="AT377" s="31">
        <f>'mnt Data'!AF380</f>
        <v>0</v>
      </c>
      <c r="AU377" s="31">
        <f>'mnt Data'!AG380</f>
        <v>0</v>
      </c>
      <c r="AV377" s="31">
        <f>'mnt Data'!AH380</f>
        <v>0</v>
      </c>
      <c r="AW377" s="31">
        <f>'mnt Data'!AI380</f>
        <v>0</v>
      </c>
      <c r="AX377" s="31">
        <f>'mnt Data'!AJ380</f>
        <v>0</v>
      </c>
      <c r="AY377" s="31">
        <f>'mnt Data'!AK380</f>
        <v>0</v>
      </c>
    </row>
    <row r="378" spans="1:51" x14ac:dyDescent="0.25">
      <c r="A378">
        <v>377</v>
      </c>
      <c r="B378" s="32">
        <f t="shared" si="72"/>
        <v>0</v>
      </c>
      <c r="C378" s="32">
        <f t="shared" si="73"/>
        <v>0</v>
      </c>
      <c r="D378" s="32" t="str">
        <f t="shared" si="65"/>
        <v>No Gs</v>
      </c>
      <c r="E378" s="32">
        <f t="shared" si="69"/>
        <v>0</v>
      </c>
      <c r="F378" s="32" t="str">
        <f t="shared" si="70"/>
        <v>No Gs</v>
      </c>
      <c r="G378" s="32" t="str">
        <f t="shared" si="71"/>
        <v>No Gs</v>
      </c>
      <c r="H378" s="32" t="str">
        <f t="shared" si="74"/>
        <v>Gs is needed</v>
      </c>
      <c r="I378" s="32" t="str">
        <f t="shared" si="75"/>
        <v>Gs is needed</v>
      </c>
      <c r="J378" s="32" t="str">
        <f t="shared" si="76"/>
        <v>Gs is needed</v>
      </c>
      <c r="K378" s="32" t="str">
        <f t="shared" si="66"/>
        <v>Need Max and Min</v>
      </c>
      <c r="L378" s="32" t="str">
        <f t="shared" si="67"/>
        <v>Need Max and Min</v>
      </c>
      <c r="M378" s="32" t="str">
        <f t="shared" si="68"/>
        <v>Fail</v>
      </c>
      <c r="N378" s="32"/>
      <c r="O378" s="31">
        <f>'mnt Data'!A381</f>
        <v>0</v>
      </c>
      <c r="P378" s="31">
        <f>'mnt Data'!B381</f>
        <v>0</v>
      </c>
      <c r="Q378" s="31">
        <f>'mnt Data'!C381</f>
        <v>0</v>
      </c>
      <c r="R378" s="31">
        <f>'mnt Data'!D381</f>
        <v>0</v>
      </c>
      <c r="S378" s="31">
        <f>'mnt Data'!E381</f>
        <v>0</v>
      </c>
      <c r="T378" s="31">
        <f>'mnt Data'!F381</f>
        <v>0</v>
      </c>
      <c r="U378" s="31">
        <f>'mnt Data'!G381</f>
        <v>0</v>
      </c>
      <c r="V378" s="31">
        <f>'mnt Data'!H381</f>
        <v>0</v>
      </c>
      <c r="W378" s="31">
        <f>'mnt Data'!I381</f>
        <v>0</v>
      </c>
      <c r="X378" s="31">
        <f>'mnt Data'!J381</f>
        <v>0</v>
      </c>
      <c r="Y378" s="31">
        <f>'mnt Data'!K381</f>
        <v>0</v>
      </c>
      <c r="Z378" s="31">
        <f>'mnt Data'!L381</f>
        <v>0</v>
      </c>
      <c r="AA378" s="31">
        <f>'mnt Data'!M381</f>
        <v>0</v>
      </c>
      <c r="AB378" s="31">
        <f>'mnt Data'!N381</f>
        <v>0</v>
      </c>
      <c r="AC378" s="31">
        <f>'mnt Data'!O381</f>
        <v>0</v>
      </c>
      <c r="AD378" s="31">
        <f>'mnt Data'!P381</f>
        <v>0</v>
      </c>
      <c r="AE378" s="31">
        <f>'mnt Data'!Q381</f>
        <v>0</v>
      </c>
      <c r="AF378" s="31">
        <f>'mnt Data'!R381</f>
        <v>0</v>
      </c>
      <c r="AG378" s="31">
        <f>'mnt Data'!S381</f>
        <v>0</v>
      </c>
      <c r="AH378" s="31">
        <f>'mnt Data'!T381</f>
        <v>0</v>
      </c>
      <c r="AI378" s="31">
        <f>'mnt Data'!U381</f>
        <v>0</v>
      </c>
      <c r="AJ378" s="31">
        <f>'mnt Data'!V381</f>
        <v>0</v>
      </c>
      <c r="AK378" s="31">
        <f>'mnt Data'!W381</f>
        <v>0</v>
      </c>
      <c r="AL378" s="31">
        <f>'mnt Data'!X381</f>
        <v>0</v>
      </c>
      <c r="AM378" s="31">
        <f>'mnt Data'!Y381</f>
        <v>0</v>
      </c>
      <c r="AN378" s="31">
        <f>'mnt Data'!Z381</f>
        <v>0</v>
      </c>
      <c r="AO378" s="31">
        <f>'mnt Data'!AA381</f>
        <v>0</v>
      </c>
      <c r="AP378" s="31">
        <f>'mnt Data'!AB381</f>
        <v>0</v>
      </c>
      <c r="AQ378" s="31">
        <f>'mnt Data'!AC381</f>
        <v>0</v>
      </c>
      <c r="AR378" s="31">
        <f>'mnt Data'!AD381</f>
        <v>0</v>
      </c>
      <c r="AS378" s="31">
        <f>'mnt Data'!AE381</f>
        <v>0</v>
      </c>
      <c r="AT378" s="31">
        <f>'mnt Data'!AF381</f>
        <v>0</v>
      </c>
      <c r="AU378" s="31">
        <f>'mnt Data'!AG381</f>
        <v>0</v>
      </c>
      <c r="AV378" s="31">
        <f>'mnt Data'!AH381</f>
        <v>0</v>
      </c>
      <c r="AW378" s="31">
        <f>'mnt Data'!AI381</f>
        <v>0</v>
      </c>
      <c r="AX378" s="31">
        <f>'mnt Data'!AJ381</f>
        <v>0</v>
      </c>
      <c r="AY378" s="31">
        <f>'mnt Data'!AK381</f>
        <v>0</v>
      </c>
    </row>
    <row r="379" spans="1:51" x14ac:dyDescent="0.25">
      <c r="A379">
        <v>378</v>
      </c>
      <c r="B379" s="32">
        <f t="shared" si="72"/>
        <v>0</v>
      </c>
      <c r="C379" s="32">
        <f t="shared" si="73"/>
        <v>0</v>
      </c>
      <c r="D379" s="32" t="str">
        <f t="shared" si="65"/>
        <v>No Gs</v>
      </c>
      <c r="E379" s="32">
        <f t="shared" si="69"/>
        <v>0</v>
      </c>
      <c r="F379" s="32" t="str">
        <f t="shared" si="70"/>
        <v>No Gs</v>
      </c>
      <c r="G379" s="32" t="str">
        <f t="shared" si="71"/>
        <v>No Gs</v>
      </c>
      <c r="H379" s="32" t="str">
        <f t="shared" si="74"/>
        <v>Gs is needed</v>
      </c>
      <c r="I379" s="32" t="str">
        <f t="shared" si="75"/>
        <v>Gs is needed</v>
      </c>
      <c r="J379" s="32" t="str">
        <f t="shared" si="76"/>
        <v>Gs is needed</v>
      </c>
      <c r="K379" s="32" t="str">
        <f t="shared" si="66"/>
        <v>Need Max and Min</v>
      </c>
      <c r="L379" s="32" t="str">
        <f t="shared" si="67"/>
        <v>Need Max and Min</v>
      </c>
      <c r="M379" s="32" t="str">
        <f t="shared" si="68"/>
        <v>Fail</v>
      </c>
      <c r="N379" s="32"/>
      <c r="O379" s="31">
        <f>'mnt Data'!A382</f>
        <v>0</v>
      </c>
      <c r="P379" s="31">
        <f>'mnt Data'!B382</f>
        <v>0</v>
      </c>
      <c r="Q379" s="31">
        <f>'mnt Data'!C382</f>
        <v>0</v>
      </c>
      <c r="R379" s="31">
        <f>'mnt Data'!D382</f>
        <v>0</v>
      </c>
      <c r="S379" s="31">
        <f>'mnt Data'!E382</f>
        <v>0</v>
      </c>
      <c r="T379" s="31">
        <f>'mnt Data'!F382</f>
        <v>0</v>
      </c>
      <c r="U379" s="31">
        <f>'mnt Data'!G382</f>
        <v>0</v>
      </c>
      <c r="V379" s="31">
        <f>'mnt Data'!H382</f>
        <v>0</v>
      </c>
      <c r="W379" s="31">
        <f>'mnt Data'!I382</f>
        <v>0</v>
      </c>
      <c r="X379" s="31">
        <f>'mnt Data'!J382</f>
        <v>0</v>
      </c>
      <c r="Y379" s="31">
        <f>'mnt Data'!K382</f>
        <v>0</v>
      </c>
      <c r="Z379" s="31">
        <f>'mnt Data'!L382</f>
        <v>0</v>
      </c>
      <c r="AA379" s="31">
        <f>'mnt Data'!M382</f>
        <v>0</v>
      </c>
      <c r="AB379" s="31">
        <f>'mnt Data'!N382</f>
        <v>0</v>
      </c>
      <c r="AC379" s="31">
        <f>'mnt Data'!O382</f>
        <v>0</v>
      </c>
      <c r="AD379" s="31">
        <f>'mnt Data'!P382</f>
        <v>0</v>
      </c>
      <c r="AE379" s="31">
        <f>'mnt Data'!Q382</f>
        <v>0</v>
      </c>
      <c r="AF379" s="31">
        <f>'mnt Data'!R382</f>
        <v>0</v>
      </c>
      <c r="AG379" s="31">
        <f>'mnt Data'!S382</f>
        <v>0</v>
      </c>
      <c r="AH379" s="31">
        <f>'mnt Data'!T382</f>
        <v>0</v>
      </c>
      <c r="AI379" s="31">
        <f>'mnt Data'!U382</f>
        <v>0</v>
      </c>
      <c r="AJ379" s="31">
        <f>'mnt Data'!V382</f>
        <v>0</v>
      </c>
      <c r="AK379" s="31">
        <f>'mnt Data'!W382</f>
        <v>0</v>
      </c>
      <c r="AL379" s="31">
        <f>'mnt Data'!X382</f>
        <v>0</v>
      </c>
      <c r="AM379" s="31">
        <f>'mnt Data'!Y382</f>
        <v>0</v>
      </c>
      <c r="AN379" s="31">
        <f>'mnt Data'!Z382</f>
        <v>0</v>
      </c>
      <c r="AO379" s="31">
        <f>'mnt Data'!AA382</f>
        <v>0</v>
      </c>
      <c r="AP379" s="31">
        <f>'mnt Data'!AB382</f>
        <v>0</v>
      </c>
      <c r="AQ379" s="31">
        <f>'mnt Data'!AC382</f>
        <v>0</v>
      </c>
      <c r="AR379" s="31">
        <f>'mnt Data'!AD382</f>
        <v>0</v>
      </c>
      <c r="AS379" s="31">
        <f>'mnt Data'!AE382</f>
        <v>0</v>
      </c>
      <c r="AT379" s="31">
        <f>'mnt Data'!AF382</f>
        <v>0</v>
      </c>
      <c r="AU379" s="31">
        <f>'mnt Data'!AG382</f>
        <v>0</v>
      </c>
      <c r="AV379" s="31">
        <f>'mnt Data'!AH382</f>
        <v>0</v>
      </c>
      <c r="AW379" s="31">
        <f>'mnt Data'!AI382</f>
        <v>0</v>
      </c>
      <c r="AX379" s="31">
        <f>'mnt Data'!AJ382</f>
        <v>0</v>
      </c>
      <c r="AY379" s="31">
        <f>'mnt Data'!AK382</f>
        <v>0</v>
      </c>
    </row>
    <row r="380" spans="1:51" x14ac:dyDescent="0.25">
      <c r="A380">
        <v>379</v>
      </c>
      <c r="B380" s="32">
        <f t="shared" si="72"/>
        <v>0</v>
      </c>
      <c r="C380" s="32">
        <f t="shared" si="73"/>
        <v>0</v>
      </c>
      <c r="D380" s="32" t="str">
        <f t="shared" si="65"/>
        <v>No Gs</v>
      </c>
      <c r="E380" s="32">
        <f t="shared" si="69"/>
        <v>0</v>
      </c>
      <c r="F380" s="32" t="str">
        <f t="shared" si="70"/>
        <v>No Gs</v>
      </c>
      <c r="G380" s="32" t="str">
        <f t="shared" si="71"/>
        <v>No Gs</v>
      </c>
      <c r="H380" s="32" t="str">
        <f t="shared" si="74"/>
        <v>Gs is needed</v>
      </c>
      <c r="I380" s="32" t="str">
        <f t="shared" si="75"/>
        <v>Gs is needed</v>
      </c>
      <c r="J380" s="32" t="str">
        <f t="shared" si="76"/>
        <v>Gs is needed</v>
      </c>
      <c r="K380" s="32" t="str">
        <f t="shared" si="66"/>
        <v>Need Max and Min</v>
      </c>
      <c r="L380" s="32" t="str">
        <f t="shared" si="67"/>
        <v>Need Max and Min</v>
      </c>
      <c r="M380" s="32" t="str">
        <f t="shared" si="68"/>
        <v>Fail</v>
      </c>
      <c r="N380" s="32"/>
      <c r="O380" s="31">
        <f>'mnt Data'!A383</f>
        <v>0</v>
      </c>
      <c r="P380" s="31">
        <f>'mnt Data'!B383</f>
        <v>0</v>
      </c>
      <c r="Q380" s="31">
        <f>'mnt Data'!C383</f>
        <v>0</v>
      </c>
      <c r="R380" s="31">
        <f>'mnt Data'!D383</f>
        <v>0</v>
      </c>
      <c r="S380" s="31">
        <f>'mnt Data'!E383</f>
        <v>0</v>
      </c>
      <c r="T380" s="31">
        <f>'mnt Data'!F383</f>
        <v>0</v>
      </c>
      <c r="U380" s="31">
        <f>'mnt Data'!G383</f>
        <v>0</v>
      </c>
      <c r="V380" s="31">
        <f>'mnt Data'!H383</f>
        <v>0</v>
      </c>
      <c r="W380" s="31">
        <f>'mnt Data'!I383</f>
        <v>0</v>
      </c>
      <c r="X380" s="31">
        <f>'mnt Data'!J383</f>
        <v>0</v>
      </c>
      <c r="Y380" s="31">
        <f>'mnt Data'!K383</f>
        <v>0</v>
      </c>
      <c r="Z380" s="31">
        <f>'mnt Data'!L383</f>
        <v>0</v>
      </c>
      <c r="AA380" s="31">
        <f>'mnt Data'!M383</f>
        <v>0</v>
      </c>
      <c r="AB380" s="31">
        <f>'mnt Data'!N383</f>
        <v>0</v>
      </c>
      <c r="AC380" s="31">
        <f>'mnt Data'!O383</f>
        <v>0</v>
      </c>
      <c r="AD380" s="31">
        <f>'mnt Data'!P383</f>
        <v>0</v>
      </c>
      <c r="AE380" s="31">
        <f>'mnt Data'!Q383</f>
        <v>0</v>
      </c>
      <c r="AF380" s="31">
        <f>'mnt Data'!R383</f>
        <v>0</v>
      </c>
      <c r="AG380" s="31">
        <f>'mnt Data'!S383</f>
        <v>0</v>
      </c>
      <c r="AH380" s="31">
        <f>'mnt Data'!T383</f>
        <v>0</v>
      </c>
      <c r="AI380" s="31">
        <f>'mnt Data'!U383</f>
        <v>0</v>
      </c>
      <c r="AJ380" s="31">
        <f>'mnt Data'!V383</f>
        <v>0</v>
      </c>
      <c r="AK380" s="31">
        <f>'mnt Data'!W383</f>
        <v>0</v>
      </c>
      <c r="AL380" s="31">
        <f>'mnt Data'!X383</f>
        <v>0</v>
      </c>
      <c r="AM380" s="31">
        <f>'mnt Data'!Y383</f>
        <v>0</v>
      </c>
      <c r="AN380" s="31">
        <f>'mnt Data'!Z383</f>
        <v>0</v>
      </c>
      <c r="AO380" s="31">
        <f>'mnt Data'!AA383</f>
        <v>0</v>
      </c>
      <c r="AP380" s="31">
        <f>'mnt Data'!AB383</f>
        <v>0</v>
      </c>
      <c r="AQ380" s="31">
        <f>'mnt Data'!AC383</f>
        <v>0</v>
      </c>
      <c r="AR380" s="31">
        <f>'mnt Data'!AD383</f>
        <v>0</v>
      </c>
      <c r="AS380" s="31">
        <f>'mnt Data'!AE383</f>
        <v>0</v>
      </c>
      <c r="AT380" s="31">
        <f>'mnt Data'!AF383</f>
        <v>0</v>
      </c>
      <c r="AU380" s="31">
        <f>'mnt Data'!AG383</f>
        <v>0</v>
      </c>
      <c r="AV380" s="31">
        <f>'mnt Data'!AH383</f>
        <v>0</v>
      </c>
      <c r="AW380" s="31">
        <f>'mnt Data'!AI383</f>
        <v>0</v>
      </c>
      <c r="AX380" s="31">
        <f>'mnt Data'!AJ383</f>
        <v>0</v>
      </c>
      <c r="AY380" s="31">
        <f>'mnt Data'!AK383</f>
        <v>0</v>
      </c>
    </row>
    <row r="381" spans="1:51" x14ac:dyDescent="0.25">
      <c r="A381">
        <v>380</v>
      </c>
      <c r="B381" s="32">
        <f t="shared" si="72"/>
        <v>0</v>
      </c>
      <c r="C381" s="32">
        <f t="shared" si="73"/>
        <v>0</v>
      </c>
      <c r="D381" s="32" t="str">
        <f t="shared" si="65"/>
        <v>No Gs</v>
      </c>
      <c r="E381" s="32">
        <f t="shared" si="69"/>
        <v>0</v>
      </c>
      <c r="F381" s="32" t="str">
        <f t="shared" si="70"/>
        <v>No Gs</v>
      </c>
      <c r="G381" s="32" t="str">
        <f t="shared" si="71"/>
        <v>No Gs</v>
      </c>
      <c r="H381" s="32" t="str">
        <f t="shared" si="74"/>
        <v>Gs is needed</v>
      </c>
      <c r="I381" s="32" t="str">
        <f t="shared" si="75"/>
        <v>Gs is needed</v>
      </c>
      <c r="J381" s="32" t="str">
        <f t="shared" si="76"/>
        <v>Gs is needed</v>
      </c>
      <c r="K381" s="32" t="str">
        <f t="shared" si="66"/>
        <v>Need Max and Min</v>
      </c>
      <c r="L381" s="32" t="str">
        <f t="shared" si="67"/>
        <v>Need Max and Min</v>
      </c>
      <c r="M381" s="32" t="str">
        <f t="shared" si="68"/>
        <v>Fail</v>
      </c>
      <c r="N381" s="32"/>
      <c r="O381" s="31">
        <f>'mnt Data'!A384</f>
        <v>0</v>
      </c>
      <c r="P381" s="31">
        <f>'mnt Data'!B384</f>
        <v>0</v>
      </c>
      <c r="Q381" s="31">
        <f>'mnt Data'!C384</f>
        <v>0</v>
      </c>
      <c r="R381" s="31">
        <f>'mnt Data'!D384</f>
        <v>0</v>
      </c>
      <c r="S381" s="31">
        <f>'mnt Data'!E384</f>
        <v>0</v>
      </c>
      <c r="T381" s="31">
        <f>'mnt Data'!F384</f>
        <v>0</v>
      </c>
      <c r="U381" s="31">
        <f>'mnt Data'!G384</f>
        <v>0</v>
      </c>
      <c r="V381" s="31">
        <f>'mnt Data'!H384</f>
        <v>0</v>
      </c>
      <c r="W381" s="31">
        <f>'mnt Data'!I384</f>
        <v>0</v>
      </c>
      <c r="X381" s="31">
        <f>'mnt Data'!J384</f>
        <v>0</v>
      </c>
      <c r="Y381" s="31">
        <f>'mnt Data'!K384</f>
        <v>0</v>
      </c>
      <c r="Z381" s="31">
        <f>'mnt Data'!L384</f>
        <v>0</v>
      </c>
      <c r="AA381" s="31">
        <f>'mnt Data'!M384</f>
        <v>0</v>
      </c>
      <c r="AB381" s="31">
        <f>'mnt Data'!N384</f>
        <v>0</v>
      </c>
      <c r="AC381" s="31">
        <f>'mnt Data'!O384</f>
        <v>0</v>
      </c>
      <c r="AD381" s="31">
        <f>'mnt Data'!P384</f>
        <v>0</v>
      </c>
      <c r="AE381" s="31">
        <f>'mnt Data'!Q384</f>
        <v>0</v>
      </c>
      <c r="AF381" s="31">
        <f>'mnt Data'!R384</f>
        <v>0</v>
      </c>
      <c r="AG381" s="31">
        <f>'mnt Data'!S384</f>
        <v>0</v>
      </c>
      <c r="AH381" s="31">
        <f>'mnt Data'!T384</f>
        <v>0</v>
      </c>
      <c r="AI381" s="31">
        <f>'mnt Data'!U384</f>
        <v>0</v>
      </c>
      <c r="AJ381" s="31">
        <f>'mnt Data'!V384</f>
        <v>0</v>
      </c>
      <c r="AK381" s="31">
        <f>'mnt Data'!W384</f>
        <v>0</v>
      </c>
      <c r="AL381" s="31">
        <f>'mnt Data'!X384</f>
        <v>0</v>
      </c>
      <c r="AM381" s="31">
        <f>'mnt Data'!Y384</f>
        <v>0</v>
      </c>
      <c r="AN381" s="31">
        <f>'mnt Data'!Z384</f>
        <v>0</v>
      </c>
      <c r="AO381" s="31">
        <f>'mnt Data'!AA384</f>
        <v>0</v>
      </c>
      <c r="AP381" s="31">
        <f>'mnt Data'!AB384</f>
        <v>0</v>
      </c>
      <c r="AQ381" s="31">
        <f>'mnt Data'!AC384</f>
        <v>0</v>
      </c>
      <c r="AR381" s="31">
        <f>'mnt Data'!AD384</f>
        <v>0</v>
      </c>
      <c r="AS381" s="31">
        <f>'mnt Data'!AE384</f>
        <v>0</v>
      </c>
      <c r="AT381" s="31">
        <f>'mnt Data'!AF384</f>
        <v>0</v>
      </c>
      <c r="AU381" s="31">
        <f>'mnt Data'!AG384</f>
        <v>0</v>
      </c>
      <c r="AV381" s="31">
        <f>'mnt Data'!AH384</f>
        <v>0</v>
      </c>
      <c r="AW381" s="31">
        <f>'mnt Data'!AI384</f>
        <v>0</v>
      </c>
      <c r="AX381" s="31">
        <f>'mnt Data'!AJ384</f>
        <v>0</v>
      </c>
      <c r="AY381" s="31">
        <f>'mnt Data'!AK384</f>
        <v>0</v>
      </c>
    </row>
    <row r="382" spans="1:51" x14ac:dyDescent="0.25">
      <c r="A382">
        <v>381</v>
      </c>
      <c r="B382" s="32">
        <f t="shared" si="72"/>
        <v>0</v>
      </c>
      <c r="C382" s="32">
        <f t="shared" si="73"/>
        <v>0</v>
      </c>
      <c r="D382" s="32" t="str">
        <f t="shared" si="65"/>
        <v>No Gs</v>
      </c>
      <c r="E382" s="32">
        <f t="shared" si="69"/>
        <v>0</v>
      </c>
      <c r="F382" s="32" t="str">
        <f t="shared" si="70"/>
        <v>No Gs</v>
      </c>
      <c r="G382" s="32" t="str">
        <f t="shared" si="71"/>
        <v>No Gs</v>
      </c>
      <c r="H382" s="32" t="str">
        <f t="shared" si="74"/>
        <v>Gs is needed</v>
      </c>
      <c r="I382" s="32" t="str">
        <f t="shared" si="75"/>
        <v>Gs is needed</v>
      </c>
      <c r="J382" s="32" t="str">
        <f t="shared" si="76"/>
        <v>Gs is needed</v>
      </c>
      <c r="K382" s="32" t="str">
        <f t="shared" si="66"/>
        <v>Need Max and Min</v>
      </c>
      <c r="L382" s="32" t="str">
        <f t="shared" si="67"/>
        <v>Need Max and Min</v>
      </c>
      <c r="M382" s="32" t="str">
        <f t="shared" si="68"/>
        <v>Fail</v>
      </c>
      <c r="N382" s="32"/>
      <c r="O382" s="31">
        <f>'mnt Data'!A385</f>
        <v>0</v>
      </c>
      <c r="P382" s="31">
        <f>'mnt Data'!B385</f>
        <v>0</v>
      </c>
      <c r="Q382" s="31">
        <f>'mnt Data'!C385</f>
        <v>0</v>
      </c>
      <c r="R382" s="31">
        <f>'mnt Data'!D385</f>
        <v>0</v>
      </c>
      <c r="S382" s="31">
        <f>'mnt Data'!E385</f>
        <v>0</v>
      </c>
      <c r="T382" s="31">
        <f>'mnt Data'!F385</f>
        <v>0</v>
      </c>
      <c r="U382" s="31">
        <f>'mnt Data'!G385</f>
        <v>0</v>
      </c>
      <c r="V382" s="31">
        <f>'mnt Data'!H385</f>
        <v>0</v>
      </c>
      <c r="W382" s="31">
        <f>'mnt Data'!I385</f>
        <v>0</v>
      </c>
      <c r="X382" s="31">
        <f>'mnt Data'!J385</f>
        <v>0</v>
      </c>
      <c r="Y382" s="31">
        <f>'mnt Data'!K385</f>
        <v>0</v>
      </c>
      <c r="Z382" s="31">
        <f>'mnt Data'!L385</f>
        <v>0</v>
      </c>
      <c r="AA382" s="31">
        <f>'mnt Data'!M385</f>
        <v>0</v>
      </c>
      <c r="AB382" s="31">
        <f>'mnt Data'!N385</f>
        <v>0</v>
      </c>
      <c r="AC382" s="31">
        <f>'mnt Data'!O385</f>
        <v>0</v>
      </c>
      <c r="AD382" s="31">
        <f>'mnt Data'!P385</f>
        <v>0</v>
      </c>
      <c r="AE382" s="31">
        <f>'mnt Data'!Q385</f>
        <v>0</v>
      </c>
      <c r="AF382" s="31">
        <f>'mnt Data'!R385</f>
        <v>0</v>
      </c>
      <c r="AG382" s="31">
        <f>'mnt Data'!S385</f>
        <v>0</v>
      </c>
      <c r="AH382" s="31">
        <f>'mnt Data'!T385</f>
        <v>0</v>
      </c>
      <c r="AI382" s="31">
        <f>'mnt Data'!U385</f>
        <v>0</v>
      </c>
      <c r="AJ382" s="31">
        <f>'mnt Data'!V385</f>
        <v>0</v>
      </c>
      <c r="AK382" s="31">
        <f>'mnt Data'!W385</f>
        <v>0</v>
      </c>
      <c r="AL382" s="31">
        <f>'mnt Data'!X385</f>
        <v>0</v>
      </c>
      <c r="AM382" s="31">
        <f>'mnt Data'!Y385</f>
        <v>0</v>
      </c>
      <c r="AN382" s="31">
        <f>'mnt Data'!Z385</f>
        <v>0</v>
      </c>
      <c r="AO382" s="31">
        <f>'mnt Data'!AA385</f>
        <v>0</v>
      </c>
      <c r="AP382" s="31">
        <f>'mnt Data'!AB385</f>
        <v>0</v>
      </c>
      <c r="AQ382" s="31">
        <f>'mnt Data'!AC385</f>
        <v>0</v>
      </c>
      <c r="AR382" s="31">
        <f>'mnt Data'!AD385</f>
        <v>0</v>
      </c>
      <c r="AS382" s="31">
        <f>'mnt Data'!AE385</f>
        <v>0</v>
      </c>
      <c r="AT382" s="31">
        <f>'mnt Data'!AF385</f>
        <v>0</v>
      </c>
      <c r="AU382" s="31">
        <f>'mnt Data'!AG385</f>
        <v>0</v>
      </c>
      <c r="AV382" s="31">
        <f>'mnt Data'!AH385</f>
        <v>0</v>
      </c>
      <c r="AW382" s="31">
        <f>'mnt Data'!AI385</f>
        <v>0</v>
      </c>
      <c r="AX382" s="31">
        <f>'mnt Data'!AJ385</f>
        <v>0</v>
      </c>
      <c r="AY382" s="31">
        <f>'mnt Data'!AK385</f>
        <v>0</v>
      </c>
    </row>
    <row r="383" spans="1:51" x14ac:dyDescent="0.25">
      <c r="A383">
        <v>382</v>
      </c>
      <c r="B383" s="32">
        <f t="shared" si="72"/>
        <v>0</v>
      </c>
      <c r="C383" s="32">
        <f t="shared" si="73"/>
        <v>0</v>
      </c>
      <c r="D383" s="32" t="str">
        <f t="shared" si="65"/>
        <v>No Gs</v>
      </c>
      <c r="E383" s="32">
        <f t="shared" si="69"/>
        <v>0</v>
      </c>
      <c r="F383" s="32" t="str">
        <f t="shared" si="70"/>
        <v>No Gs</v>
      </c>
      <c r="G383" s="32" t="str">
        <f t="shared" si="71"/>
        <v>No Gs</v>
      </c>
      <c r="H383" s="32" t="str">
        <f t="shared" si="74"/>
        <v>Gs is needed</v>
      </c>
      <c r="I383" s="32" t="str">
        <f t="shared" si="75"/>
        <v>Gs is needed</v>
      </c>
      <c r="J383" s="32" t="str">
        <f t="shared" si="76"/>
        <v>Gs is needed</v>
      </c>
      <c r="K383" s="32" t="str">
        <f t="shared" si="66"/>
        <v>Need Max and Min</v>
      </c>
      <c r="L383" s="32" t="str">
        <f t="shared" si="67"/>
        <v>Need Max and Min</v>
      </c>
      <c r="M383" s="32" t="str">
        <f t="shared" si="68"/>
        <v>Fail</v>
      </c>
      <c r="N383" s="32"/>
      <c r="O383" s="31">
        <f>'mnt Data'!A386</f>
        <v>0</v>
      </c>
      <c r="P383" s="31">
        <f>'mnt Data'!B386</f>
        <v>0</v>
      </c>
      <c r="Q383" s="31">
        <f>'mnt Data'!C386</f>
        <v>0</v>
      </c>
      <c r="R383" s="31">
        <f>'mnt Data'!D386</f>
        <v>0</v>
      </c>
      <c r="S383" s="31">
        <f>'mnt Data'!E386</f>
        <v>0</v>
      </c>
      <c r="T383" s="31">
        <f>'mnt Data'!F386</f>
        <v>0</v>
      </c>
      <c r="U383" s="31">
        <f>'mnt Data'!G386</f>
        <v>0</v>
      </c>
      <c r="V383" s="31">
        <f>'mnt Data'!H386</f>
        <v>0</v>
      </c>
      <c r="W383" s="31">
        <f>'mnt Data'!I386</f>
        <v>0</v>
      </c>
      <c r="X383" s="31">
        <f>'mnt Data'!J386</f>
        <v>0</v>
      </c>
      <c r="Y383" s="31">
        <f>'mnt Data'!K386</f>
        <v>0</v>
      </c>
      <c r="Z383" s="31">
        <f>'mnt Data'!L386</f>
        <v>0</v>
      </c>
      <c r="AA383" s="31">
        <f>'mnt Data'!M386</f>
        <v>0</v>
      </c>
      <c r="AB383" s="31">
        <f>'mnt Data'!N386</f>
        <v>0</v>
      </c>
      <c r="AC383" s="31">
        <f>'mnt Data'!O386</f>
        <v>0</v>
      </c>
      <c r="AD383" s="31">
        <f>'mnt Data'!P386</f>
        <v>0</v>
      </c>
      <c r="AE383" s="31">
        <f>'mnt Data'!Q386</f>
        <v>0</v>
      </c>
      <c r="AF383" s="31">
        <f>'mnt Data'!R386</f>
        <v>0</v>
      </c>
      <c r="AG383" s="31">
        <f>'mnt Data'!S386</f>
        <v>0</v>
      </c>
      <c r="AH383" s="31">
        <f>'mnt Data'!T386</f>
        <v>0</v>
      </c>
      <c r="AI383" s="31">
        <f>'mnt Data'!U386</f>
        <v>0</v>
      </c>
      <c r="AJ383" s="31">
        <f>'mnt Data'!V386</f>
        <v>0</v>
      </c>
      <c r="AK383" s="31">
        <f>'mnt Data'!W386</f>
        <v>0</v>
      </c>
      <c r="AL383" s="31">
        <f>'mnt Data'!X386</f>
        <v>0</v>
      </c>
      <c r="AM383" s="31">
        <f>'mnt Data'!Y386</f>
        <v>0</v>
      </c>
      <c r="AN383" s="31">
        <f>'mnt Data'!Z386</f>
        <v>0</v>
      </c>
      <c r="AO383" s="31">
        <f>'mnt Data'!AA386</f>
        <v>0</v>
      </c>
      <c r="AP383" s="31">
        <f>'mnt Data'!AB386</f>
        <v>0</v>
      </c>
      <c r="AQ383" s="31">
        <f>'mnt Data'!AC386</f>
        <v>0</v>
      </c>
      <c r="AR383" s="31">
        <f>'mnt Data'!AD386</f>
        <v>0</v>
      </c>
      <c r="AS383" s="31">
        <f>'mnt Data'!AE386</f>
        <v>0</v>
      </c>
      <c r="AT383" s="31">
        <f>'mnt Data'!AF386</f>
        <v>0</v>
      </c>
      <c r="AU383" s="31">
        <f>'mnt Data'!AG386</f>
        <v>0</v>
      </c>
      <c r="AV383" s="31">
        <f>'mnt Data'!AH386</f>
        <v>0</v>
      </c>
      <c r="AW383" s="31">
        <f>'mnt Data'!AI386</f>
        <v>0</v>
      </c>
      <c r="AX383" s="31">
        <f>'mnt Data'!AJ386</f>
        <v>0</v>
      </c>
      <c r="AY383" s="31">
        <f>'mnt Data'!AK386</f>
        <v>0</v>
      </c>
    </row>
    <row r="384" spans="1:51" x14ac:dyDescent="0.25">
      <c r="A384">
        <v>383</v>
      </c>
      <c r="B384" s="32">
        <f t="shared" si="72"/>
        <v>0</v>
      </c>
      <c r="C384" s="32">
        <f t="shared" si="73"/>
        <v>0</v>
      </c>
      <c r="D384" s="32" t="str">
        <f t="shared" si="65"/>
        <v>No Gs</v>
      </c>
      <c r="E384" s="32">
        <f t="shared" si="69"/>
        <v>0</v>
      </c>
      <c r="F384" s="32" t="str">
        <f t="shared" si="70"/>
        <v>No Gs</v>
      </c>
      <c r="G384" s="32" t="str">
        <f t="shared" si="71"/>
        <v>No Gs</v>
      </c>
      <c r="H384" s="32" t="str">
        <f t="shared" si="74"/>
        <v>Gs is needed</v>
      </c>
      <c r="I384" s="32" t="str">
        <f t="shared" si="75"/>
        <v>Gs is needed</v>
      </c>
      <c r="J384" s="32" t="str">
        <f t="shared" si="76"/>
        <v>Gs is needed</v>
      </c>
      <c r="K384" s="32" t="str">
        <f t="shared" si="66"/>
        <v>Need Max and Min</v>
      </c>
      <c r="L384" s="32" t="str">
        <f t="shared" si="67"/>
        <v>Need Max and Min</v>
      </c>
      <c r="M384" s="32" t="str">
        <f t="shared" si="68"/>
        <v>Fail</v>
      </c>
      <c r="N384" s="32"/>
      <c r="O384" s="31">
        <f>'mnt Data'!A387</f>
        <v>0</v>
      </c>
      <c r="P384" s="31">
        <f>'mnt Data'!B387</f>
        <v>0</v>
      </c>
      <c r="Q384" s="31">
        <f>'mnt Data'!C387</f>
        <v>0</v>
      </c>
      <c r="R384" s="31">
        <f>'mnt Data'!D387</f>
        <v>0</v>
      </c>
      <c r="S384" s="31">
        <f>'mnt Data'!E387</f>
        <v>0</v>
      </c>
      <c r="T384" s="31">
        <f>'mnt Data'!F387</f>
        <v>0</v>
      </c>
      <c r="U384" s="31">
        <f>'mnt Data'!G387</f>
        <v>0</v>
      </c>
      <c r="V384" s="31">
        <f>'mnt Data'!H387</f>
        <v>0</v>
      </c>
      <c r="W384" s="31">
        <f>'mnt Data'!I387</f>
        <v>0</v>
      </c>
      <c r="X384" s="31">
        <f>'mnt Data'!J387</f>
        <v>0</v>
      </c>
      <c r="Y384" s="31">
        <f>'mnt Data'!K387</f>
        <v>0</v>
      </c>
      <c r="Z384" s="31">
        <f>'mnt Data'!L387</f>
        <v>0</v>
      </c>
      <c r="AA384" s="31">
        <f>'mnt Data'!M387</f>
        <v>0</v>
      </c>
      <c r="AB384" s="31">
        <f>'mnt Data'!N387</f>
        <v>0</v>
      </c>
      <c r="AC384" s="31">
        <f>'mnt Data'!O387</f>
        <v>0</v>
      </c>
      <c r="AD384" s="31">
        <f>'mnt Data'!P387</f>
        <v>0</v>
      </c>
      <c r="AE384" s="31">
        <f>'mnt Data'!Q387</f>
        <v>0</v>
      </c>
      <c r="AF384" s="31">
        <f>'mnt Data'!R387</f>
        <v>0</v>
      </c>
      <c r="AG384" s="31">
        <f>'mnt Data'!S387</f>
        <v>0</v>
      </c>
      <c r="AH384" s="31">
        <f>'mnt Data'!T387</f>
        <v>0</v>
      </c>
      <c r="AI384" s="31">
        <f>'mnt Data'!U387</f>
        <v>0</v>
      </c>
      <c r="AJ384" s="31">
        <f>'mnt Data'!V387</f>
        <v>0</v>
      </c>
      <c r="AK384" s="31">
        <f>'mnt Data'!W387</f>
        <v>0</v>
      </c>
      <c r="AL384" s="31">
        <f>'mnt Data'!X387</f>
        <v>0</v>
      </c>
      <c r="AM384" s="31">
        <f>'mnt Data'!Y387</f>
        <v>0</v>
      </c>
      <c r="AN384" s="31">
        <f>'mnt Data'!Z387</f>
        <v>0</v>
      </c>
      <c r="AO384" s="31">
        <f>'mnt Data'!AA387</f>
        <v>0</v>
      </c>
      <c r="AP384" s="31">
        <f>'mnt Data'!AB387</f>
        <v>0</v>
      </c>
      <c r="AQ384" s="31">
        <f>'mnt Data'!AC387</f>
        <v>0</v>
      </c>
      <c r="AR384" s="31">
        <f>'mnt Data'!AD387</f>
        <v>0</v>
      </c>
      <c r="AS384" s="31">
        <f>'mnt Data'!AE387</f>
        <v>0</v>
      </c>
      <c r="AT384" s="31">
        <f>'mnt Data'!AF387</f>
        <v>0</v>
      </c>
      <c r="AU384" s="31">
        <f>'mnt Data'!AG387</f>
        <v>0</v>
      </c>
      <c r="AV384" s="31">
        <f>'mnt Data'!AH387</f>
        <v>0</v>
      </c>
      <c r="AW384" s="31">
        <f>'mnt Data'!AI387</f>
        <v>0</v>
      </c>
      <c r="AX384" s="31">
        <f>'mnt Data'!AJ387</f>
        <v>0</v>
      </c>
      <c r="AY384" s="31">
        <f>'mnt Data'!AK387</f>
        <v>0</v>
      </c>
    </row>
    <row r="385" spans="1:51" x14ac:dyDescent="0.25">
      <c r="A385">
        <v>384</v>
      </c>
      <c r="B385" s="32">
        <f t="shared" si="72"/>
        <v>0</v>
      </c>
      <c r="C385" s="32">
        <f t="shared" si="73"/>
        <v>0</v>
      </c>
      <c r="D385" s="32" t="str">
        <f t="shared" si="65"/>
        <v>No Gs</v>
      </c>
      <c r="E385" s="32">
        <f t="shared" si="69"/>
        <v>0</v>
      </c>
      <c r="F385" s="32" t="str">
        <f t="shared" si="70"/>
        <v>No Gs</v>
      </c>
      <c r="G385" s="32" t="str">
        <f t="shared" si="71"/>
        <v>No Gs</v>
      </c>
      <c r="H385" s="32" t="str">
        <f t="shared" si="74"/>
        <v>Gs is needed</v>
      </c>
      <c r="I385" s="32" t="str">
        <f t="shared" si="75"/>
        <v>Gs is needed</v>
      </c>
      <c r="J385" s="32" t="str">
        <f t="shared" si="76"/>
        <v>Gs is needed</v>
      </c>
      <c r="K385" s="32" t="str">
        <f t="shared" si="66"/>
        <v>Need Max and Min</v>
      </c>
      <c r="L385" s="32" t="str">
        <f t="shared" si="67"/>
        <v>Need Max and Min</v>
      </c>
      <c r="M385" s="32" t="str">
        <f t="shared" si="68"/>
        <v>Fail</v>
      </c>
      <c r="N385" s="32"/>
      <c r="O385" s="31">
        <f>'mnt Data'!A388</f>
        <v>0</v>
      </c>
      <c r="P385" s="31">
        <f>'mnt Data'!B388</f>
        <v>0</v>
      </c>
      <c r="Q385" s="31">
        <f>'mnt Data'!C388</f>
        <v>0</v>
      </c>
      <c r="R385" s="31">
        <f>'mnt Data'!D388</f>
        <v>0</v>
      </c>
      <c r="S385" s="31">
        <f>'mnt Data'!E388</f>
        <v>0</v>
      </c>
      <c r="T385" s="31">
        <f>'mnt Data'!F388</f>
        <v>0</v>
      </c>
      <c r="U385" s="31">
        <f>'mnt Data'!G388</f>
        <v>0</v>
      </c>
      <c r="V385" s="31">
        <f>'mnt Data'!H388</f>
        <v>0</v>
      </c>
      <c r="W385" s="31">
        <f>'mnt Data'!I388</f>
        <v>0</v>
      </c>
      <c r="X385" s="31">
        <f>'mnt Data'!J388</f>
        <v>0</v>
      </c>
      <c r="Y385" s="31">
        <f>'mnt Data'!K388</f>
        <v>0</v>
      </c>
      <c r="Z385" s="31">
        <f>'mnt Data'!L388</f>
        <v>0</v>
      </c>
      <c r="AA385" s="31">
        <f>'mnt Data'!M388</f>
        <v>0</v>
      </c>
      <c r="AB385" s="31">
        <f>'mnt Data'!N388</f>
        <v>0</v>
      </c>
      <c r="AC385" s="31">
        <f>'mnt Data'!O388</f>
        <v>0</v>
      </c>
      <c r="AD385" s="31">
        <f>'mnt Data'!P388</f>
        <v>0</v>
      </c>
      <c r="AE385" s="31">
        <f>'mnt Data'!Q388</f>
        <v>0</v>
      </c>
      <c r="AF385" s="31">
        <f>'mnt Data'!R388</f>
        <v>0</v>
      </c>
      <c r="AG385" s="31">
        <f>'mnt Data'!S388</f>
        <v>0</v>
      </c>
      <c r="AH385" s="31">
        <f>'mnt Data'!T388</f>
        <v>0</v>
      </c>
      <c r="AI385" s="31">
        <f>'mnt Data'!U388</f>
        <v>0</v>
      </c>
      <c r="AJ385" s="31">
        <f>'mnt Data'!V388</f>
        <v>0</v>
      </c>
      <c r="AK385" s="31">
        <f>'mnt Data'!W388</f>
        <v>0</v>
      </c>
      <c r="AL385" s="31">
        <f>'mnt Data'!X388</f>
        <v>0</v>
      </c>
      <c r="AM385" s="31">
        <f>'mnt Data'!Y388</f>
        <v>0</v>
      </c>
      <c r="AN385" s="31">
        <f>'mnt Data'!Z388</f>
        <v>0</v>
      </c>
      <c r="AO385" s="31">
        <f>'mnt Data'!AA388</f>
        <v>0</v>
      </c>
      <c r="AP385" s="31">
        <f>'mnt Data'!AB388</f>
        <v>0</v>
      </c>
      <c r="AQ385" s="31">
        <f>'mnt Data'!AC388</f>
        <v>0</v>
      </c>
      <c r="AR385" s="31">
        <f>'mnt Data'!AD388</f>
        <v>0</v>
      </c>
      <c r="AS385" s="31">
        <f>'mnt Data'!AE388</f>
        <v>0</v>
      </c>
      <c r="AT385" s="31">
        <f>'mnt Data'!AF388</f>
        <v>0</v>
      </c>
      <c r="AU385" s="31">
        <f>'mnt Data'!AG388</f>
        <v>0</v>
      </c>
      <c r="AV385" s="31">
        <f>'mnt Data'!AH388</f>
        <v>0</v>
      </c>
      <c r="AW385" s="31">
        <f>'mnt Data'!AI388</f>
        <v>0</v>
      </c>
      <c r="AX385" s="31">
        <f>'mnt Data'!AJ388</f>
        <v>0</v>
      </c>
      <c r="AY385" s="31">
        <f>'mnt Data'!AK388</f>
        <v>0</v>
      </c>
    </row>
    <row r="386" spans="1:51" x14ac:dyDescent="0.25">
      <c r="A386">
        <v>385</v>
      </c>
      <c r="B386" s="32">
        <f t="shared" si="72"/>
        <v>0</v>
      </c>
      <c r="C386" s="32">
        <f t="shared" si="73"/>
        <v>0</v>
      </c>
      <c r="D386" s="32" t="str">
        <f t="shared" ref="D386:D449" si="77">IFERROR(B386/(Gs*(IF(O386&gt;1000,998,62.4))),"No Gs")</f>
        <v>No Gs</v>
      </c>
      <c r="E386" s="32">
        <f t="shared" si="69"/>
        <v>0</v>
      </c>
      <c r="F386" s="32" t="str">
        <f t="shared" si="70"/>
        <v>No Gs</v>
      </c>
      <c r="G386" s="32" t="str">
        <f t="shared" si="71"/>
        <v>No Gs</v>
      </c>
      <c r="H386" s="32" t="str">
        <f t="shared" si="74"/>
        <v>Gs is needed</v>
      </c>
      <c r="I386" s="32" t="str">
        <f t="shared" si="75"/>
        <v>Gs is needed</v>
      </c>
      <c r="J386" s="32" t="str">
        <f t="shared" si="76"/>
        <v>Gs is needed</v>
      </c>
      <c r="K386" s="32" t="str">
        <f t="shared" ref="K386:K449" si="78">IFERROR((100*(DMax*(O386-DMin))/(O386*(DMax-DMin))),"Need Max and Min")</f>
        <v>Need Max and Min</v>
      </c>
      <c r="L386" s="32" t="str">
        <f t="shared" ref="L386:L449" si="79">IF(K386="Need Max and Min",K386,(100*((O386-DMin)/(DMax-DMin))))</f>
        <v>Need Max and Min</v>
      </c>
      <c r="M386" s="32" t="str">
        <f t="shared" ref="M386:M449" si="80">IF((Min+Max)=0,"Need Max and Min Density",IF(AND(S386&gt;Min,S386&lt;Max),"Pass","Fail"))</f>
        <v>Fail</v>
      </c>
      <c r="N386" s="32"/>
      <c r="O386" s="31">
        <f>'mnt Data'!A389</f>
        <v>0</v>
      </c>
      <c r="P386" s="31">
        <f>'mnt Data'!B389</f>
        <v>0</v>
      </c>
      <c r="Q386" s="31">
        <f>'mnt Data'!C389</f>
        <v>0</v>
      </c>
      <c r="R386" s="31">
        <f>'mnt Data'!D389</f>
        <v>0</v>
      </c>
      <c r="S386" s="31">
        <f>'mnt Data'!E389</f>
        <v>0</v>
      </c>
      <c r="T386" s="31">
        <f>'mnt Data'!F389</f>
        <v>0</v>
      </c>
      <c r="U386" s="31">
        <f>'mnt Data'!G389</f>
        <v>0</v>
      </c>
      <c r="V386" s="31">
        <f>'mnt Data'!H389</f>
        <v>0</v>
      </c>
      <c r="W386" s="31">
        <f>'mnt Data'!I389</f>
        <v>0</v>
      </c>
      <c r="X386" s="31">
        <f>'mnt Data'!J389</f>
        <v>0</v>
      </c>
      <c r="Y386" s="31">
        <f>'mnt Data'!K389</f>
        <v>0</v>
      </c>
      <c r="Z386" s="31">
        <f>'mnt Data'!L389</f>
        <v>0</v>
      </c>
      <c r="AA386" s="31">
        <f>'mnt Data'!M389</f>
        <v>0</v>
      </c>
      <c r="AB386" s="31">
        <f>'mnt Data'!N389</f>
        <v>0</v>
      </c>
      <c r="AC386" s="31">
        <f>'mnt Data'!O389</f>
        <v>0</v>
      </c>
      <c r="AD386" s="31">
        <f>'mnt Data'!P389</f>
        <v>0</v>
      </c>
      <c r="AE386" s="31">
        <f>'mnt Data'!Q389</f>
        <v>0</v>
      </c>
      <c r="AF386" s="31">
        <f>'mnt Data'!R389</f>
        <v>0</v>
      </c>
      <c r="AG386" s="31">
        <f>'mnt Data'!S389</f>
        <v>0</v>
      </c>
      <c r="AH386" s="31">
        <f>'mnt Data'!T389</f>
        <v>0</v>
      </c>
      <c r="AI386" s="31">
        <f>'mnt Data'!U389</f>
        <v>0</v>
      </c>
      <c r="AJ386" s="31">
        <f>'mnt Data'!V389</f>
        <v>0</v>
      </c>
      <c r="AK386" s="31">
        <f>'mnt Data'!W389</f>
        <v>0</v>
      </c>
      <c r="AL386" s="31">
        <f>'mnt Data'!X389</f>
        <v>0</v>
      </c>
      <c r="AM386" s="31">
        <f>'mnt Data'!Y389</f>
        <v>0</v>
      </c>
      <c r="AN386" s="31">
        <f>'mnt Data'!Z389</f>
        <v>0</v>
      </c>
      <c r="AO386" s="31">
        <f>'mnt Data'!AA389</f>
        <v>0</v>
      </c>
      <c r="AP386" s="31">
        <f>'mnt Data'!AB389</f>
        <v>0</v>
      </c>
      <c r="AQ386" s="31">
        <f>'mnt Data'!AC389</f>
        <v>0</v>
      </c>
      <c r="AR386" s="31">
        <f>'mnt Data'!AD389</f>
        <v>0</v>
      </c>
      <c r="AS386" s="31">
        <f>'mnt Data'!AE389</f>
        <v>0</v>
      </c>
      <c r="AT386" s="31">
        <f>'mnt Data'!AF389</f>
        <v>0</v>
      </c>
      <c r="AU386" s="31">
        <f>'mnt Data'!AG389</f>
        <v>0</v>
      </c>
      <c r="AV386" s="31">
        <f>'mnt Data'!AH389</f>
        <v>0</v>
      </c>
      <c r="AW386" s="31">
        <f>'mnt Data'!AI389</f>
        <v>0</v>
      </c>
      <c r="AX386" s="31">
        <f>'mnt Data'!AJ389</f>
        <v>0</v>
      </c>
      <c r="AY386" s="31">
        <f>'mnt Data'!AK389</f>
        <v>0</v>
      </c>
    </row>
    <row r="387" spans="1:51" x14ac:dyDescent="0.25">
      <c r="A387">
        <v>386</v>
      </c>
      <c r="B387" s="32">
        <f t="shared" si="72"/>
        <v>0</v>
      </c>
      <c r="C387" s="32">
        <f t="shared" si="73"/>
        <v>0</v>
      </c>
      <c r="D387" s="32" t="str">
        <f t="shared" si="77"/>
        <v>No Gs</v>
      </c>
      <c r="E387" s="32">
        <f t="shared" ref="E387:E450" si="81">C387/(IF(O387&gt;1000,998,62.4))</f>
        <v>0</v>
      </c>
      <c r="F387" s="32" t="str">
        <f t="shared" ref="F387:F450" si="82">IFERROR(1-D387-E387,"No Gs")</f>
        <v>No Gs</v>
      </c>
      <c r="G387" s="32" t="str">
        <f t="shared" ref="G387:G450" si="83">IFERROR(E387+F387,"No Gs")</f>
        <v>No Gs</v>
      </c>
      <c r="H387" s="32" t="str">
        <f t="shared" si="74"/>
        <v>Gs is needed</v>
      </c>
      <c r="I387" s="32" t="str">
        <f t="shared" si="75"/>
        <v>Gs is needed</v>
      </c>
      <c r="J387" s="32" t="str">
        <f t="shared" si="76"/>
        <v>Gs is needed</v>
      </c>
      <c r="K387" s="32" t="str">
        <f t="shared" si="78"/>
        <v>Need Max and Min</v>
      </c>
      <c r="L387" s="32" t="str">
        <f t="shared" si="79"/>
        <v>Need Max and Min</v>
      </c>
      <c r="M387" s="32" t="str">
        <f t="shared" si="80"/>
        <v>Fail</v>
      </c>
      <c r="N387" s="32"/>
      <c r="O387" s="31">
        <f>'mnt Data'!A390</f>
        <v>0</v>
      </c>
      <c r="P387" s="31">
        <f>'mnt Data'!B390</f>
        <v>0</v>
      </c>
      <c r="Q387" s="31">
        <f>'mnt Data'!C390</f>
        <v>0</v>
      </c>
      <c r="R387" s="31">
        <f>'mnt Data'!D390</f>
        <v>0</v>
      </c>
      <c r="S387" s="31">
        <f>'mnt Data'!E390</f>
        <v>0</v>
      </c>
      <c r="T387" s="31">
        <f>'mnt Data'!F390</f>
        <v>0</v>
      </c>
      <c r="U387" s="31">
        <f>'mnt Data'!G390</f>
        <v>0</v>
      </c>
      <c r="V387" s="31">
        <f>'mnt Data'!H390</f>
        <v>0</v>
      </c>
      <c r="W387" s="31">
        <f>'mnt Data'!I390</f>
        <v>0</v>
      </c>
      <c r="X387" s="31">
        <f>'mnt Data'!J390</f>
        <v>0</v>
      </c>
      <c r="Y387" s="31">
        <f>'mnt Data'!K390</f>
        <v>0</v>
      </c>
      <c r="Z387" s="31">
        <f>'mnt Data'!L390</f>
        <v>0</v>
      </c>
      <c r="AA387" s="31">
        <f>'mnt Data'!M390</f>
        <v>0</v>
      </c>
      <c r="AB387" s="31">
        <f>'mnt Data'!N390</f>
        <v>0</v>
      </c>
      <c r="AC387" s="31">
        <f>'mnt Data'!O390</f>
        <v>0</v>
      </c>
      <c r="AD387" s="31">
        <f>'mnt Data'!P390</f>
        <v>0</v>
      </c>
      <c r="AE387" s="31">
        <f>'mnt Data'!Q390</f>
        <v>0</v>
      </c>
      <c r="AF387" s="31">
        <f>'mnt Data'!R390</f>
        <v>0</v>
      </c>
      <c r="AG387" s="31">
        <f>'mnt Data'!S390</f>
        <v>0</v>
      </c>
      <c r="AH387" s="31">
        <f>'mnt Data'!T390</f>
        <v>0</v>
      </c>
      <c r="AI387" s="31">
        <f>'mnt Data'!U390</f>
        <v>0</v>
      </c>
      <c r="AJ387" s="31">
        <f>'mnt Data'!V390</f>
        <v>0</v>
      </c>
      <c r="AK387" s="31">
        <f>'mnt Data'!W390</f>
        <v>0</v>
      </c>
      <c r="AL387" s="31">
        <f>'mnt Data'!X390</f>
        <v>0</v>
      </c>
      <c r="AM387" s="31">
        <f>'mnt Data'!Y390</f>
        <v>0</v>
      </c>
      <c r="AN387" s="31">
        <f>'mnt Data'!Z390</f>
        <v>0</v>
      </c>
      <c r="AO387" s="31">
        <f>'mnt Data'!AA390</f>
        <v>0</v>
      </c>
      <c r="AP387" s="31">
        <f>'mnt Data'!AB390</f>
        <v>0</v>
      </c>
      <c r="AQ387" s="31">
        <f>'mnt Data'!AC390</f>
        <v>0</v>
      </c>
      <c r="AR387" s="31">
        <f>'mnt Data'!AD390</f>
        <v>0</v>
      </c>
      <c r="AS387" s="31">
        <f>'mnt Data'!AE390</f>
        <v>0</v>
      </c>
      <c r="AT387" s="31">
        <f>'mnt Data'!AF390</f>
        <v>0</v>
      </c>
      <c r="AU387" s="31">
        <f>'mnt Data'!AG390</f>
        <v>0</v>
      </c>
      <c r="AV387" s="31">
        <f>'mnt Data'!AH390</f>
        <v>0</v>
      </c>
      <c r="AW387" s="31">
        <f>'mnt Data'!AI390</f>
        <v>0</v>
      </c>
      <c r="AX387" s="31">
        <f>'mnt Data'!AJ390</f>
        <v>0</v>
      </c>
      <c r="AY387" s="31">
        <f>'mnt Data'!AK390</f>
        <v>0</v>
      </c>
    </row>
    <row r="388" spans="1:51" x14ac:dyDescent="0.25">
      <c r="A388">
        <v>387</v>
      </c>
      <c r="B388" s="32">
        <f t="shared" si="72"/>
        <v>0</v>
      </c>
      <c r="C388" s="32">
        <f t="shared" si="73"/>
        <v>0</v>
      </c>
      <c r="D388" s="32" t="str">
        <f t="shared" si="77"/>
        <v>No Gs</v>
      </c>
      <c r="E388" s="32">
        <f t="shared" si="81"/>
        <v>0</v>
      </c>
      <c r="F388" s="32" t="str">
        <f t="shared" si="82"/>
        <v>No Gs</v>
      </c>
      <c r="G388" s="32" t="str">
        <f t="shared" si="83"/>
        <v>No Gs</v>
      </c>
      <c r="H388" s="32" t="str">
        <f t="shared" si="74"/>
        <v>Gs is needed</v>
      </c>
      <c r="I388" s="32" t="str">
        <f t="shared" si="75"/>
        <v>Gs is needed</v>
      </c>
      <c r="J388" s="32" t="str">
        <f t="shared" si="76"/>
        <v>Gs is needed</v>
      </c>
      <c r="K388" s="32" t="str">
        <f t="shared" si="78"/>
        <v>Need Max and Min</v>
      </c>
      <c r="L388" s="32" t="str">
        <f t="shared" si="79"/>
        <v>Need Max and Min</v>
      </c>
      <c r="M388" s="32" t="str">
        <f t="shared" si="80"/>
        <v>Fail</v>
      </c>
      <c r="N388" s="32"/>
      <c r="O388" s="31">
        <f>'mnt Data'!A391</f>
        <v>0</v>
      </c>
      <c r="P388" s="31">
        <f>'mnt Data'!B391</f>
        <v>0</v>
      </c>
      <c r="Q388" s="31">
        <f>'mnt Data'!C391</f>
        <v>0</v>
      </c>
      <c r="R388" s="31">
        <f>'mnt Data'!D391</f>
        <v>0</v>
      </c>
      <c r="S388" s="31">
        <f>'mnt Data'!E391</f>
        <v>0</v>
      </c>
      <c r="T388" s="31">
        <f>'mnt Data'!F391</f>
        <v>0</v>
      </c>
      <c r="U388" s="31">
        <f>'mnt Data'!G391</f>
        <v>0</v>
      </c>
      <c r="V388" s="31">
        <f>'mnt Data'!H391</f>
        <v>0</v>
      </c>
      <c r="W388" s="31">
        <f>'mnt Data'!I391</f>
        <v>0</v>
      </c>
      <c r="X388" s="31">
        <f>'mnt Data'!J391</f>
        <v>0</v>
      </c>
      <c r="Y388" s="31">
        <f>'mnt Data'!K391</f>
        <v>0</v>
      </c>
      <c r="Z388" s="31">
        <f>'mnt Data'!L391</f>
        <v>0</v>
      </c>
      <c r="AA388" s="31">
        <f>'mnt Data'!M391</f>
        <v>0</v>
      </c>
      <c r="AB388" s="31">
        <f>'mnt Data'!N391</f>
        <v>0</v>
      </c>
      <c r="AC388" s="31">
        <f>'mnt Data'!O391</f>
        <v>0</v>
      </c>
      <c r="AD388" s="31">
        <f>'mnt Data'!P391</f>
        <v>0</v>
      </c>
      <c r="AE388" s="31">
        <f>'mnt Data'!Q391</f>
        <v>0</v>
      </c>
      <c r="AF388" s="31">
        <f>'mnt Data'!R391</f>
        <v>0</v>
      </c>
      <c r="AG388" s="31">
        <f>'mnt Data'!S391</f>
        <v>0</v>
      </c>
      <c r="AH388" s="31">
        <f>'mnt Data'!T391</f>
        <v>0</v>
      </c>
      <c r="AI388" s="31">
        <f>'mnt Data'!U391</f>
        <v>0</v>
      </c>
      <c r="AJ388" s="31">
        <f>'mnt Data'!V391</f>
        <v>0</v>
      </c>
      <c r="AK388" s="31">
        <f>'mnt Data'!W391</f>
        <v>0</v>
      </c>
      <c r="AL388" s="31">
        <f>'mnt Data'!X391</f>
        <v>0</v>
      </c>
      <c r="AM388" s="31">
        <f>'mnt Data'!Y391</f>
        <v>0</v>
      </c>
      <c r="AN388" s="31">
        <f>'mnt Data'!Z391</f>
        <v>0</v>
      </c>
      <c r="AO388" s="31">
        <f>'mnt Data'!AA391</f>
        <v>0</v>
      </c>
      <c r="AP388" s="31">
        <f>'mnt Data'!AB391</f>
        <v>0</v>
      </c>
      <c r="AQ388" s="31">
        <f>'mnt Data'!AC391</f>
        <v>0</v>
      </c>
      <c r="AR388" s="31">
        <f>'mnt Data'!AD391</f>
        <v>0</v>
      </c>
      <c r="AS388" s="31">
        <f>'mnt Data'!AE391</f>
        <v>0</v>
      </c>
      <c r="AT388" s="31">
        <f>'mnt Data'!AF391</f>
        <v>0</v>
      </c>
      <c r="AU388" s="31">
        <f>'mnt Data'!AG391</f>
        <v>0</v>
      </c>
      <c r="AV388" s="31">
        <f>'mnt Data'!AH391</f>
        <v>0</v>
      </c>
      <c r="AW388" s="31">
        <f>'mnt Data'!AI391</f>
        <v>0</v>
      </c>
      <c r="AX388" s="31">
        <f>'mnt Data'!AJ391</f>
        <v>0</v>
      </c>
      <c r="AY388" s="31">
        <f>'mnt Data'!AK391</f>
        <v>0</v>
      </c>
    </row>
    <row r="389" spans="1:51" x14ac:dyDescent="0.25">
      <c r="A389">
        <v>388</v>
      </c>
      <c r="B389" s="32">
        <f t="shared" si="72"/>
        <v>0</v>
      </c>
      <c r="C389" s="32">
        <f t="shared" si="73"/>
        <v>0</v>
      </c>
      <c r="D389" s="32" t="str">
        <f t="shared" si="77"/>
        <v>No Gs</v>
      </c>
      <c r="E389" s="32">
        <f t="shared" si="81"/>
        <v>0</v>
      </c>
      <c r="F389" s="32" t="str">
        <f t="shared" si="82"/>
        <v>No Gs</v>
      </c>
      <c r="G389" s="32" t="str">
        <f t="shared" si="83"/>
        <v>No Gs</v>
      </c>
      <c r="H389" s="32" t="str">
        <f t="shared" si="74"/>
        <v>Gs is needed</v>
      </c>
      <c r="I389" s="32" t="str">
        <f t="shared" si="75"/>
        <v>Gs is needed</v>
      </c>
      <c r="J389" s="32" t="str">
        <f t="shared" si="76"/>
        <v>Gs is needed</v>
      </c>
      <c r="K389" s="32" t="str">
        <f t="shared" si="78"/>
        <v>Need Max and Min</v>
      </c>
      <c r="L389" s="32" t="str">
        <f t="shared" si="79"/>
        <v>Need Max and Min</v>
      </c>
      <c r="M389" s="32" t="str">
        <f t="shared" si="80"/>
        <v>Fail</v>
      </c>
      <c r="N389" s="32"/>
      <c r="O389" s="31">
        <f>'mnt Data'!A392</f>
        <v>0</v>
      </c>
      <c r="P389" s="31">
        <f>'mnt Data'!B392</f>
        <v>0</v>
      </c>
      <c r="Q389" s="31">
        <f>'mnt Data'!C392</f>
        <v>0</v>
      </c>
      <c r="R389" s="31">
        <f>'mnt Data'!D392</f>
        <v>0</v>
      </c>
      <c r="S389" s="31">
        <f>'mnt Data'!E392</f>
        <v>0</v>
      </c>
      <c r="T389" s="31">
        <f>'mnt Data'!F392</f>
        <v>0</v>
      </c>
      <c r="U389" s="31">
        <f>'mnt Data'!G392</f>
        <v>0</v>
      </c>
      <c r="V389" s="31">
        <f>'mnt Data'!H392</f>
        <v>0</v>
      </c>
      <c r="W389" s="31">
        <f>'mnt Data'!I392</f>
        <v>0</v>
      </c>
      <c r="X389" s="31">
        <f>'mnt Data'!J392</f>
        <v>0</v>
      </c>
      <c r="Y389" s="31">
        <f>'mnt Data'!K392</f>
        <v>0</v>
      </c>
      <c r="Z389" s="31">
        <f>'mnt Data'!L392</f>
        <v>0</v>
      </c>
      <c r="AA389" s="31">
        <f>'mnt Data'!M392</f>
        <v>0</v>
      </c>
      <c r="AB389" s="31">
        <f>'mnt Data'!N392</f>
        <v>0</v>
      </c>
      <c r="AC389" s="31">
        <f>'mnt Data'!O392</f>
        <v>0</v>
      </c>
      <c r="AD389" s="31">
        <f>'mnt Data'!P392</f>
        <v>0</v>
      </c>
      <c r="AE389" s="31">
        <f>'mnt Data'!Q392</f>
        <v>0</v>
      </c>
      <c r="AF389" s="31">
        <f>'mnt Data'!R392</f>
        <v>0</v>
      </c>
      <c r="AG389" s="31">
        <f>'mnt Data'!S392</f>
        <v>0</v>
      </c>
      <c r="AH389" s="31">
        <f>'mnt Data'!T392</f>
        <v>0</v>
      </c>
      <c r="AI389" s="31">
        <f>'mnt Data'!U392</f>
        <v>0</v>
      </c>
      <c r="AJ389" s="31">
        <f>'mnt Data'!V392</f>
        <v>0</v>
      </c>
      <c r="AK389" s="31">
        <f>'mnt Data'!W392</f>
        <v>0</v>
      </c>
      <c r="AL389" s="31">
        <f>'mnt Data'!X392</f>
        <v>0</v>
      </c>
      <c r="AM389" s="31">
        <f>'mnt Data'!Y392</f>
        <v>0</v>
      </c>
      <c r="AN389" s="31">
        <f>'mnt Data'!Z392</f>
        <v>0</v>
      </c>
      <c r="AO389" s="31">
        <f>'mnt Data'!AA392</f>
        <v>0</v>
      </c>
      <c r="AP389" s="31">
        <f>'mnt Data'!AB392</f>
        <v>0</v>
      </c>
      <c r="AQ389" s="31">
        <f>'mnt Data'!AC392</f>
        <v>0</v>
      </c>
      <c r="AR389" s="31">
        <f>'mnt Data'!AD392</f>
        <v>0</v>
      </c>
      <c r="AS389" s="31">
        <f>'mnt Data'!AE392</f>
        <v>0</v>
      </c>
      <c r="AT389" s="31">
        <f>'mnt Data'!AF392</f>
        <v>0</v>
      </c>
      <c r="AU389" s="31">
        <f>'mnt Data'!AG392</f>
        <v>0</v>
      </c>
      <c r="AV389" s="31">
        <f>'mnt Data'!AH392</f>
        <v>0</v>
      </c>
      <c r="AW389" s="31">
        <f>'mnt Data'!AI392</f>
        <v>0</v>
      </c>
      <c r="AX389" s="31">
        <f>'mnt Data'!AJ392</f>
        <v>0</v>
      </c>
      <c r="AY389" s="31">
        <f>'mnt Data'!AK392</f>
        <v>0</v>
      </c>
    </row>
    <row r="390" spans="1:51" x14ac:dyDescent="0.25">
      <c r="A390">
        <v>389</v>
      </c>
      <c r="B390" s="32">
        <f t="shared" si="72"/>
        <v>0</v>
      </c>
      <c r="C390" s="32">
        <f t="shared" si="73"/>
        <v>0</v>
      </c>
      <c r="D390" s="32" t="str">
        <f t="shared" si="77"/>
        <v>No Gs</v>
      </c>
      <c r="E390" s="32">
        <f t="shared" si="81"/>
        <v>0</v>
      </c>
      <c r="F390" s="32" t="str">
        <f t="shared" si="82"/>
        <v>No Gs</v>
      </c>
      <c r="G390" s="32" t="str">
        <f t="shared" si="83"/>
        <v>No Gs</v>
      </c>
      <c r="H390" s="32" t="str">
        <f t="shared" si="74"/>
        <v>Gs is needed</v>
      </c>
      <c r="I390" s="32" t="str">
        <f t="shared" si="75"/>
        <v>Gs is needed</v>
      </c>
      <c r="J390" s="32" t="str">
        <f t="shared" si="76"/>
        <v>Gs is needed</v>
      </c>
      <c r="K390" s="32" t="str">
        <f t="shared" si="78"/>
        <v>Need Max and Min</v>
      </c>
      <c r="L390" s="32" t="str">
        <f t="shared" si="79"/>
        <v>Need Max and Min</v>
      </c>
      <c r="M390" s="32" t="str">
        <f t="shared" si="80"/>
        <v>Fail</v>
      </c>
      <c r="N390" s="32"/>
      <c r="O390" s="31">
        <f>'mnt Data'!A393</f>
        <v>0</v>
      </c>
      <c r="P390" s="31">
        <f>'mnt Data'!B393</f>
        <v>0</v>
      </c>
      <c r="Q390" s="31">
        <f>'mnt Data'!C393</f>
        <v>0</v>
      </c>
      <c r="R390" s="31">
        <f>'mnt Data'!D393</f>
        <v>0</v>
      </c>
      <c r="S390" s="31">
        <f>'mnt Data'!E393</f>
        <v>0</v>
      </c>
      <c r="T390" s="31">
        <f>'mnt Data'!F393</f>
        <v>0</v>
      </c>
      <c r="U390" s="31">
        <f>'mnt Data'!G393</f>
        <v>0</v>
      </c>
      <c r="V390" s="31">
        <f>'mnt Data'!H393</f>
        <v>0</v>
      </c>
      <c r="W390" s="31">
        <f>'mnt Data'!I393</f>
        <v>0</v>
      </c>
      <c r="X390" s="31">
        <f>'mnt Data'!J393</f>
        <v>0</v>
      </c>
      <c r="Y390" s="31">
        <f>'mnt Data'!K393</f>
        <v>0</v>
      </c>
      <c r="Z390" s="31">
        <f>'mnt Data'!L393</f>
        <v>0</v>
      </c>
      <c r="AA390" s="31">
        <f>'mnt Data'!M393</f>
        <v>0</v>
      </c>
      <c r="AB390" s="31">
        <f>'mnt Data'!N393</f>
        <v>0</v>
      </c>
      <c r="AC390" s="31">
        <f>'mnt Data'!O393</f>
        <v>0</v>
      </c>
      <c r="AD390" s="31">
        <f>'mnt Data'!P393</f>
        <v>0</v>
      </c>
      <c r="AE390" s="31">
        <f>'mnt Data'!Q393</f>
        <v>0</v>
      </c>
      <c r="AF390" s="31">
        <f>'mnt Data'!R393</f>
        <v>0</v>
      </c>
      <c r="AG390" s="31">
        <f>'mnt Data'!S393</f>
        <v>0</v>
      </c>
      <c r="AH390" s="31">
        <f>'mnt Data'!T393</f>
        <v>0</v>
      </c>
      <c r="AI390" s="31">
        <f>'mnt Data'!U393</f>
        <v>0</v>
      </c>
      <c r="AJ390" s="31">
        <f>'mnt Data'!V393</f>
        <v>0</v>
      </c>
      <c r="AK390" s="31">
        <f>'mnt Data'!W393</f>
        <v>0</v>
      </c>
      <c r="AL390" s="31">
        <f>'mnt Data'!X393</f>
        <v>0</v>
      </c>
      <c r="AM390" s="31">
        <f>'mnt Data'!Y393</f>
        <v>0</v>
      </c>
      <c r="AN390" s="31">
        <f>'mnt Data'!Z393</f>
        <v>0</v>
      </c>
      <c r="AO390" s="31">
        <f>'mnt Data'!AA393</f>
        <v>0</v>
      </c>
      <c r="AP390" s="31">
        <f>'mnt Data'!AB393</f>
        <v>0</v>
      </c>
      <c r="AQ390" s="31">
        <f>'mnt Data'!AC393</f>
        <v>0</v>
      </c>
      <c r="AR390" s="31">
        <f>'mnt Data'!AD393</f>
        <v>0</v>
      </c>
      <c r="AS390" s="31">
        <f>'mnt Data'!AE393</f>
        <v>0</v>
      </c>
      <c r="AT390" s="31">
        <f>'mnt Data'!AF393</f>
        <v>0</v>
      </c>
      <c r="AU390" s="31">
        <f>'mnt Data'!AG393</f>
        <v>0</v>
      </c>
      <c r="AV390" s="31">
        <f>'mnt Data'!AH393</f>
        <v>0</v>
      </c>
      <c r="AW390" s="31">
        <f>'mnt Data'!AI393</f>
        <v>0</v>
      </c>
      <c r="AX390" s="31">
        <f>'mnt Data'!AJ393</f>
        <v>0</v>
      </c>
      <c r="AY390" s="31">
        <f>'mnt Data'!AK393</f>
        <v>0</v>
      </c>
    </row>
    <row r="391" spans="1:51" x14ac:dyDescent="0.25">
      <c r="A391">
        <v>390</v>
      </c>
      <c r="B391" s="32">
        <f t="shared" si="72"/>
        <v>0</v>
      </c>
      <c r="C391" s="32">
        <f t="shared" si="73"/>
        <v>0</v>
      </c>
      <c r="D391" s="32" t="str">
        <f t="shared" si="77"/>
        <v>No Gs</v>
      </c>
      <c r="E391" s="32">
        <f t="shared" si="81"/>
        <v>0</v>
      </c>
      <c r="F391" s="32" t="str">
        <f t="shared" si="82"/>
        <v>No Gs</v>
      </c>
      <c r="G391" s="32" t="str">
        <f t="shared" si="83"/>
        <v>No Gs</v>
      </c>
      <c r="H391" s="32" t="str">
        <f t="shared" si="74"/>
        <v>Gs is needed</v>
      </c>
      <c r="I391" s="32" t="str">
        <f t="shared" si="75"/>
        <v>Gs is needed</v>
      </c>
      <c r="J391" s="32" t="str">
        <f t="shared" si="76"/>
        <v>Gs is needed</v>
      </c>
      <c r="K391" s="32" t="str">
        <f t="shared" si="78"/>
        <v>Need Max and Min</v>
      </c>
      <c r="L391" s="32" t="str">
        <f t="shared" si="79"/>
        <v>Need Max and Min</v>
      </c>
      <c r="M391" s="32" t="str">
        <f t="shared" si="80"/>
        <v>Fail</v>
      </c>
      <c r="N391" s="32"/>
      <c r="O391" s="31">
        <f>'mnt Data'!A394</f>
        <v>0</v>
      </c>
      <c r="P391" s="31">
        <f>'mnt Data'!B394</f>
        <v>0</v>
      </c>
      <c r="Q391" s="31">
        <f>'mnt Data'!C394</f>
        <v>0</v>
      </c>
      <c r="R391" s="31">
        <f>'mnt Data'!D394</f>
        <v>0</v>
      </c>
      <c r="S391" s="31">
        <f>'mnt Data'!E394</f>
        <v>0</v>
      </c>
      <c r="T391" s="31">
        <f>'mnt Data'!F394</f>
        <v>0</v>
      </c>
      <c r="U391" s="31">
        <f>'mnt Data'!G394</f>
        <v>0</v>
      </c>
      <c r="V391" s="31">
        <f>'mnt Data'!H394</f>
        <v>0</v>
      </c>
      <c r="W391" s="31">
        <f>'mnt Data'!I394</f>
        <v>0</v>
      </c>
      <c r="X391" s="31">
        <f>'mnt Data'!J394</f>
        <v>0</v>
      </c>
      <c r="Y391" s="31">
        <f>'mnt Data'!K394</f>
        <v>0</v>
      </c>
      <c r="Z391" s="31">
        <f>'mnt Data'!L394</f>
        <v>0</v>
      </c>
      <c r="AA391" s="31">
        <f>'mnt Data'!M394</f>
        <v>0</v>
      </c>
      <c r="AB391" s="31">
        <f>'mnt Data'!N394</f>
        <v>0</v>
      </c>
      <c r="AC391" s="31">
        <f>'mnt Data'!O394</f>
        <v>0</v>
      </c>
      <c r="AD391" s="31">
        <f>'mnt Data'!P394</f>
        <v>0</v>
      </c>
      <c r="AE391" s="31">
        <f>'mnt Data'!Q394</f>
        <v>0</v>
      </c>
      <c r="AF391" s="31">
        <f>'mnt Data'!R394</f>
        <v>0</v>
      </c>
      <c r="AG391" s="31">
        <f>'mnt Data'!S394</f>
        <v>0</v>
      </c>
      <c r="AH391" s="31">
        <f>'mnt Data'!T394</f>
        <v>0</v>
      </c>
      <c r="AI391" s="31">
        <f>'mnt Data'!U394</f>
        <v>0</v>
      </c>
      <c r="AJ391" s="31">
        <f>'mnt Data'!V394</f>
        <v>0</v>
      </c>
      <c r="AK391" s="31">
        <f>'mnt Data'!W394</f>
        <v>0</v>
      </c>
      <c r="AL391" s="31">
        <f>'mnt Data'!X394</f>
        <v>0</v>
      </c>
      <c r="AM391" s="31">
        <f>'mnt Data'!Y394</f>
        <v>0</v>
      </c>
      <c r="AN391" s="31">
        <f>'mnt Data'!Z394</f>
        <v>0</v>
      </c>
      <c r="AO391" s="31">
        <f>'mnt Data'!AA394</f>
        <v>0</v>
      </c>
      <c r="AP391" s="31">
        <f>'mnt Data'!AB394</f>
        <v>0</v>
      </c>
      <c r="AQ391" s="31">
        <f>'mnt Data'!AC394</f>
        <v>0</v>
      </c>
      <c r="AR391" s="31">
        <f>'mnt Data'!AD394</f>
        <v>0</v>
      </c>
      <c r="AS391" s="31">
        <f>'mnt Data'!AE394</f>
        <v>0</v>
      </c>
      <c r="AT391" s="31">
        <f>'mnt Data'!AF394</f>
        <v>0</v>
      </c>
      <c r="AU391" s="31">
        <f>'mnt Data'!AG394</f>
        <v>0</v>
      </c>
      <c r="AV391" s="31">
        <f>'mnt Data'!AH394</f>
        <v>0</v>
      </c>
      <c r="AW391" s="31">
        <f>'mnt Data'!AI394</f>
        <v>0</v>
      </c>
      <c r="AX391" s="31">
        <f>'mnt Data'!AJ394</f>
        <v>0</v>
      </c>
      <c r="AY391" s="31">
        <f>'mnt Data'!AK394</f>
        <v>0</v>
      </c>
    </row>
    <row r="392" spans="1:51" x14ac:dyDescent="0.25">
      <c r="A392">
        <v>391</v>
      </c>
      <c r="B392" s="32">
        <f t="shared" si="72"/>
        <v>0</v>
      </c>
      <c r="C392" s="32">
        <f t="shared" si="73"/>
        <v>0</v>
      </c>
      <c r="D392" s="32" t="str">
        <f t="shared" si="77"/>
        <v>No Gs</v>
      </c>
      <c r="E392" s="32">
        <f t="shared" si="81"/>
        <v>0</v>
      </c>
      <c r="F392" s="32" t="str">
        <f t="shared" si="82"/>
        <v>No Gs</v>
      </c>
      <c r="G392" s="32" t="str">
        <f t="shared" si="83"/>
        <v>No Gs</v>
      </c>
      <c r="H392" s="32" t="str">
        <f t="shared" si="74"/>
        <v>Gs is needed</v>
      </c>
      <c r="I392" s="32" t="str">
        <f t="shared" si="75"/>
        <v>Gs is needed</v>
      </c>
      <c r="J392" s="32" t="str">
        <f t="shared" si="76"/>
        <v>Gs is needed</v>
      </c>
      <c r="K392" s="32" t="str">
        <f t="shared" si="78"/>
        <v>Need Max and Min</v>
      </c>
      <c r="L392" s="32" t="str">
        <f t="shared" si="79"/>
        <v>Need Max and Min</v>
      </c>
      <c r="M392" s="32" t="str">
        <f t="shared" si="80"/>
        <v>Fail</v>
      </c>
      <c r="N392" s="32"/>
      <c r="O392" s="31">
        <f>'mnt Data'!A395</f>
        <v>0</v>
      </c>
      <c r="P392" s="31">
        <f>'mnt Data'!B395</f>
        <v>0</v>
      </c>
      <c r="Q392" s="31">
        <f>'mnt Data'!C395</f>
        <v>0</v>
      </c>
      <c r="R392" s="31">
        <f>'mnt Data'!D395</f>
        <v>0</v>
      </c>
      <c r="S392" s="31">
        <f>'mnt Data'!E395</f>
        <v>0</v>
      </c>
      <c r="T392" s="31">
        <f>'mnt Data'!F395</f>
        <v>0</v>
      </c>
      <c r="U392" s="31">
        <f>'mnt Data'!G395</f>
        <v>0</v>
      </c>
      <c r="V392" s="31">
        <f>'mnt Data'!H395</f>
        <v>0</v>
      </c>
      <c r="W392" s="31">
        <f>'mnt Data'!I395</f>
        <v>0</v>
      </c>
      <c r="X392" s="31">
        <f>'mnt Data'!J395</f>
        <v>0</v>
      </c>
      <c r="Y392" s="31">
        <f>'mnt Data'!K395</f>
        <v>0</v>
      </c>
      <c r="Z392" s="31">
        <f>'mnt Data'!L395</f>
        <v>0</v>
      </c>
      <c r="AA392" s="31">
        <f>'mnt Data'!M395</f>
        <v>0</v>
      </c>
      <c r="AB392" s="31">
        <f>'mnt Data'!N395</f>
        <v>0</v>
      </c>
      <c r="AC392" s="31">
        <f>'mnt Data'!O395</f>
        <v>0</v>
      </c>
      <c r="AD392" s="31">
        <f>'mnt Data'!P395</f>
        <v>0</v>
      </c>
      <c r="AE392" s="31">
        <f>'mnt Data'!Q395</f>
        <v>0</v>
      </c>
      <c r="AF392" s="31">
        <f>'mnt Data'!R395</f>
        <v>0</v>
      </c>
      <c r="AG392" s="31">
        <f>'mnt Data'!S395</f>
        <v>0</v>
      </c>
      <c r="AH392" s="31">
        <f>'mnt Data'!T395</f>
        <v>0</v>
      </c>
      <c r="AI392" s="31">
        <f>'mnt Data'!U395</f>
        <v>0</v>
      </c>
      <c r="AJ392" s="31">
        <f>'mnt Data'!V395</f>
        <v>0</v>
      </c>
      <c r="AK392" s="31">
        <f>'mnt Data'!W395</f>
        <v>0</v>
      </c>
      <c r="AL392" s="31">
        <f>'mnt Data'!X395</f>
        <v>0</v>
      </c>
      <c r="AM392" s="31">
        <f>'mnt Data'!Y395</f>
        <v>0</v>
      </c>
      <c r="AN392" s="31">
        <f>'mnt Data'!Z395</f>
        <v>0</v>
      </c>
      <c r="AO392" s="31">
        <f>'mnt Data'!AA395</f>
        <v>0</v>
      </c>
      <c r="AP392" s="31">
        <f>'mnt Data'!AB395</f>
        <v>0</v>
      </c>
      <c r="AQ392" s="31">
        <f>'mnt Data'!AC395</f>
        <v>0</v>
      </c>
      <c r="AR392" s="31">
        <f>'mnt Data'!AD395</f>
        <v>0</v>
      </c>
      <c r="AS392" s="31">
        <f>'mnt Data'!AE395</f>
        <v>0</v>
      </c>
      <c r="AT392" s="31">
        <f>'mnt Data'!AF395</f>
        <v>0</v>
      </c>
      <c r="AU392" s="31">
        <f>'mnt Data'!AG395</f>
        <v>0</v>
      </c>
      <c r="AV392" s="31">
        <f>'mnt Data'!AH395</f>
        <v>0</v>
      </c>
      <c r="AW392" s="31">
        <f>'mnt Data'!AI395</f>
        <v>0</v>
      </c>
      <c r="AX392" s="31">
        <f>'mnt Data'!AJ395</f>
        <v>0</v>
      </c>
      <c r="AY392" s="31">
        <f>'mnt Data'!AK395</f>
        <v>0</v>
      </c>
    </row>
    <row r="393" spans="1:51" x14ac:dyDescent="0.25">
      <c r="A393">
        <v>392</v>
      </c>
      <c r="B393" s="32">
        <f t="shared" si="72"/>
        <v>0</v>
      </c>
      <c r="C393" s="32">
        <f t="shared" si="73"/>
        <v>0</v>
      </c>
      <c r="D393" s="32" t="str">
        <f t="shared" si="77"/>
        <v>No Gs</v>
      </c>
      <c r="E393" s="32">
        <f t="shared" si="81"/>
        <v>0</v>
      </c>
      <c r="F393" s="32" t="str">
        <f t="shared" si="82"/>
        <v>No Gs</v>
      </c>
      <c r="G393" s="32" t="str">
        <f t="shared" si="83"/>
        <v>No Gs</v>
      </c>
      <c r="H393" s="32" t="str">
        <f t="shared" si="74"/>
        <v>Gs is needed</v>
      </c>
      <c r="I393" s="32" t="str">
        <f t="shared" si="75"/>
        <v>Gs is needed</v>
      </c>
      <c r="J393" s="32" t="str">
        <f t="shared" si="76"/>
        <v>Gs is needed</v>
      </c>
      <c r="K393" s="32" t="str">
        <f t="shared" si="78"/>
        <v>Need Max and Min</v>
      </c>
      <c r="L393" s="32" t="str">
        <f t="shared" si="79"/>
        <v>Need Max and Min</v>
      </c>
      <c r="M393" s="32" t="str">
        <f t="shared" si="80"/>
        <v>Fail</v>
      </c>
      <c r="N393" s="32"/>
      <c r="O393" s="31">
        <f>'mnt Data'!A396</f>
        <v>0</v>
      </c>
      <c r="P393" s="31">
        <f>'mnt Data'!B396</f>
        <v>0</v>
      </c>
      <c r="Q393" s="31">
        <f>'mnt Data'!C396</f>
        <v>0</v>
      </c>
      <c r="R393" s="31">
        <f>'mnt Data'!D396</f>
        <v>0</v>
      </c>
      <c r="S393" s="31">
        <f>'mnt Data'!E396</f>
        <v>0</v>
      </c>
      <c r="T393" s="31">
        <f>'mnt Data'!F396</f>
        <v>0</v>
      </c>
      <c r="U393" s="31">
        <f>'mnt Data'!G396</f>
        <v>0</v>
      </c>
      <c r="V393" s="31">
        <f>'mnt Data'!H396</f>
        <v>0</v>
      </c>
      <c r="W393" s="31">
        <f>'mnt Data'!I396</f>
        <v>0</v>
      </c>
      <c r="X393" s="31">
        <f>'mnt Data'!J396</f>
        <v>0</v>
      </c>
      <c r="Y393" s="31">
        <f>'mnt Data'!K396</f>
        <v>0</v>
      </c>
      <c r="Z393" s="31">
        <f>'mnt Data'!L396</f>
        <v>0</v>
      </c>
      <c r="AA393" s="31">
        <f>'mnt Data'!M396</f>
        <v>0</v>
      </c>
      <c r="AB393" s="31">
        <f>'mnt Data'!N396</f>
        <v>0</v>
      </c>
      <c r="AC393" s="31">
        <f>'mnt Data'!O396</f>
        <v>0</v>
      </c>
      <c r="AD393" s="31">
        <f>'mnt Data'!P396</f>
        <v>0</v>
      </c>
      <c r="AE393" s="31">
        <f>'mnt Data'!Q396</f>
        <v>0</v>
      </c>
      <c r="AF393" s="31">
        <f>'mnt Data'!R396</f>
        <v>0</v>
      </c>
      <c r="AG393" s="31">
        <f>'mnt Data'!S396</f>
        <v>0</v>
      </c>
      <c r="AH393" s="31">
        <f>'mnt Data'!T396</f>
        <v>0</v>
      </c>
      <c r="AI393" s="31">
        <f>'mnt Data'!U396</f>
        <v>0</v>
      </c>
      <c r="AJ393" s="31">
        <f>'mnt Data'!V396</f>
        <v>0</v>
      </c>
      <c r="AK393" s="31">
        <f>'mnt Data'!W396</f>
        <v>0</v>
      </c>
      <c r="AL393" s="31">
        <f>'mnt Data'!X396</f>
        <v>0</v>
      </c>
      <c r="AM393" s="31">
        <f>'mnt Data'!Y396</f>
        <v>0</v>
      </c>
      <c r="AN393" s="31">
        <f>'mnt Data'!Z396</f>
        <v>0</v>
      </c>
      <c r="AO393" s="31">
        <f>'mnt Data'!AA396</f>
        <v>0</v>
      </c>
      <c r="AP393" s="31">
        <f>'mnt Data'!AB396</f>
        <v>0</v>
      </c>
      <c r="AQ393" s="31">
        <f>'mnt Data'!AC396</f>
        <v>0</v>
      </c>
      <c r="AR393" s="31">
        <f>'mnt Data'!AD396</f>
        <v>0</v>
      </c>
      <c r="AS393" s="31">
        <f>'mnt Data'!AE396</f>
        <v>0</v>
      </c>
      <c r="AT393" s="31">
        <f>'mnt Data'!AF396</f>
        <v>0</v>
      </c>
      <c r="AU393" s="31">
        <f>'mnt Data'!AG396</f>
        <v>0</v>
      </c>
      <c r="AV393" s="31">
        <f>'mnt Data'!AH396</f>
        <v>0</v>
      </c>
      <c r="AW393" s="31">
        <f>'mnt Data'!AI396</f>
        <v>0</v>
      </c>
      <c r="AX393" s="31">
        <f>'mnt Data'!AJ396</f>
        <v>0</v>
      </c>
      <c r="AY393" s="31">
        <f>'mnt Data'!AK396</f>
        <v>0</v>
      </c>
    </row>
    <row r="394" spans="1:51" x14ac:dyDescent="0.25">
      <c r="A394">
        <v>393</v>
      </c>
      <c r="B394" s="32">
        <f t="shared" si="72"/>
        <v>0</v>
      </c>
      <c r="C394" s="32">
        <f t="shared" si="73"/>
        <v>0</v>
      </c>
      <c r="D394" s="32" t="str">
        <f t="shared" si="77"/>
        <v>No Gs</v>
      </c>
      <c r="E394" s="32">
        <f t="shared" si="81"/>
        <v>0</v>
      </c>
      <c r="F394" s="32" t="str">
        <f t="shared" si="82"/>
        <v>No Gs</v>
      </c>
      <c r="G394" s="32" t="str">
        <f t="shared" si="83"/>
        <v>No Gs</v>
      </c>
      <c r="H394" s="32" t="str">
        <f t="shared" si="74"/>
        <v>Gs is needed</v>
      </c>
      <c r="I394" s="32" t="str">
        <f t="shared" si="75"/>
        <v>Gs is needed</v>
      </c>
      <c r="J394" s="32" t="str">
        <f t="shared" si="76"/>
        <v>Gs is needed</v>
      </c>
      <c r="K394" s="32" t="str">
        <f t="shared" si="78"/>
        <v>Need Max and Min</v>
      </c>
      <c r="L394" s="32" t="str">
        <f t="shared" si="79"/>
        <v>Need Max and Min</v>
      </c>
      <c r="M394" s="32" t="str">
        <f t="shared" si="80"/>
        <v>Fail</v>
      </c>
      <c r="N394" s="32"/>
      <c r="O394" s="31">
        <f>'mnt Data'!A397</f>
        <v>0</v>
      </c>
      <c r="P394" s="31">
        <f>'mnt Data'!B397</f>
        <v>0</v>
      </c>
      <c r="Q394" s="31">
        <f>'mnt Data'!C397</f>
        <v>0</v>
      </c>
      <c r="R394" s="31">
        <f>'mnt Data'!D397</f>
        <v>0</v>
      </c>
      <c r="S394" s="31">
        <f>'mnt Data'!E397</f>
        <v>0</v>
      </c>
      <c r="T394" s="31">
        <f>'mnt Data'!F397</f>
        <v>0</v>
      </c>
      <c r="U394" s="31">
        <f>'mnt Data'!G397</f>
        <v>0</v>
      </c>
      <c r="V394" s="31">
        <f>'mnt Data'!H397</f>
        <v>0</v>
      </c>
      <c r="W394" s="31">
        <f>'mnt Data'!I397</f>
        <v>0</v>
      </c>
      <c r="X394" s="31">
        <f>'mnt Data'!J397</f>
        <v>0</v>
      </c>
      <c r="Y394" s="31">
        <f>'mnt Data'!K397</f>
        <v>0</v>
      </c>
      <c r="Z394" s="31">
        <f>'mnt Data'!L397</f>
        <v>0</v>
      </c>
      <c r="AA394" s="31">
        <f>'mnt Data'!M397</f>
        <v>0</v>
      </c>
      <c r="AB394" s="31">
        <f>'mnt Data'!N397</f>
        <v>0</v>
      </c>
      <c r="AC394" s="31">
        <f>'mnt Data'!O397</f>
        <v>0</v>
      </c>
      <c r="AD394" s="31">
        <f>'mnt Data'!P397</f>
        <v>0</v>
      </c>
      <c r="AE394" s="31">
        <f>'mnt Data'!Q397</f>
        <v>0</v>
      </c>
      <c r="AF394" s="31">
        <f>'mnt Data'!R397</f>
        <v>0</v>
      </c>
      <c r="AG394" s="31">
        <f>'mnt Data'!S397</f>
        <v>0</v>
      </c>
      <c r="AH394" s="31">
        <f>'mnt Data'!T397</f>
        <v>0</v>
      </c>
      <c r="AI394" s="31">
        <f>'mnt Data'!U397</f>
        <v>0</v>
      </c>
      <c r="AJ394" s="31">
        <f>'mnt Data'!V397</f>
        <v>0</v>
      </c>
      <c r="AK394" s="31">
        <f>'mnt Data'!W397</f>
        <v>0</v>
      </c>
      <c r="AL394" s="31">
        <f>'mnt Data'!X397</f>
        <v>0</v>
      </c>
      <c r="AM394" s="31">
        <f>'mnt Data'!Y397</f>
        <v>0</v>
      </c>
      <c r="AN394" s="31">
        <f>'mnt Data'!Z397</f>
        <v>0</v>
      </c>
      <c r="AO394" s="31">
        <f>'mnt Data'!AA397</f>
        <v>0</v>
      </c>
      <c r="AP394" s="31">
        <f>'mnt Data'!AB397</f>
        <v>0</v>
      </c>
      <c r="AQ394" s="31">
        <f>'mnt Data'!AC397</f>
        <v>0</v>
      </c>
      <c r="AR394" s="31">
        <f>'mnt Data'!AD397</f>
        <v>0</v>
      </c>
      <c r="AS394" s="31">
        <f>'mnt Data'!AE397</f>
        <v>0</v>
      </c>
      <c r="AT394" s="31">
        <f>'mnt Data'!AF397</f>
        <v>0</v>
      </c>
      <c r="AU394" s="31">
        <f>'mnt Data'!AG397</f>
        <v>0</v>
      </c>
      <c r="AV394" s="31">
        <f>'mnt Data'!AH397</f>
        <v>0</v>
      </c>
      <c r="AW394" s="31">
        <f>'mnt Data'!AI397</f>
        <v>0</v>
      </c>
      <c r="AX394" s="31">
        <f>'mnt Data'!AJ397</f>
        <v>0</v>
      </c>
      <c r="AY394" s="31">
        <f>'mnt Data'!AK397</f>
        <v>0</v>
      </c>
    </row>
    <row r="395" spans="1:51" x14ac:dyDescent="0.25">
      <c r="A395">
        <v>394</v>
      </c>
      <c r="B395" s="32">
        <f t="shared" si="72"/>
        <v>0</v>
      </c>
      <c r="C395" s="32">
        <f t="shared" si="73"/>
        <v>0</v>
      </c>
      <c r="D395" s="32" t="str">
        <f t="shared" si="77"/>
        <v>No Gs</v>
      </c>
      <c r="E395" s="32">
        <f t="shared" si="81"/>
        <v>0</v>
      </c>
      <c r="F395" s="32" t="str">
        <f t="shared" si="82"/>
        <v>No Gs</v>
      </c>
      <c r="G395" s="32" t="str">
        <f t="shared" si="83"/>
        <v>No Gs</v>
      </c>
      <c r="H395" s="32" t="str">
        <f t="shared" si="74"/>
        <v>Gs is needed</v>
      </c>
      <c r="I395" s="32" t="str">
        <f t="shared" si="75"/>
        <v>Gs is needed</v>
      </c>
      <c r="J395" s="32" t="str">
        <f t="shared" si="76"/>
        <v>Gs is needed</v>
      </c>
      <c r="K395" s="32" t="str">
        <f t="shared" si="78"/>
        <v>Need Max and Min</v>
      </c>
      <c r="L395" s="32" t="str">
        <f t="shared" si="79"/>
        <v>Need Max and Min</v>
      </c>
      <c r="M395" s="32" t="str">
        <f t="shared" si="80"/>
        <v>Fail</v>
      </c>
      <c r="N395" s="32"/>
      <c r="O395" s="31">
        <f>'mnt Data'!A398</f>
        <v>0</v>
      </c>
      <c r="P395" s="31">
        <f>'mnt Data'!B398</f>
        <v>0</v>
      </c>
      <c r="Q395" s="31">
        <f>'mnt Data'!C398</f>
        <v>0</v>
      </c>
      <c r="R395" s="31">
        <f>'mnt Data'!D398</f>
        <v>0</v>
      </c>
      <c r="S395" s="31">
        <f>'mnt Data'!E398</f>
        <v>0</v>
      </c>
      <c r="T395" s="31">
        <f>'mnt Data'!F398</f>
        <v>0</v>
      </c>
      <c r="U395" s="31">
        <f>'mnt Data'!G398</f>
        <v>0</v>
      </c>
      <c r="V395" s="31">
        <f>'mnt Data'!H398</f>
        <v>0</v>
      </c>
      <c r="W395" s="31">
        <f>'mnt Data'!I398</f>
        <v>0</v>
      </c>
      <c r="X395" s="31">
        <f>'mnt Data'!J398</f>
        <v>0</v>
      </c>
      <c r="Y395" s="31">
        <f>'mnt Data'!K398</f>
        <v>0</v>
      </c>
      <c r="Z395" s="31">
        <f>'mnt Data'!L398</f>
        <v>0</v>
      </c>
      <c r="AA395" s="31">
        <f>'mnt Data'!M398</f>
        <v>0</v>
      </c>
      <c r="AB395" s="31">
        <f>'mnt Data'!N398</f>
        <v>0</v>
      </c>
      <c r="AC395" s="31">
        <f>'mnt Data'!O398</f>
        <v>0</v>
      </c>
      <c r="AD395" s="31">
        <f>'mnt Data'!P398</f>
        <v>0</v>
      </c>
      <c r="AE395" s="31">
        <f>'mnt Data'!Q398</f>
        <v>0</v>
      </c>
      <c r="AF395" s="31">
        <f>'mnt Data'!R398</f>
        <v>0</v>
      </c>
      <c r="AG395" s="31">
        <f>'mnt Data'!S398</f>
        <v>0</v>
      </c>
      <c r="AH395" s="31">
        <f>'mnt Data'!T398</f>
        <v>0</v>
      </c>
      <c r="AI395" s="31">
        <f>'mnt Data'!U398</f>
        <v>0</v>
      </c>
      <c r="AJ395" s="31">
        <f>'mnt Data'!V398</f>
        <v>0</v>
      </c>
      <c r="AK395" s="31">
        <f>'mnt Data'!W398</f>
        <v>0</v>
      </c>
      <c r="AL395" s="31">
        <f>'mnt Data'!X398</f>
        <v>0</v>
      </c>
      <c r="AM395" s="31">
        <f>'mnt Data'!Y398</f>
        <v>0</v>
      </c>
      <c r="AN395" s="31">
        <f>'mnt Data'!Z398</f>
        <v>0</v>
      </c>
      <c r="AO395" s="31">
        <f>'mnt Data'!AA398</f>
        <v>0</v>
      </c>
      <c r="AP395" s="31">
        <f>'mnt Data'!AB398</f>
        <v>0</v>
      </c>
      <c r="AQ395" s="31">
        <f>'mnt Data'!AC398</f>
        <v>0</v>
      </c>
      <c r="AR395" s="31">
        <f>'mnt Data'!AD398</f>
        <v>0</v>
      </c>
      <c r="AS395" s="31">
        <f>'mnt Data'!AE398</f>
        <v>0</v>
      </c>
      <c r="AT395" s="31">
        <f>'mnt Data'!AF398</f>
        <v>0</v>
      </c>
      <c r="AU395" s="31">
        <f>'mnt Data'!AG398</f>
        <v>0</v>
      </c>
      <c r="AV395" s="31">
        <f>'mnt Data'!AH398</f>
        <v>0</v>
      </c>
      <c r="AW395" s="31">
        <f>'mnt Data'!AI398</f>
        <v>0</v>
      </c>
      <c r="AX395" s="31">
        <f>'mnt Data'!AJ398</f>
        <v>0</v>
      </c>
      <c r="AY395" s="31">
        <f>'mnt Data'!AK398</f>
        <v>0</v>
      </c>
    </row>
    <row r="396" spans="1:51" x14ac:dyDescent="0.25">
      <c r="A396">
        <v>395</v>
      </c>
      <c r="B396" s="32">
        <f t="shared" si="72"/>
        <v>0</v>
      </c>
      <c r="C396" s="32">
        <f t="shared" si="73"/>
        <v>0</v>
      </c>
      <c r="D396" s="32" t="str">
        <f t="shared" si="77"/>
        <v>No Gs</v>
      </c>
      <c r="E396" s="32">
        <f t="shared" si="81"/>
        <v>0</v>
      </c>
      <c r="F396" s="32" t="str">
        <f t="shared" si="82"/>
        <v>No Gs</v>
      </c>
      <c r="G396" s="32" t="str">
        <f t="shared" si="83"/>
        <v>No Gs</v>
      </c>
      <c r="H396" s="32" t="str">
        <f t="shared" si="74"/>
        <v>Gs is needed</v>
      </c>
      <c r="I396" s="32" t="str">
        <f t="shared" si="75"/>
        <v>Gs is needed</v>
      </c>
      <c r="J396" s="32" t="str">
        <f t="shared" si="76"/>
        <v>Gs is needed</v>
      </c>
      <c r="K396" s="32" t="str">
        <f t="shared" si="78"/>
        <v>Need Max and Min</v>
      </c>
      <c r="L396" s="32" t="str">
        <f t="shared" si="79"/>
        <v>Need Max and Min</v>
      </c>
      <c r="M396" s="32" t="str">
        <f t="shared" si="80"/>
        <v>Fail</v>
      </c>
      <c r="N396" s="32"/>
      <c r="O396" s="31">
        <f>'mnt Data'!A399</f>
        <v>0</v>
      </c>
      <c r="P396" s="31">
        <f>'mnt Data'!B399</f>
        <v>0</v>
      </c>
      <c r="Q396" s="31">
        <f>'mnt Data'!C399</f>
        <v>0</v>
      </c>
      <c r="R396" s="31">
        <f>'mnt Data'!D399</f>
        <v>0</v>
      </c>
      <c r="S396" s="31">
        <f>'mnt Data'!E399</f>
        <v>0</v>
      </c>
      <c r="T396" s="31">
        <f>'mnt Data'!F399</f>
        <v>0</v>
      </c>
      <c r="U396" s="31">
        <f>'mnt Data'!G399</f>
        <v>0</v>
      </c>
      <c r="V396" s="31">
        <f>'mnt Data'!H399</f>
        <v>0</v>
      </c>
      <c r="W396" s="31">
        <f>'mnt Data'!I399</f>
        <v>0</v>
      </c>
      <c r="X396" s="31">
        <f>'mnt Data'!J399</f>
        <v>0</v>
      </c>
      <c r="Y396" s="31">
        <f>'mnt Data'!K399</f>
        <v>0</v>
      </c>
      <c r="Z396" s="31">
        <f>'mnt Data'!L399</f>
        <v>0</v>
      </c>
      <c r="AA396" s="31">
        <f>'mnt Data'!M399</f>
        <v>0</v>
      </c>
      <c r="AB396" s="31">
        <f>'mnt Data'!N399</f>
        <v>0</v>
      </c>
      <c r="AC396" s="31">
        <f>'mnt Data'!O399</f>
        <v>0</v>
      </c>
      <c r="AD396" s="31">
        <f>'mnt Data'!P399</f>
        <v>0</v>
      </c>
      <c r="AE396" s="31">
        <f>'mnt Data'!Q399</f>
        <v>0</v>
      </c>
      <c r="AF396" s="31">
        <f>'mnt Data'!R399</f>
        <v>0</v>
      </c>
      <c r="AG396" s="31">
        <f>'mnt Data'!S399</f>
        <v>0</v>
      </c>
      <c r="AH396" s="31">
        <f>'mnt Data'!T399</f>
        <v>0</v>
      </c>
      <c r="AI396" s="31">
        <f>'mnt Data'!U399</f>
        <v>0</v>
      </c>
      <c r="AJ396" s="31">
        <f>'mnt Data'!V399</f>
        <v>0</v>
      </c>
      <c r="AK396" s="31">
        <f>'mnt Data'!W399</f>
        <v>0</v>
      </c>
      <c r="AL396" s="31">
        <f>'mnt Data'!X399</f>
        <v>0</v>
      </c>
      <c r="AM396" s="31">
        <f>'mnt Data'!Y399</f>
        <v>0</v>
      </c>
      <c r="AN396" s="31">
        <f>'mnt Data'!Z399</f>
        <v>0</v>
      </c>
      <c r="AO396" s="31">
        <f>'mnt Data'!AA399</f>
        <v>0</v>
      </c>
      <c r="AP396" s="31">
        <f>'mnt Data'!AB399</f>
        <v>0</v>
      </c>
      <c r="AQ396" s="31">
        <f>'mnt Data'!AC399</f>
        <v>0</v>
      </c>
      <c r="AR396" s="31">
        <f>'mnt Data'!AD399</f>
        <v>0</v>
      </c>
      <c r="AS396" s="31">
        <f>'mnt Data'!AE399</f>
        <v>0</v>
      </c>
      <c r="AT396" s="31">
        <f>'mnt Data'!AF399</f>
        <v>0</v>
      </c>
      <c r="AU396" s="31">
        <f>'mnt Data'!AG399</f>
        <v>0</v>
      </c>
      <c r="AV396" s="31">
        <f>'mnt Data'!AH399</f>
        <v>0</v>
      </c>
      <c r="AW396" s="31">
        <f>'mnt Data'!AI399</f>
        <v>0</v>
      </c>
      <c r="AX396" s="31">
        <f>'mnt Data'!AJ399</f>
        <v>0</v>
      </c>
      <c r="AY396" s="31">
        <f>'mnt Data'!AK399</f>
        <v>0</v>
      </c>
    </row>
    <row r="397" spans="1:51" x14ac:dyDescent="0.25">
      <c r="A397">
        <v>396</v>
      </c>
      <c r="B397" s="32">
        <f t="shared" si="72"/>
        <v>0</v>
      </c>
      <c r="C397" s="32">
        <f t="shared" si="73"/>
        <v>0</v>
      </c>
      <c r="D397" s="32" t="str">
        <f t="shared" si="77"/>
        <v>No Gs</v>
      </c>
      <c r="E397" s="32">
        <f t="shared" si="81"/>
        <v>0</v>
      </c>
      <c r="F397" s="32" t="str">
        <f t="shared" si="82"/>
        <v>No Gs</v>
      </c>
      <c r="G397" s="32" t="str">
        <f t="shared" si="83"/>
        <v>No Gs</v>
      </c>
      <c r="H397" s="32" t="str">
        <f t="shared" si="74"/>
        <v>Gs is needed</v>
      </c>
      <c r="I397" s="32" t="str">
        <f t="shared" si="75"/>
        <v>Gs is needed</v>
      </c>
      <c r="J397" s="32" t="str">
        <f t="shared" si="76"/>
        <v>Gs is needed</v>
      </c>
      <c r="K397" s="32" t="str">
        <f t="shared" si="78"/>
        <v>Need Max and Min</v>
      </c>
      <c r="L397" s="32" t="str">
        <f t="shared" si="79"/>
        <v>Need Max and Min</v>
      </c>
      <c r="M397" s="32" t="str">
        <f t="shared" si="80"/>
        <v>Fail</v>
      </c>
      <c r="N397" s="32"/>
      <c r="O397" s="31">
        <f>'mnt Data'!A400</f>
        <v>0</v>
      </c>
      <c r="P397" s="31">
        <f>'mnt Data'!B400</f>
        <v>0</v>
      </c>
      <c r="Q397" s="31">
        <f>'mnt Data'!C400</f>
        <v>0</v>
      </c>
      <c r="R397" s="31">
        <f>'mnt Data'!D400</f>
        <v>0</v>
      </c>
      <c r="S397" s="31">
        <f>'mnt Data'!E400</f>
        <v>0</v>
      </c>
      <c r="T397" s="31">
        <f>'mnt Data'!F400</f>
        <v>0</v>
      </c>
      <c r="U397" s="31">
        <f>'mnt Data'!G400</f>
        <v>0</v>
      </c>
      <c r="V397" s="31">
        <f>'mnt Data'!H400</f>
        <v>0</v>
      </c>
      <c r="W397" s="31">
        <f>'mnt Data'!I400</f>
        <v>0</v>
      </c>
      <c r="X397" s="31">
        <f>'mnt Data'!J400</f>
        <v>0</v>
      </c>
      <c r="Y397" s="31">
        <f>'mnt Data'!K400</f>
        <v>0</v>
      </c>
      <c r="Z397" s="31">
        <f>'mnt Data'!L400</f>
        <v>0</v>
      </c>
      <c r="AA397" s="31">
        <f>'mnt Data'!M400</f>
        <v>0</v>
      </c>
      <c r="AB397" s="31">
        <f>'mnt Data'!N400</f>
        <v>0</v>
      </c>
      <c r="AC397" s="31">
        <f>'mnt Data'!O400</f>
        <v>0</v>
      </c>
      <c r="AD397" s="31">
        <f>'mnt Data'!P400</f>
        <v>0</v>
      </c>
      <c r="AE397" s="31">
        <f>'mnt Data'!Q400</f>
        <v>0</v>
      </c>
      <c r="AF397" s="31">
        <f>'mnt Data'!R400</f>
        <v>0</v>
      </c>
      <c r="AG397" s="31">
        <f>'mnt Data'!S400</f>
        <v>0</v>
      </c>
      <c r="AH397" s="31">
        <f>'mnt Data'!T400</f>
        <v>0</v>
      </c>
      <c r="AI397" s="31">
        <f>'mnt Data'!U400</f>
        <v>0</v>
      </c>
      <c r="AJ397" s="31">
        <f>'mnt Data'!V400</f>
        <v>0</v>
      </c>
      <c r="AK397" s="31">
        <f>'mnt Data'!W400</f>
        <v>0</v>
      </c>
      <c r="AL397" s="31">
        <f>'mnt Data'!X400</f>
        <v>0</v>
      </c>
      <c r="AM397" s="31">
        <f>'mnt Data'!Y400</f>
        <v>0</v>
      </c>
      <c r="AN397" s="31">
        <f>'mnt Data'!Z400</f>
        <v>0</v>
      </c>
      <c r="AO397" s="31">
        <f>'mnt Data'!AA400</f>
        <v>0</v>
      </c>
      <c r="AP397" s="31">
        <f>'mnt Data'!AB400</f>
        <v>0</v>
      </c>
      <c r="AQ397" s="31">
        <f>'mnt Data'!AC400</f>
        <v>0</v>
      </c>
      <c r="AR397" s="31">
        <f>'mnt Data'!AD400</f>
        <v>0</v>
      </c>
      <c r="AS397" s="31">
        <f>'mnt Data'!AE400</f>
        <v>0</v>
      </c>
      <c r="AT397" s="31">
        <f>'mnt Data'!AF400</f>
        <v>0</v>
      </c>
      <c r="AU397" s="31">
        <f>'mnt Data'!AG400</f>
        <v>0</v>
      </c>
      <c r="AV397" s="31">
        <f>'mnt Data'!AH400</f>
        <v>0</v>
      </c>
      <c r="AW397" s="31">
        <f>'mnt Data'!AI400</f>
        <v>0</v>
      </c>
      <c r="AX397" s="31">
        <f>'mnt Data'!AJ400</f>
        <v>0</v>
      </c>
      <c r="AY397" s="31">
        <f>'mnt Data'!AK400</f>
        <v>0</v>
      </c>
    </row>
    <row r="398" spans="1:51" x14ac:dyDescent="0.25">
      <c r="A398">
        <v>397</v>
      </c>
      <c r="B398" s="32">
        <f t="shared" si="72"/>
        <v>0</v>
      </c>
      <c r="C398" s="32">
        <f t="shared" si="73"/>
        <v>0</v>
      </c>
      <c r="D398" s="32" t="str">
        <f t="shared" si="77"/>
        <v>No Gs</v>
      </c>
      <c r="E398" s="32">
        <f t="shared" si="81"/>
        <v>0</v>
      </c>
      <c r="F398" s="32" t="str">
        <f t="shared" si="82"/>
        <v>No Gs</v>
      </c>
      <c r="G398" s="32" t="str">
        <f t="shared" si="83"/>
        <v>No Gs</v>
      </c>
      <c r="H398" s="32" t="str">
        <f t="shared" si="74"/>
        <v>Gs is needed</v>
      </c>
      <c r="I398" s="32" t="str">
        <f t="shared" si="75"/>
        <v>Gs is needed</v>
      </c>
      <c r="J398" s="32" t="str">
        <f t="shared" si="76"/>
        <v>Gs is needed</v>
      </c>
      <c r="K398" s="32" t="str">
        <f t="shared" si="78"/>
        <v>Need Max and Min</v>
      </c>
      <c r="L398" s="32" t="str">
        <f t="shared" si="79"/>
        <v>Need Max and Min</v>
      </c>
      <c r="M398" s="32" t="str">
        <f t="shared" si="80"/>
        <v>Fail</v>
      </c>
      <c r="N398" s="32"/>
      <c r="O398" s="31">
        <f>'mnt Data'!A401</f>
        <v>0</v>
      </c>
      <c r="P398" s="31">
        <f>'mnt Data'!B401</f>
        <v>0</v>
      </c>
      <c r="Q398" s="31">
        <f>'mnt Data'!C401</f>
        <v>0</v>
      </c>
      <c r="R398" s="31">
        <f>'mnt Data'!D401</f>
        <v>0</v>
      </c>
      <c r="S398" s="31">
        <f>'mnt Data'!E401</f>
        <v>0</v>
      </c>
      <c r="T398" s="31">
        <f>'mnt Data'!F401</f>
        <v>0</v>
      </c>
      <c r="U398" s="31">
        <f>'mnt Data'!G401</f>
        <v>0</v>
      </c>
      <c r="V398" s="31">
        <f>'mnt Data'!H401</f>
        <v>0</v>
      </c>
      <c r="W398" s="31">
        <f>'mnt Data'!I401</f>
        <v>0</v>
      </c>
      <c r="X398" s="31">
        <f>'mnt Data'!J401</f>
        <v>0</v>
      </c>
      <c r="Y398" s="31">
        <f>'mnt Data'!K401</f>
        <v>0</v>
      </c>
      <c r="Z398" s="31">
        <f>'mnt Data'!L401</f>
        <v>0</v>
      </c>
      <c r="AA398" s="31">
        <f>'mnt Data'!M401</f>
        <v>0</v>
      </c>
      <c r="AB398" s="31">
        <f>'mnt Data'!N401</f>
        <v>0</v>
      </c>
      <c r="AC398" s="31">
        <f>'mnt Data'!O401</f>
        <v>0</v>
      </c>
      <c r="AD398" s="31">
        <f>'mnt Data'!P401</f>
        <v>0</v>
      </c>
      <c r="AE398" s="31">
        <f>'mnt Data'!Q401</f>
        <v>0</v>
      </c>
      <c r="AF398" s="31">
        <f>'mnt Data'!R401</f>
        <v>0</v>
      </c>
      <c r="AG398" s="31">
        <f>'mnt Data'!S401</f>
        <v>0</v>
      </c>
      <c r="AH398" s="31">
        <f>'mnt Data'!T401</f>
        <v>0</v>
      </c>
      <c r="AI398" s="31">
        <f>'mnt Data'!U401</f>
        <v>0</v>
      </c>
      <c r="AJ398" s="31">
        <f>'mnt Data'!V401</f>
        <v>0</v>
      </c>
      <c r="AK398" s="31">
        <f>'mnt Data'!W401</f>
        <v>0</v>
      </c>
      <c r="AL398" s="31">
        <f>'mnt Data'!X401</f>
        <v>0</v>
      </c>
      <c r="AM398" s="31">
        <f>'mnt Data'!Y401</f>
        <v>0</v>
      </c>
      <c r="AN398" s="31">
        <f>'mnt Data'!Z401</f>
        <v>0</v>
      </c>
      <c r="AO398" s="31">
        <f>'mnt Data'!AA401</f>
        <v>0</v>
      </c>
      <c r="AP398" s="31">
        <f>'mnt Data'!AB401</f>
        <v>0</v>
      </c>
      <c r="AQ398" s="31">
        <f>'mnt Data'!AC401</f>
        <v>0</v>
      </c>
      <c r="AR398" s="31">
        <f>'mnt Data'!AD401</f>
        <v>0</v>
      </c>
      <c r="AS398" s="31">
        <f>'mnt Data'!AE401</f>
        <v>0</v>
      </c>
      <c r="AT398" s="31">
        <f>'mnt Data'!AF401</f>
        <v>0</v>
      </c>
      <c r="AU398" s="31">
        <f>'mnt Data'!AG401</f>
        <v>0</v>
      </c>
      <c r="AV398" s="31">
        <f>'mnt Data'!AH401</f>
        <v>0</v>
      </c>
      <c r="AW398" s="31">
        <f>'mnt Data'!AI401</f>
        <v>0</v>
      </c>
      <c r="AX398" s="31">
        <f>'mnt Data'!AJ401</f>
        <v>0</v>
      </c>
      <c r="AY398" s="31">
        <f>'mnt Data'!AK401</f>
        <v>0</v>
      </c>
    </row>
    <row r="399" spans="1:51" x14ac:dyDescent="0.25">
      <c r="A399">
        <v>398</v>
      </c>
      <c r="B399" s="32">
        <f t="shared" si="72"/>
        <v>0</v>
      </c>
      <c r="C399" s="32">
        <f t="shared" si="73"/>
        <v>0</v>
      </c>
      <c r="D399" s="32" t="str">
        <f t="shared" si="77"/>
        <v>No Gs</v>
      </c>
      <c r="E399" s="32">
        <f t="shared" si="81"/>
        <v>0</v>
      </c>
      <c r="F399" s="32" t="str">
        <f t="shared" si="82"/>
        <v>No Gs</v>
      </c>
      <c r="G399" s="32" t="str">
        <f t="shared" si="83"/>
        <v>No Gs</v>
      </c>
      <c r="H399" s="32" t="str">
        <f t="shared" si="74"/>
        <v>Gs is needed</v>
      </c>
      <c r="I399" s="32" t="str">
        <f t="shared" si="75"/>
        <v>Gs is needed</v>
      </c>
      <c r="J399" s="32" t="str">
        <f t="shared" si="76"/>
        <v>Gs is needed</v>
      </c>
      <c r="K399" s="32" t="str">
        <f t="shared" si="78"/>
        <v>Need Max and Min</v>
      </c>
      <c r="L399" s="32" t="str">
        <f t="shared" si="79"/>
        <v>Need Max and Min</v>
      </c>
      <c r="M399" s="32" t="str">
        <f t="shared" si="80"/>
        <v>Fail</v>
      </c>
      <c r="N399" s="32"/>
      <c r="O399" s="31">
        <f>'mnt Data'!A402</f>
        <v>0</v>
      </c>
      <c r="P399" s="31">
        <f>'mnt Data'!B402</f>
        <v>0</v>
      </c>
      <c r="Q399" s="31">
        <f>'mnt Data'!C402</f>
        <v>0</v>
      </c>
      <c r="R399" s="31">
        <f>'mnt Data'!D402</f>
        <v>0</v>
      </c>
      <c r="S399" s="31">
        <f>'mnt Data'!E402</f>
        <v>0</v>
      </c>
      <c r="T399" s="31">
        <f>'mnt Data'!F402</f>
        <v>0</v>
      </c>
      <c r="U399" s="31">
        <f>'mnt Data'!G402</f>
        <v>0</v>
      </c>
      <c r="V399" s="31">
        <f>'mnt Data'!H402</f>
        <v>0</v>
      </c>
      <c r="W399" s="31">
        <f>'mnt Data'!I402</f>
        <v>0</v>
      </c>
      <c r="X399" s="31">
        <f>'mnt Data'!J402</f>
        <v>0</v>
      </c>
      <c r="Y399" s="31">
        <f>'mnt Data'!K402</f>
        <v>0</v>
      </c>
      <c r="Z399" s="31">
        <f>'mnt Data'!L402</f>
        <v>0</v>
      </c>
      <c r="AA399" s="31">
        <f>'mnt Data'!M402</f>
        <v>0</v>
      </c>
      <c r="AB399" s="31">
        <f>'mnt Data'!N402</f>
        <v>0</v>
      </c>
      <c r="AC399" s="31">
        <f>'mnt Data'!O402</f>
        <v>0</v>
      </c>
      <c r="AD399" s="31">
        <f>'mnt Data'!P402</f>
        <v>0</v>
      </c>
      <c r="AE399" s="31">
        <f>'mnt Data'!Q402</f>
        <v>0</v>
      </c>
      <c r="AF399" s="31">
        <f>'mnt Data'!R402</f>
        <v>0</v>
      </c>
      <c r="AG399" s="31">
        <f>'mnt Data'!S402</f>
        <v>0</v>
      </c>
      <c r="AH399" s="31">
        <f>'mnt Data'!T402</f>
        <v>0</v>
      </c>
      <c r="AI399" s="31">
        <f>'mnt Data'!U402</f>
        <v>0</v>
      </c>
      <c r="AJ399" s="31">
        <f>'mnt Data'!V402</f>
        <v>0</v>
      </c>
      <c r="AK399" s="31">
        <f>'mnt Data'!W402</f>
        <v>0</v>
      </c>
      <c r="AL399" s="31">
        <f>'mnt Data'!X402</f>
        <v>0</v>
      </c>
      <c r="AM399" s="31">
        <f>'mnt Data'!Y402</f>
        <v>0</v>
      </c>
      <c r="AN399" s="31">
        <f>'mnt Data'!Z402</f>
        <v>0</v>
      </c>
      <c r="AO399" s="31">
        <f>'mnt Data'!AA402</f>
        <v>0</v>
      </c>
      <c r="AP399" s="31">
        <f>'mnt Data'!AB402</f>
        <v>0</v>
      </c>
      <c r="AQ399" s="31">
        <f>'mnt Data'!AC402</f>
        <v>0</v>
      </c>
      <c r="AR399" s="31">
        <f>'mnt Data'!AD402</f>
        <v>0</v>
      </c>
      <c r="AS399" s="31">
        <f>'mnt Data'!AE402</f>
        <v>0</v>
      </c>
      <c r="AT399" s="31">
        <f>'mnt Data'!AF402</f>
        <v>0</v>
      </c>
      <c r="AU399" s="31">
        <f>'mnt Data'!AG402</f>
        <v>0</v>
      </c>
      <c r="AV399" s="31">
        <f>'mnt Data'!AH402</f>
        <v>0</v>
      </c>
      <c r="AW399" s="31">
        <f>'mnt Data'!AI402</f>
        <v>0</v>
      </c>
      <c r="AX399" s="31">
        <f>'mnt Data'!AJ402</f>
        <v>0</v>
      </c>
      <c r="AY399" s="31">
        <f>'mnt Data'!AK402</f>
        <v>0</v>
      </c>
    </row>
    <row r="400" spans="1:51" x14ac:dyDescent="0.25">
      <c r="A400">
        <v>399</v>
      </c>
      <c r="B400" s="32">
        <f t="shared" si="72"/>
        <v>0</v>
      </c>
      <c r="C400" s="32">
        <f t="shared" si="73"/>
        <v>0</v>
      </c>
      <c r="D400" s="32" t="str">
        <f t="shared" si="77"/>
        <v>No Gs</v>
      </c>
      <c r="E400" s="32">
        <f t="shared" si="81"/>
        <v>0</v>
      </c>
      <c r="F400" s="32" t="str">
        <f t="shared" si="82"/>
        <v>No Gs</v>
      </c>
      <c r="G400" s="32" t="str">
        <f t="shared" si="83"/>
        <v>No Gs</v>
      </c>
      <c r="H400" s="32" t="str">
        <f t="shared" si="74"/>
        <v>Gs is needed</v>
      </c>
      <c r="I400" s="32" t="str">
        <f t="shared" si="75"/>
        <v>Gs is needed</v>
      </c>
      <c r="J400" s="32" t="str">
        <f t="shared" si="76"/>
        <v>Gs is needed</v>
      </c>
      <c r="K400" s="32" t="str">
        <f t="shared" si="78"/>
        <v>Need Max and Min</v>
      </c>
      <c r="L400" s="32" t="str">
        <f t="shared" si="79"/>
        <v>Need Max and Min</v>
      </c>
      <c r="M400" s="32" t="str">
        <f t="shared" si="80"/>
        <v>Fail</v>
      </c>
      <c r="N400" s="32"/>
      <c r="O400" s="31">
        <f>'mnt Data'!A403</f>
        <v>0</v>
      </c>
      <c r="P400" s="31">
        <f>'mnt Data'!B403</f>
        <v>0</v>
      </c>
      <c r="Q400" s="31">
        <f>'mnt Data'!C403</f>
        <v>0</v>
      </c>
      <c r="R400" s="31">
        <f>'mnt Data'!D403</f>
        <v>0</v>
      </c>
      <c r="S400" s="31">
        <f>'mnt Data'!E403</f>
        <v>0</v>
      </c>
      <c r="T400" s="31">
        <f>'mnt Data'!F403</f>
        <v>0</v>
      </c>
      <c r="U400" s="31">
        <f>'mnt Data'!G403</f>
        <v>0</v>
      </c>
      <c r="V400" s="31">
        <f>'mnt Data'!H403</f>
        <v>0</v>
      </c>
      <c r="W400" s="31">
        <f>'mnt Data'!I403</f>
        <v>0</v>
      </c>
      <c r="X400" s="31">
        <f>'mnt Data'!J403</f>
        <v>0</v>
      </c>
      <c r="Y400" s="31">
        <f>'mnt Data'!K403</f>
        <v>0</v>
      </c>
      <c r="Z400" s="31">
        <f>'mnt Data'!L403</f>
        <v>0</v>
      </c>
      <c r="AA400" s="31">
        <f>'mnt Data'!M403</f>
        <v>0</v>
      </c>
      <c r="AB400" s="31">
        <f>'mnt Data'!N403</f>
        <v>0</v>
      </c>
      <c r="AC400" s="31">
        <f>'mnt Data'!O403</f>
        <v>0</v>
      </c>
      <c r="AD400" s="31">
        <f>'mnt Data'!P403</f>
        <v>0</v>
      </c>
      <c r="AE400" s="31">
        <f>'mnt Data'!Q403</f>
        <v>0</v>
      </c>
      <c r="AF400" s="31">
        <f>'mnt Data'!R403</f>
        <v>0</v>
      </c>
      <c r="AG400" s="31">
        <f>'mnt Data'!S403</f>
        <v>0</v>
      </c>
      <c r="AH400" s="31">
        <f>'mnt Data'!T403</f>
        <v>0</v>
      </c>
      <c r="AI400" s="31">
        <f>'mnt Data'!U403</f>
        <v>0</v>
      </c>
      <c r="AJ400" s="31">
        <f>'mnt Data'!V403</f>
        <v>0</v>
      </c>
      <c r="AK400" s="31">
        <f>'mnt Data'!W403</f>
        <v>0</v>
      </c>
      <c r="AL400" s="31">
        <f>'mnt Data'!X403</f>
        <v>0</v>
      </c>
      <c r="AM400" s="31">
        <f>'mnt Data'!Y403</f>
        <v>0</v>
      </c>
      <c r="AN400" s="31">
        <f>'mnt Data'!Z403</f>
        <v>0</v>
      </c>
      <c r="AO400" s="31">
        <f>'mnt Data'!AA403</f>
        <v>0</v>
      </c>
      <c r="AP400" s="31">
        <f>'mnt Data'!AB403</f>
        <v>0</v>
      </c>
      <c r="AQ400" s="31">
        <f>'mnt Data'!AC403</f>
        <v>0</v>
      </c>
      <c r="AR400" s="31">
        <f>'mnt Data'!AD403</f>
        <v>0</v>
      </c>
      <c r="AS400" s="31">
        <f>'mnt Data'!AE403</f>
        <v>0</v>
      </c>
      <c r="AT400" s="31">
        <f>'mnt Data'!AF403</f>
        <v>0</v>
      </c>
      <c r="AU400" s="31">
        <f>'mnt Data'!AG403</f>
        <v>0</v>
      </c>
      <c r="AV400" s="31">
        <f>'mnt Data'!AH403</f>
        <v>0</v>
      </c>
      <c r="AW400" s="31">
        <f>'mnt Data'!AI403</f>
        <v>0</v>
      </c>
      <c r="AX400" s="31">
        <f>'mnt Data'!AJ403</f>
        <v>0</v>
      </c>
      <c r="AY400" s="31">
        <f>'mnt Data'!AK403</f>
        <v>0</v>
      </c>
    </row>
    <row r="401" spans="1:51" x14ac:dyDescent="0.25">
      <c r="A401">
        <v>400</v>
      </c>
      <c r="B401" s="32">
        <f t="shared" si="72"/>
        <v>0</v>
      </c>
      <c r="C401" s="32">
        <f t="shared" si="73"/>
        <v>0</v>
      </c>
      <c r="D401" s="32" t="str">
        <f t="shared" si="77"/>
        <v>No Gs</v>
      </c>
      <c r="E401" s="32">
        <f t="shared" si="81"/>
        <v>0</v>
      </c>
      <c r="F401" s="32" t="str">
        <f t="shared" si="82"/>
        <v>No Gs</v>
      </c>
      <c r="G401" s="32" t="str">
        <f t="shared" si="83"/>
        <v>No Gs</v>
      </c>
      <c r="H401" s="32" t="str">
        <f t="shared" si="74"/>
        <v>Gs is needed</v>
      </c>
      <c r="I401" s="32" t="str">
        <f t="shared" si="75"/>
        <v>Gs is needed</v>
      </c>
      <c r="J401" s="32" t="str">
        <f t="shared" si="76"/>
        <v>Gs is needed</v>
      </c>
      <c r="K401" s="32" t="str">
        <f t="shared" si="78"/>
        <v>Need Max and Min</v>
      </c>
      <c r="L401" s="32" t="str">
        <f t="shared" si="79"/>
        <v>Need Max and Min</v>
      </c>
      <c r="M401" s="32" t="str">
        <f t="shared" si="80"/>
        <v>Fail</v>
      </c>
      <c r="N401" s="32"/>
      <c r="O401" s="31">
        <f>'mnt Data'!A404</f>
        <v>0</v>
      </c>
      <c r="P401" s="31">
        <f>'mnt Data'!B404</f>
        <v>0</v>
      </c>
      <c r="Q401" s="31">
        <f>'mnt Data'!C404</f>
        <v>0</v>
      </c>
      <c r="R401" s="31">
        <f>'mnt Data'!D404</f>
        <v>0</v>
      </c>
      <c r="S401" s="31">
        <f>'mnt Data'!E404</f>
        <v>0</v>
      </c>
      <c r="T401" s="31">
        <f>'mnt Data'!F404</f>
        <v>0</v>
      </c>
      <c r="U401" s="31">
        <f>'mnt Data'!G404</f>
        <v>0</v>
      </c>
      <c r="V401" s="31">
        <f>'mnt Data'!H404</f>
        <v>0</v>
      </c>
      <c r="W401" s="31">
        <f>'mnt Data'!I404</f>
        <v>0</v>
      </c>
      <c r="X401" s="31">
        <f>'mnt Data'!J404</f>
        <v>0</v>
      </c>
      <c r="Y401" s="31">
        <f>'mnt Data'!K404</f>
        <v>0</v>
      </c>
      <c r="Z401" s="31">
        <f>'mnt Data'!L404</f>
        <v>0</v>
      </c>
      <c r="AA401" s="31">
        <f>'mnt Data'!M404</f>
        <v>0</v>
      </c>
      <c r="AB401" s="31">
        <f>'mnt Data'!N404</f>
        <v>0</v>
      </c>
      <c r="AC401" s="31">
        <f>'mnt Data'!O404</f>
        <v>0</v>
      </c>
      <c r="AD401" s="31">
        <f>'mnt Data'!P404</f>
        <v>0</v>
      </c>
      <c r="AE401" s="31">
        <f>'mnt Data'!Q404</f>
        <v>0</v>
      </c>
      <c r="AF401" s="31">
        <f>'mnt Data'!R404</f>
        <v>0</v>
      </c>
      <c r="AG401" s="31">
        <f>'mnt Data'!S404</f>
        <v>0</v>
      </c>
      <c r="AH401" s="31">
        <f>'mnt Data'!T404</f>
        <v>0</v>
      </c>
      <c r="AI401" s="31">
        <f>'mnt Data'!U404</f>
        <v>0</v>
      </c>
      <c r="AJ401" s="31">
        <f>'mnt Data'!V404</f>
        <v>0</v>
      </c>
      <c r="AK401" s="31">
        <f>'mnt Data'!W404</f>
        <v>0</v>
      </c>
      <c r="AL401" s="31">
        <f>'mnt Data'!X404</f>
        <v>0</v>
      </c>
      <c r="AM401" s="31">
        <f>'mnt Data'!Y404</f>
        <v>0</v>
      </c>
      <c r="AN401" s="31">
        <f>'mnt Data'!Z404</f>
        <v>0</v>
      </c>
      <c r="AO401" s="31">
        <f>'mnt Data'!AA404</f>
        <v>0</v>
      </c>
      <c r="AP401" s="31">
        <f>'mnt Data'!AB404</f>
        <v>0</v>
      </c>
      <c r="AQ401" s="31">
        <f>'mnt Data'!AC404</f>
        <v>0</v>
      </c>
      <c r="AR401" s="31">
        <f>'mnt Data'!AD404</f>
        <v>0</v>
      </c>
      <c r="AS401" s="31">
        <f>'mnt Data'!AE404</f>
        <v>0</v>
      </c>
      <c r="AT401" s="31">
        <f>'mnt Data'!AF404</f>
        <v>0</v>
      </c>
      <c r="AU401" s="31">
        <f>'mnt Data'!AG404</f>
        <v>0</v>
      </c>
      <c r="AV401" s="31">
        <f>'mnt Data'!AH404</f>
        <v>0</v>
      </c>
      <c r="AW401" s="31">
        <f>'mnt Data'!AI404</f>
        <v>0</v>
      </c>
      <c r="AX401" s="31">
        <f>'mnt Data'!AJ404</f>
        <v>0</v>
      </c>
      <c r="AY401" s="31">
        <f>'mnt Data'!AK404</f>
        <v>0</v>
      </c>
    </row>
    <row r="402" spans="1:51" x14ac:dyDescent="0.25">
      <c r="A402">
        <v>401</v>
      </c>
      <c r="B402" s="32">
        <f t="shared" si="72"/>
        <v>0</v>
      </c>
      <c r="C402" s="32">
        <f t="shared" si="73"/>
        <v>0</v>
      </c>
      <c r="D402" s="32" t="str">
        <f t="shared" si="77"/>
        <v>No Gs</v>
      </c>
      <c r="E402" s="32">
        <f t="shared" si="81"/>
        <v>0</v>
      </c>
      <c r="F402" s="32" t="str">
        <f t="shared" si="82"/>
        <v>No Gs</v>
      </c>
      <c r="G402" s="32" t="str">
        <f t="shared" si="83"/>
        <v>No Gs</v>
      </c>
      <c r="H402" s="32" t="str">
        <f t="shared" si="74"/>
        <v>Gs is needed</v>
      </c>
      <c r="I402" s="32" t="str">
        <f t="shared" si="75"/>
        <v>Gs is needed</v>
      </c>
      <c r="J402" s="32" t="str">
        <f t="shared" si="76"/>
        <v>Gs is needed</v>
      </c>
      <c r="K402" s="32" t="str">
        <f t="shared" si="78"/>
        <v>Need Max and Min</v>
      </c>
      <c r="L402" s="32" t="str">
        <f t="shared" si="79"/>
        <v>Need Max and Min</v>
      </c>
      <c r="M402" s="32" t="str">
        <f t="shared" si="80"/>
        <v>Fail</v>
      </c>
      <c r="N402" s="32"/>
      <c r="O402" s="31">
        <f>'mnt Data'!A405</f>
        <v>0</v>
      </c>
      <c r="P402" s="31">
        <f>'mnt Data'!B405</f>
        <v>0</v>
      </c>
      <c r="Q402" s="31">
        <f>'mnt Data'!C405</f>
        <v>0</v>
      </c>
      <c r="R402" s="31">
        <f>'mnt Data'!D405</f>
        <v>0</v>
      </c>
      <c r="S402" s="31">
        <f>'mnt Data'!E405</f>
        <v>0</v>
      </c>
      <c r="T402" s="31">
        <f>'mnt Data'!F405</f>
        <v>0</v>
      </c>
      <c r="U402" s="31">
        <f>'mnt Data'!G405</f>
        <v>0</v>
      </c>
      <c r="V402" s="31">
        <f>'mnt Data'!H405</f>
        <v>0</v>
      </c>
      <c r="W402" s="31">
        <f>'mnt Data'!I405</f>
        <v>0</v>
      </c>
      <c r="X402" s="31">
        <f>'mnt Data'!J405</f>
        <v>0</v>
      </c>
      <c r="Y402" s="31">
        <f>'mnt Data'!K405</f>
        <v>0</v>
      </c>
      <c r="Z402" s="31">
        <f>'mnt Data'!L405</f>
        <v>0</v>
      </c>
      <c r="AA402" s="31">
        <f>'mnt Data'!M405</f>
        <v>0</v>
      </c>
      <c r="AB402" s="31">
        <f>'mnt Data'!N405</f>
        <v>0</v>
      </c>
      <c r="AC402" s="31">
        <f>'mnt Data'!O405</f>
        <v>0</v>
      </c>
      <c r="AD402" s="31">
        <f>'mnt Data'!P405</f>
        <v>0</v>
      </c>
      <c r="AE402" s="31">
        <f>'mnt Data'!Q405</f>
        <v>0</v>
      </c>
      <c r="AF402" s="31">
        <f>'mnt Data'!R405</f>
        <v>0</v>
      </c>
      <c r="AG402" s="31">
        <f>'mnt Data'!S405</f>
        <v>0</v>
      </c>
      <c r="AH402" s="31">
        <f>'mnt Data'!T405</f>
        <v>0</v>
      </c>
      <c r="AI402" s="31">
        <f>'mnt Data'!U405</f>
        <v>0</v>
      </c>
      <c r="AJ402" s="31">
        <f>'mnt Data'!V405</f>
        <v>0</v>
      </c>
      <c r="AK402" s="31">
        <f>'mnt Data'!W405</f>
        <v>0</v>
      </c>
      <c r="AL402" s="31">
        <f>'mnt Data'!X405</f>
        <v>0</v>
      </c>
      <c r="AM402" s="31">
        <f>'mnt Data'!Y405</f>
        <v>0</v>
      </c>
      <c r="AN402" s="31">
        <f>'mnt Data'!Z405</f>
        <v>0</v>
      </c>
      <c r="AO402" s="31">
        <f>'mnt Data'!AA405</f>
        <v>0</v>
      </c>
      <c r="AP402" s="31">
        <f>'mnt Data'!AB405</f>
        <v>0</v>
      </c>
      <c r="AQ402" s="31">
        <f>'mnt Data'!AC405</f>
        <v>0</v>
      </c>
      <c r="AR402" s="31">
        <f>'mnt Data'!AD405</f>
        <v>0</v>
      </c>
      <c r="AS402" s="31">
        <f>'mnt Data'!AE405</f>
        <v>0</v>
      </c>
      <c r="AT402" s="31">
        <f>'mnt Data'!AF405</f>
        <v>0</v>
      </c>
      <c r="AU402" s="31">
        <f>'mnt Data'!AG405</f>
        <v>0</v>
      </c>
      <c r="AV402" s="31">
        <f>'mnt Data'!AH405</f>
        <v>0</v>
      </c>
      <c r="AW402" s="31">
        <f>'mnt Data'!AI405</f>
        <v>0</v>
      </c>
      <c r="AX402" s="31">
        <f>'mnt Data'!AJ405</f>
        <v>0</v>
      </c>
      <c r="AY402" s="31">
        <f>'mnt Data'!AK405</f>
        <v>0</v>
      </c>
    </row>
    <row r="403" spans="1:51" x14ac:dyDescent="0.25">
      <c r="A403">
        <v>402</v>
      </c>
      <c r="B403" s="32">
        <f t="shared" si="72"/>
        <v>0</v>
      </c>
      <c r="C403" s="32">
        <f t="shared" si="73"/>
        <v>0</v>
      </c>
      <c r="D403" s="32" t="str">
        <f t="shared" si="77"/>
        <v>No Gs</v>
      </c>
      <c r="E403" s="32">
        <f t="shared" si="81"/>
        <v>0</v>
      </c>
      <c r="F403" s="32" t="str">
        <f t="shared" si="82"/>
        <v>No Gs</v>
      </c>
      <c r="G403" s="32" t="str">
        <f t="shared" si="83"/>
        <v>No Gs</v>
      </c>
      <c r="H403" s="32" t="str">
        <f t="shared" si="74"/>
        <v>Gs is needed</v>
      </c>
      <c r="I403" s="32" t="str">
        <f t="shared" si="75"/>
        <v>Gs is needed</v>
      </c>
      <c r="J403" s="32" t="str">
        <f t="shared" si="76"/>
        <v>Gs is needed</v>
      </c>
      <c r="K403" s="32" t="str">
        <f t="shared" si="78"/>
        <v>Need Max and Min</v>
      </c>
      <c r="L403" s="32" t="str">
        <f t="shared" si="79"/>
        <v>Need Max and Min</v>
      </c>
      <c r="M403" s="32" t="str">
        <f t="shared" si="80"/>
        <v>Fail</v>
      </c>
      <c r="N403" s="32"/>
      <c r="O403" s="31">
        <f>'mnt Data'!A406</f>
        <v>0</v>
      </c>
      <c r="P403" s="31">
        <f>'mnt Data'!B406</f>
        <v>0</v>
      </c>
      <c r="Q403" s="31">
        <f>'mnt Data'!C406</f>
        <v>0</v>
      </c>
      <c r="R403" s="31">
        <f>'mnt Data'!D406</f>
        <v>0</v>
      </c>
      <c r="S403" s="31">
        <f>'mnt Data'!E406</f>
        <v>0</v>
      </c>
      <c r="T403" s="31">
        <f>'mnt Data'!F406</f>
        <v>0</v>
      </c>
      <c r="U403" s="31">
        <f>'mnt Data'!G406</f>
        <v>0</v>
      </c>
      <c r="V403" s="31">
        <f>'mnt Data'!H406</f>
        <v>0</v>
      </c>
      <c r="W403" s="31">
        <f>'mnt Data'!I406</f>
        <v>0</v>
      </c>
      <c r="X403" s="31">
        <f>'mnt Data'!J406</f>
        <v>0</v>
      </c>
      <c r="Y403" s="31">
        <f>'mnt Data'!K406</f>
        <v>0</v>
      </c>
      <c r="Z403" s="31">
        <f>'mnt Data'!L406</f>
        <v>0</v>
      </c>
      <c r="AA403" s="31">
        <f>'mnt Data'!M406</f>
        <v>0</v>
      </c>
      <c r="AB403" s="31">
        <f>'mnt Data'!N406</f>
        <v>0</v>
      </c>
      <c r="AC403" s="31">
        <f>'mnt Data'!O406</f>
        <v>0</v>
      </c>
      <c r="AD403" s="31">
        <f>'mnt Data'!P406</f>
        <v>0</v>
      </c>
      <c r="AE403" s="31">
        <f>'mnt Data'!Q406</f>
        <v>0</v>
      </c>
      <c r="AF403" s="31">
        <f>'mnt Data'!R406</f>
        <v>0</v>
      </c>
      <c r="AG403" s="31">
        <f>'mnt Data'!S406</f>
        <v>0</v>
      </c>
      <c r="AH403" s="31">
        <f>'mnt Data'!T406</f>
        <v>0</v>
      </c>
      <c r="AI403" s="31">
        <f>'mnt Data'!U406</f>
        <v>0</v>
      </c>
      <c r="AJ403" s="31">
        <f>'mnt Data'!V406</f>
        <v>0</v>
      </c>
      <c r="AK403" s="31">
        <f>'mnt Data'!W406</f>
        <v>0</v>
      </c>
      <c r="AL403" s="31">
        <f>'mnt Data'!X406</f>
        <v>0</v>
      </c>
      <c r="AM403" s="31">
        <f>'mnt Data'!Y406</f>
        <v>0</v>
      </c>
      <c r="AN403" s="31">
        <f>'mnt Data'!Z406</f>
        <v>0</v>
      </c>
      <c r="AO403" s="31">
        <f>'mnt Data'!AA406</f>
        <v>0</v>
      </c>
      <c r="AP403" s="31">
        <f>'mnt Data'!AB406</f>
        <v>0</v>
      </c>
      <c r="AQ403" s="31">
        <f>'mnt Data'!AC406</f>
        <v>0</v>
      </c>
      <c r="AR403" s="31">
        <f>'mnt Data'!AD406</f>
        <v>0</v>
      </c>
      <c r="AS403" s="31">
        <f>'mnt Data'!AE406</f>
        <v>0</v>
      </c>
      <c r="AT403" s="31">
        <f>'mnt Data'!AF406</f>
        <v>0</v>
      </c>
      <c r="AU403" s="31">
        <f>'mnt Data'!AG406</f>
        <v>0</v>
      </c>
      <c r="AV403" s="31">
        <f>'mnt Data'!AH406</f>
        <v>0</v>
      </c>
      <c r="AW403" s="31">
        <f>'mnt Data'!AI406</f>
        <v>0</v>
      </c>
      <c r="AX403" s="31">
        <f>'mnt Data'!AJ406</f>
        <v>0</v>
      </c>
      <c r="AY403" s="31">
        <f>'mnt Data'!AK406</f>
        <v>0</v>
      </c>
    </row>
    <row r="404" spans="1:51" x14ac:dyDescent="0.25">
      <c r="A404">
        <v>403</v>
      </c>
      <c r="B404" s="32">
        <f t="shared" si="72"/>
        <v>0</v>
      </c>
      <c r="C404" s="32">
        <f t="shared" si="73"/>
        <v>0</v>
      </c>
      <c r="D404" s="32" t="str">
        <f t="shared" si="77"/>
        <v>No Gs</v>
      </c>
      <c r="E404" s="32">
        <f t="shared" si="81"/>
        <v>0</v>
      </c>
      <c r="F404" s="32" t="str">
        <f t="shared" si="82"/>
        <v>No Gs</v>
      </c>
      <c r="G404" s="32" t="str">
        <f t="shared" si="83"/>
        <v>No Gs</v>
      </c>
      <c r="H404" s="32" t="str">
        <f t="shared" si="74"/>
        <v>Gs is needed</v>
      </c>
      <c r="I404" s="32" t="str">
        <f t="shared" si="75"/>
        <v>Gs is needed</v>
      </c>
      <c r="J404" s="32" t="str">
        <f t="shared" si="76"/>
        <v>Gs is needed</v>
      </c>
      <c r="K404" s="32" t="str">
        <f t="shared" si="78"/>
        <v>Need Max and Min</v>
      </c>
      <c r="L404" s="32" t="str">
        <f t="shared" si="79"/>
        <v>Need Max and Min</v>
      </c>
      <c r="M404" s="32" t="str">
        <f t="shared" si="80"/>
        <v>Fail</v>
      </c>
      <c r="N404" s="32"/>
      <c r="O404" s="31">
        <f>'mnt Data'!A407</f>
        <v>0</v>
      </c>
      <c r="P404" s="31">
        <f>'mnt Data'!B407</f>
        <v>0</v>
      </c>
      <c r="Q404" s="31">
        <f>'mnt Data'!C407</f>
        <v>0</v>
      </c>
      <c r="R404" s="31">
        <f>'mnt Data'!D407</f>
        <v>0</v>
      </c>
      <c r="S404" s="31">
        <f>'mnt Data'!E407</f>
        <v>0</v>
      </c>
      <c r="T404" s="31">
        <f>'mnt Data'!F407</f>
        <v>0</v>
      </c>
      <c r="U404" s="31">
        <f>'mnt Data'!G407</f>
        <v>0</v>
      </c>
      <c r="V404" s="31">
        <f>'mnt Data'!H407</f>
        <v>0</v>
      </c>
      <c r="W404" s="31">
        <f>'mnt Data'!I407</f>
        <v>0</v>
      </c>
      <c r="X404" s="31">
        <f>'mnt Data'!J407</f>
        <v>0</v>
      </c>
      <c r="Y404" s="31">
        <f>'mnt Data'!K407</f>
        <v>0</v>
      </c>
      <c r="Z404" s="31">
        <f>'mnt Data'!L407</f>
        <v>0</v>
      </c>
      <c r="AA404" s="31">
        <f>'mnt Data'!M407</f>
        <v>0</v>
      </c>
      <c r="AB404" s="31">
        <f>'mnt Data'!N407</f>
        <v>0</v>
      </c>
      <c r="AC404" s="31">
        <f>'mnt Data'!O407</f>
        <v>0</v>
      </c>
      <c r="AD404" s="31">
        <f>'mnt Data'!P407</f>
        <v>0</v>
      </c>
      <c r="AE404" s="31">
        <f>'mnt Data'!Q407</f>
        <v>0</v>
      </c>
      <c r="AF404" s="31">
        <f>'mnt Data'!R407</f>
        <v>0</v>
      </c>
      <c r="AG404" s="31">
        <f>'mnt Data'!S407</f>
        <v>0</v>
      </c>
      <c r="AH404" s="31">
        <f>'mnt Data'!T407</f>
        <v>0</v>
      </c>
      <c r="AI404" s="31">
        <f>'mnt Data'!U407</f>
        <v>0</v>
      </c>
      <c r="AJ404" s="31">
        <f>'mnt Data'!V407</f>
        <v>0</v>
      </c>
      <c r="AK404" s="31">
        <f>'mnt Data'!W407</f>
        <v>0</v>
      </c>
      <c r="AL404" s="31">
        <f>'mnt Data'!X407</f>
        <v>0</v>
      </c>
      <c r="AM404" s="31">
        <f>'mnt Data'!Y407</f>
        <v>0</v>
      </c>
      <c r="AN404" s="31">
        <f>'mnt Data'!Z407</f>
        <v>0</v>
      </c>
      <c r="AO404" s="31">
        <f>'mnt Data'!AA407</f>
        <v>0</v>
      </c>
      <c r="AP404" s="31">
        <f>'mnt Data'!AB407</f>
        <v>0</v>
      </c>
      <c r="AQ404" s="31">
        <f>'mnt Data'!AC407</f>
        <v>0</v>
      </c>
      <c r="AR404" s="31">
        <f>'mnt Data'!AD407</f>
        <v>0</v>
      </c>
      <c r="AS404" s="31">
        <f>'mnt Data'!AE407</f>
        <v>0</v>
      </c>
      <c r="AT404" s="31">
        <f>'mnt Data'!AF407</f>
        <v>0</v>
      </c>
      <c r="AU404" s="31">
        <f>'mnt Data'!AG407</f>
        <v>0</v>
      </c>
      <c r="AV404" s="31">
        <f>'mnt Data'!AH407</f>
        <v>0</v>
      </c>
      <c r="AW404" s="31">
        <f>'mnt Data'!AI407</f>
        <v>0</v>
      </c>
      <c r="AX404" s="31">
        <f>'mnt Data'!AJ407</f>
        <v>0</v>
      </c>
      <c r="AY404" s="31">
        <f>'mnt Data'!AK407</f>
        <v>0</v>
      </c>
    </row>
    <row r="405" spans="1:51" x14ac:dyDescent="0.25">
      <c r="A405">
        <v>404</v>
      </c>
      <c r="B405" s="32">
        <f t="shared" si="72"/>
        <v>0</v>
      </c>
      <c r="C405" s="32">
        <f t="shared" si="73"/>
        <v>0</v>
      </c>
      <c r="D405" s="32" t="str">
        <f t="shared" si="77"/>
        <v>No Gs</v>
      </c>
      <c r="E405" s="32">
        <f t="shared" si="81"/>
        <v>0</v>
      </c>
      <c r="F405" s="32" t="str">
        <f t="shared" si="82"/>
        <v>No Gs</v>
      </c>
      <c r="G405" s="32" t="str">
        <f t="shared" si="83"/>
        <v>No Gs</v>
      </c>
      <c r="H405" s="32" t="str">
        <f t="shared" si="74"/>
        <v>Gs is needed</v>
      </c>
      <c r="I405" s="32" t="str">
        <f t="shared" si="75"/>
        <v>Gs is needed</v>
      </c>
      <c r="J405" s="32" t="str">
        <f t="shared" si="76"/>
        <v>Gs is needed</v>
      </c>
      <c r="K405" s="32" t="str">
        <f t="shared" si="78"/>
        <v>Need Max and Min</v>
      </c>
      <c r="L405" s="32" t="str">
        <f t="shared" si="79"/>
        <v>Need Max and Min</v>
      </c>
      <c r="M405" s="32" t="str">
        <f t="shared" si="80"/>
        <v>Fail</v>
      </c>
      <c r="N405" s="32"/>
      <c r="O405" s="31">
        <f>'mnt Data'!A408</f>
        <v>0</v>
      </c>
      <c r="P405" s="31">
        <f>'mnt Data'!B408</f>
        <v>0</v>
      </c>
      <c r="Q405" s="31">
        <f>'mnt Data'!C408</f>
        <v>0</v>
      </c>
      <c r="R405" s="31">
        <f>'mnt Data'!D408</f>
        <v>0</v>
      </c>
      <c r="S405" s="31">
        <f>'mnt Data'!E408</f>
        <v>0</v>
      </c>
      <c r="T405" s="31">
        <f>'mnt Data'!F408</f>
        <v>0</v>
      </c>
      <c r="U405" s="31">
        <f>'mnt Data'!G408</f>
        <v>0</v>
      </c>
      <c r="V405" s="31">
        <f>'mnt Data'!H408</f>
        <v>0</v>
      </c>
      <c r="W405" s="31">
        <f>'mnt Data'!I408</f>
        <v>0</v>
      </c>
      <c r="X405" s="31">
        <f>'mnt Data'!J408</f>
        <v>0</v>
      </c>
      <c r="Y405" s="31">
        <f>'mnt Data'!K408</f>
        <v>0</v>
      </c>
      <c r="Z405" s="31">
        <f>'mnt Data'!L408</f>
        <v>0</v>
      </c>
      <c r="AA405" s="31">
        <f>'mnt Data'!M408</f>
        <v>0</v>
      </c>
      <c r="AB405" s="31">
        <f>'mnt Data'!N408</f>
        <v>0</v>
      </c>
      <c r="AC405" s="31">
        <f>'mnt Data'!O408</f>
        <v>0</v>
      </c>
      <c r="AD405" s="31">
        <f>'mnt Data'!P408</f>
        <v>0</v>
      </c>
      <c r="AE405" s="31">
        <f>'mnt Data'!Q408</f>
        <v>0</v>
      </c>
      <c r="AF405" s="31">
        <f>'mnt Data'!R408</f>
        <v>0</v>
      </c>
      <c r="AG405" s="31">
        <f>'mnt Data'!S408</f>
        <v>0</v>
      </c>
      <c r="AH405" s="31">
        <f>'mnt Data'!T408</f>
        <v>0</v>
      </c>
      <c r="AI405" s="31">
        <f>'mnt Data'!U408</f>
        <v>0</v>
      </c>
      <c r="AJ405" s="31">
        <f>'mnt Data'!V408</f>
        <v>0</v>
      </c>
      <c r="AK405" s="31">
        <f>'mnt Data'!W408</f>
        <v>0</v>
      </c>
      <c r="AL405" s="31">
        <f>'mnt Data'!X408</f>
        <v>0</v>
      </c>
      <c r="AM405" s="31">
        <f>'mnt Data'!Y408</f>
        <v>0</v>
      </c>
      <c r="AN405" s="31">
        <f>'mnt Data'!Z408</f>
        <v>0</v>
      </c>
      <c r="AO405" s="31">
        <f>'mnt Data'!AA408</f>
        <v>0</v>
      </c>
      <c r="AP405" s="31">
        <f>'mnt Data'!AB408</f>
        <v>0</v>
      </c>
      <c r="AQ405" s="31">
        <f>'mnt Data'!AC408</f>
        <v>0</v>
      </c>
      <c r="AR405" s="31">
        <f>'mnt Data'!AD408</f>
        <v>0</v>
      </c>
      <c r="AS405" s="31">
        <f>'mnt Data'!AE408</f>
        <v>0</v>
      </c>
      <c r="AT405" s="31">
        <f>'mnt Data'!AF408</f>
        <v>0</v>
      </c>
      <c r="AU405" s="31">
        <f>'mnt Data'!AG408</f>
        <v>0</v>
      </c>
      <c r="AV405" s="31">
        <f>'mnt Data'!AH408</f>
        <v>0</v>
      </c>
      <c r="AW405" s="31">
        <f>'mnt Data'!AI408</f>
        <v>0</v>
      </c>
      <c r="AX405" s="31">
        <f>'mnt Data'!AJ408</f>
        <v>0</v>
      </c>
      <c r="AY405" s="31">
        <f>'mnt Data'!AK408</f>
        <v>0</v>
      </c>
    </row>
    <row r="406" spans="1:51" x14ac:dyDescent="0.25">
      <c r="A406">
        <v>405</v>
      </c>
      <c r="B406" s="32">
        <f t="shared" si="72"/>
        <v>0</v>
      </c>
      <c r="C406" s="32">
        <f t="shared" si="73"/>
        <v>0</v>
      </c>
      <c r="D406" s="32" t="str">
        <f t="shared" si="77"/>
        <v>No Gs</v>
      </c>
      <c r="E406" s="32">
        <f t="shared" si="81"/>
        <v>0</v>
      </c>
      <c r="F406" s="32" t="str">
        <f t="shared" si="82"/>
        <v>No Gs</v>
      </c>
      <c r="G406" s="32" t="str">
        <f t="shared" si="83"/>
        <v>No Gs</v>
      </c>
      <c r="H406" s="32" t="str">
        <f t="shared" si="74"/>
        <v>Gs is needed</v>
      </c>
      <c r="I406" s="32" t="str">
        <f t="shared" si="75"/>
        <v>Gs is needed</v>
      </c>
      <c r="J406" s="32" t="str">
        <f t="shared" si="76"/>
        <v>Gs is needed</v>
      </c>
      <c r="K406" s="32" t="str">
        <f t="shared" si="78"/>
        <v>Need Max and Min</v>
      </c>
      <c r="L406" s="32" t="str">
        <f t="shared" si="79"/>
        <v>Need Max and Min</v>
      </c>
      <c r="M406" s="32" t="str">
        <f t="shared" si="80"/>
        <v>Fail</v>
      </c>
      <c r="N406" s="32"/>
      <c r="O406" s="31">
        <f>'mnt Data'!A409</f>
        <v>0</v>
      </c>
      <c r="P406" s="31">
        <f>'mnt Data'!B409</f>
        <v>0</v>
      </c>
      <c r="Q406" s="31">
        <f>'mnt Data'!C409</f>
        <v>0</v>
      </c>
      <c r="R406" s="31">
        <f>'mnt Data'!D409</f>
        <v>0</v>
      </c>
      <c r="S406" s="31">
        <f>'mnt Data'!E409</f>
        <v>0</v>
      </c>
      <c r="T406" s="31">
        <f>'mnt Data'!F409</f>
        <v>0</v>
      </c>
      <c r="U406" s="31">
        <f>'mnt Data'!G409</f>
        <v>0</v>
      </c>
      <c r="V406" s="31">
        <f>'mnt Data'!H409</f>
        <v>0</v>
      </c>
      <c r="W406" s="31">
        <f>'mnt Data'!I409</f>
        <v>0</v>
      </c>
      <c r="X406" s="31">
        <f>'mnt Data'!J409</f>
        <v>0</v>
      </c>
      <c r="Y406" s="31">
        <f>'mnt Data'!K409</f>
        <v>0</v>
      </c>
      <c r="Z406" s="31">
        <f>'mnt Data'!L409</f>
        <v>0</v>
      </c>
      <c r="AA406" s="31">
        <f>'mnt Data'!M409</f>
        <v>0</v>
      </c>
      <c r="AB406" s="31">
        <f>'mnt Data'!N409</f>
        <v>0</v>
      </c>
      <c r="AC406" s="31">
        <f>'mnt Data'!O409</f>
        <v>0</v>
      </c>
      <c r="AD406" s="31">
        <f>'mnt Data'!P409</f>
        <v>0</v>
      </c>
      <c r="AE406" s="31">
        <f>'mnt Data'!Q409</f>
        <v>0</v>
      </c>
      <c r="AF406" s="31">
        <f>'mnt Data'!R409</f>
        <v>0</v>
      </c>
      <c r="AG406" s="31">
        <f>'mnt Data'!S409</f>
        <v>0</v>
      </c>
      <c r="AH406" s="31">
        <f>'mnt Data'!T409</f>
        <v>0</v>
      </c>
      <c r="AI406" s="31">
        <f>'mnt Data'!U409</f>
        <v>0</v>
      </c>
      <c r="AJ406" s="31">
        <f>'mnt Data'!V409</f>
        <v>0</v>
      </c>
      <c r="AK406" s="31">
        <f>'mnt Data'!W409</f>
        <v>0</v>
      </c>
      <c r="AL406" s="31">
        <f>'mnt Data'!X409</f>
        <v>0</v>
      </c>
      <c r="AM406" s="31">
        <f>'mnt Data'!Y409</f>
        <v>0</v>
      </c>
      <c r="AN406" s="31">
        <f>'mnt Data'!Z409</f>
        <v>0</v>
      </c>
      <c r="AO406" s="31">
        <f>'mnt Data'!AA409</f>
        <v>0</v>
      </c>
      <c r="AP406" s="31">
        <f>'mnt Data'!AB409</f>
        <v>0</v>
      </c>
      <c r="AQ406" s="31">
        <f>'mnt Data'!AC409</f>
        <v>0</v>
      </c>
      <c r="AR406" s="31">
        <f>'mnt Data'!AD409</f>
        <v>0</v>
      </c>
      <c r="AS406" s="31">
        <f>'mnt Data'!AE409</f>
        <v>0</v>
      </c>
      <c r="AT406" s="31">
        <f>'mnt Data'!AF409</f>
        <v>0</v>
      </c>
      <c r="AU406" s="31">
        <f>'mnt Data'!AG409</f>
        <v>0</v>
      </c>
      <c r="AV406" s="31">
        <f>'mnt Data'!AH409</f>
        <v>0</v>
      </c>
      <c r="AW406" s="31">
        <f>'mnt Data'!AI409</f>
        <v>0</v>
      </c>
      <c r="AX406" s="31">
        <f>'mnt Data'!AJ409</f>
        <v>0</v>
      </c>
      <c r="AY406" s="31">
        <f>'mnt Data'!AK409</f>
        <v>0</v>
      </c>
    </row>
    <row r="407" spans="1:51" x14ac:dyDescent="0.25">
      <c r="A407">
        <v>406</v>
      </c>
      <c r="B407" s="32">
        <f t="shared" si="72"/>
        <v>0</v>
      </c>
      <c r="C407" s="32">
        <f t="shared" si="73"/>
        <v>0</v>
      </c>
      <c r="D407" s="32" t="str">
        <f t="shared" si="77"/>
        <v>No Gs</v>
      </c>
      <c r="E407" s="32">
        <f t="shared" si="81"/>
        <v>0</v>
      </c>
      <c r="F407" s="32" t="str">
        <f t="shared" si="82"/>
        <v>No Gs</v>
      </c>
      <c r="G407" s="32" t="str">
        <f t="shared" si="83"/>
        <v>No Gs</v>
      </c>
      <c r="H407" s="32" t="str">
        <f t="shared" si="74"/>
        <v>Gs is needed</v>
      </c>
      <c r="I407" s="32" t="str">
        <f t="shared" si="75"/>
        <v>Gs is needed</v>
      </c>
      <c r="J407" s="32" t="str">
        <f t="shared" si="76"/>
        <v>Gs is needed</v>
      </c>
      <c r="K407" s="32" t="str">
        <f t="shared" si="78"/>
        <v>Need Max and Min</v>
      </c>
      <c r="L407" s="32" t="str">
        <f t="shared" si="79"/>
        <v>Need Max and Min</v>
      </c>
      <c r="M407" s="32" t="str">
        <f t="shared" si="80"/>
        <v>Fail</v>
      </c>
      <c r="N407" s="32"/>
      <c r="O407" s="31">
        <f>'mnt Data'!A410</f>
        <v>0</v>
      </c>
      <c r="P407" s="31">
        <f>'mnt Data'!B410</f>
        <v>0</v>
      </c>
      <c r="Q407" s="31">
        <f>'mnt Data'!C410</f>
        <v>0</v>
      </c>
      <c r="R407" s="31">
        <f>'mnt Data'!D410</f>
        <v>0</v>
      </c>
      <c r="S407" s="31">
        <f>'mnt Data'!E410</f>
        <v>0</v>
      </c>
      <c r="T407" s="31">
        <f>'mnt Data'!F410</f>
        <v>0</v>
      </c>
      <c r="U407" s="31">
        <f>'mnt Data'!G410</f>
        <v>0</v>
      </c>
      <c r="V407" s="31">
        <f>'mnt Data'!H410</f>
        <v>0</v>
      </c>
      <c r="W407" s="31">
        <f>'mnt Data'!I410</f>
        <v>0</v>
      </c>
      <c r="X407" s="31">
        <f>'mnt Data'!J410</f>
        <v>0</v>
      </c>
      <c r="Y407" s="31">
        <f>'mnt Data'!K410</f>
        <v>0</v>
      </c>
      <c r="Z407" s="31">
        <f>'mnt Data'!L410</f>
        <v>0</v>
      </c>
      <c r="AA407" s="31">
        <f>'mnt Data'!M410</f>
        <v>0</v>
      </c>
      <c r="AB407" s="31">
        <f>'mnt Data'!N410</f>
        <v>0</v>
      </c>
      <c r="AC407" s="31">
        <f>'mnt Data'!O410</f>
        <v>0</v>
      </c>
      <c r="AD407" s="31">
        <f>'mnt Data'!P410</f>
        <v>0</v>
      </c>
      <c r="AE407" s="31">
        <f>'mnt Data'!Q410</f>
        <v>0</v>
      </c>
      <c r="AF407" s="31">
        <f>'mnt Data'!R410</f>
        <v>0</v>
      </c>
      <c r="AG407" s="31">
        <f>'mnt Data'!S410</f>
        <v>0</v>
      </c>
      <c r="AH407" s="31">
        <f>'mnt Data'!T410</f>
        <v>0</v>
      </c>
      <c r="AI407" s="31">
        <f>'mnt Data'!U410</f>
        <v>0</v>
      </c>
      <c r="AJ407" s="31">
        <f>'mnt Data'!V410</f>
        <v>0</v>
      </c>
      <c r="AK407" s="31">
        <f>'mnt Data'!W410</f>
        <v>0</v>
      </c>
      <c r="AL407" s="31">
        <f>'mnt Data'!X410</f>
        <v>0</v>
      </c>
      <c r="AM407" s="31">
        <f>'mnt Data'!Y410</f>
        <v>0</v>
      </c>
      <c r="AN407" s="31">
        <f>'mnt Data'!Z410</f>
        <v>0</v>
      </c>
      <c r="AO407" s="31">
        <f>'mnt Data'!AA410</f>
        <v>0</v>
      </c>
      <c r="AP407" s="31">
        <f>'mnt Data'!AB410</f>
        <v>0</v>
      </c>
      <c r="AQ407" s="31">
        <f>'mnt Data'!AC410</f>
        <v>0</v>
      </c>
      <c r="AR407" s="31">
        <f>'mnt Data'!AD410</f>
        <v>0</v>
      </c>
      <c r="AS407" s="31">
        <f>'mnt Data'!AE410</f>
        <v>0</v>
      </c>
      <c r="AT407" s="31">
        <f>'mnt Data'!AF410</f>
        <v>0</v>
      </c>
      <c r="AU407" s="31">
        <f>'mnt Data'!AG410</f>
        <v>0</v>
      </c>
      <c r="AV407" s="31">
        <f>'mnt Data'!AH410</f>
        <v>0</v>
      </c>
      <c r="AW407" s="31">
        <f>'mnt Data'!AI410</f>
        <v>0</v>
      </c>
      <c r="AX407" s="31">
        <f>'mnt Data'!AJ410</f>
        <v>0</v>
      </c>
      <c r="AY407" s="31">
        <f>'mnt Data'!AK410</f>
        <v>0</v>
      </c>
    </row>
    <row r="408" spans="1:51" x14ac:dyDescent="0.25">
      <c r="A408">
        <v>407</v>
      </c>
      <c r="B408" s="32">
        <f t="shared" si="72"/>
        <v>0</v>
      </c>
      <c r="C408" s="32">
        <f t="shared" si="73"/>
        <v>0</v>
      </c>
      <c r="D408" s="32" t="str">
        <f t="shared" si="77"/>
        <v>No Gs</v>
      </c>
      <c r="E408" s="32">
        <f t="shared" si="81"/>
        <v>0</v>
      </c>
      <c r="F408" s="32" t="str">
        <f t="shared" si="82"/>
        <v>No Gs</v>
      </c>
      <c r="G408" s="32" t="str">
        <f t="shared" si="83"/>
        <v>No Gs</v>
      </c>
      <c r="H408" s="32" t="str">
        <f t="shared" si="74"/>
        <v>Gs is needed</v>
      </c>
      <c r="I408" s="32" t="str">
        <f t="shared" si="75"/>
        <v>Gs is needed</v>
      </c>
      <c r="J408" s="32" t="str">
        <f t="shared" si="76"/>
        <v>Gs is needed</v>
      </c>
      <c r="K408" s="32" t="str">
        <f t="shared" si="78"/>
        <v>Need Max and Min</v>
      </c>
      <c r="L408" s="32" t="str">
        <f t="shared" si="79"/>
        <v>Need Max and Min</v>
      </c>
      <c r="M408" s="32" t="str">
        <f t="shared" si="80"/>
        <v>Fail</v>
      </c>
      <c r="N408" s="32"/>
      <c r="O408" s="31">
        <f>'mnt Data'!A411</f>
        <v>0</v>
      </c>
      <c r="P408" s="31">
        <f>'mnt Data'!B411</f>
        <v>0</v>
      </c>
      <c r="Q408" s="31">
        <f>'mnt Data'!C411</f>
        <v>0</v>
      </c>
      <c r="R408" s="31">
        <f>'mnt Data'!D411</f>
        <v>0</v>
      </c>
      <c r="S408" s="31">
        <f>'mnt Data'!E411</f>
        <v>0</v>
      </c>
      <c r="T408" s="31">
        <f>'mnt Data'!F411</f>
        <v>0</v>
      </c>
      <c r="U408" s="31">
        <f>'mnt Data'!G411</f>
        <v>0</v>
      </c>
      <c r="V408" s="31">
        <f>'mnt Data'!H411</f>
        <v>0</v>
      </c>
      <c r="W408" s="31">
        <f>'mnt Data'!I411</f>
        <v>0</v>
      </c>
      <c r="X408" s="31">
        <f>'mnt Data'!J411</f>
        <v>0</v>
      </c>
      <c r="Y408" s="31">
        <f>'mnt Data'!K411</f>
        <v>0</v>
      </c>
      <c r="Z408" s="31">
        <f>'mnt Data'!L411</f>
        <v>0</v>
      </c>
      <c r="AA408" s="31">
        <f>'mnt Data'!M411</f>
        <v>0</v>
      </c>
      <c r="AB408" s="31">
        <f>'mnt Data'!N411</f>
        <v>0</v>
      </c>
      <c r="AC408" s="31">
        <f>'mnt Data'!O411</f>
        <v>0</v>
      </c>
      <c r="AD408" s="31">
        <f>'mnt Data'!P411</f>
        <v>0</v>
      </c>
      <c r="AE408" s="31">
        <f>'mnt Data'!Q411</f>
        <v>0</v>
      </c>
      <c r="AF408" s="31">
        <f>'mnt Data'!R411</f>
        <v>0</v>
      </c>
      <c r="AG408" s="31">
        <f>'mnt Data'!S411</f>
        <v>0</v>
      </c>
      <c r="AH408" s="31">
        <f>'mnt Data'!T411</f>
        <v>0</v>
      </c>
      <c r="AI408" s="31">
        <f>'mnt Data'!U411</f>
        <v>0</v>
      </c>
      <c r="AJ408" s="31">
        <f>'mnt Data'!V411</f>
        <v>0</v>
      </c>
      <c r="AK408" s="31">
        <f>'mnt Data'!W411</f>
        <v>0</v>
      </c>
      <c r="AL408" s="31">
        <f>'mnt Data'!X411</f>
        <v>0</v>
      </c>
      <c r="AM408" s="31">
        <f>'mnt Data'!Y411</f>
        <v>0</v>
      </c>
      <c r="AN408" s="31">
        <f>'mnt Data'!Z411</f>
        <v>0</v>
      </c>
      <c r="AO408" s="31">
        <f>'mnt Data'!AA411</f>
        <v>0</v>
      </c>
      <c r="AP408" s="31">
        <f>'mnt Data'!AB411</f>
        <v>0</v>
      </c>
      <c r="AQ408" s="31">
        <f>'mnt Data'!AC411</f>
        <v>0</v>
      </c>
      <c r="AR408" s="31">
        <f>'mnt Data'!AD411</f>
        <v>0</v>
      </c>
      <c r="AS408" s="31">
        <f>'mnt Data'!AE411</f>
        <v>0</v>
      </c>
      <c r="AT408" s="31">
        <f>'mnt Data'!AF411</f>
        <v>0</v>
      </c>
      <c r="AU408" s="31">
        <f>'mnt Data'!AG411</f>
        <v>0</v>
      </c>
      <c r="AV408" s="31">
        <f>'mnt Data'!AH411</f>
        <v>0</v>
      </c>
      <c r="AW408" s="31">
        <f>'mnt Data'!AI411</f>
        <v>0</v>
      </c>
      <c r="AX408" s="31">
        <f>'mnt Data'!AJ411</f>
        <v>0</v>
      </c>
      <c r="AY408" s="31">
        <f>'mnt Data'!AK411</f>
        <v>0</v>
      </c>
    </row>
    <row r="409" spans="1:51" x14ac:dyDescent="0.25">
      <c r="A409">
        <v>408</v>
      </c>
      <c r="B409" s="32">
        <f t="shared" si="72"/>
        <v>0</v>
      </c>
      <c r="C409" s="32">
        <f t="shared" si="73"/>
        <v>0</v>
      </c>
      <c r="D409" s="32" t="str">
        <f t="shared" si="77"/>
        <v>No Gs</v>
      </c>
      <c r="E409" s="32">
        <f t="shared" si="81"/>
        <v>0</v>
      </c>
      <c r="F409" s="32" t="str">
        <f t="shared" si="82"/>
        <v>No Gs</v>
      </c>
      <c r="G409" s="32" t="str">
        <f t="shared" si="83"/>
        <v>No Gs</v>
      </c>
      <c r="H409" s="32" t="str">
        <f t="shared" si="74"/>
        <v>Gs is needed</v>
      </c>
      <c r="I409" s="32" t="str">
        <f t="shared" si="75"/>
        <v>Gs is needed</v>
      </c>
      <c r="J409" s="32" t="str">
        <f t="shared" si="76"/>
        <v>Gs is needed</v>
      </c>
      <c r="K409" s="32" t="str">
        <f t="shared" si="78"/>
        <v>Need Max and Min</v>
      </c>
      <c r="L409" s="32" t="str">
        <f t="shared" si="79"/>
        <v>Need Max and Min</v>
      </c>
      <c r="M409" s="32" t="str">
        <f t="shared" si="80"/>
        <v>Fail</v>
      </c>
      <c r="N409" s="32"/>
      <c r="O409" s="31">
        <f>'mnt Data'!A412</f>
        <v>0</v>
      </c>
      <c r="P409" s="31">
        <f>'mnt Data'!B412</f>
        <v>0</v>
      </c>
      <c r="Q409" s="31">
        <f>'mnt Data'!C412</f>
        <v>0</v>
      </c>
      <c r="R409" s="31">
        <f>'mnt Data'!D412</f>
        <v>0</v>
      </c>
      <c r="S409" s="31">
        <f>'mnt Data'!E412</f>
        <v>0</v>
      </c>
      <c r="T409" s="31">
        <f>'mnt Data'!F412</f>
        <v>0</v>
      </c>
      <c r="U409" s="31">
        <f>'mnt Data'!G412</f>
        <v>0</v>
      </c>
      <c r="V409" s="31">
        <f>'mnt Data'!H412</f>
        <v>0</v>
      </c>
      <c r="W409" s="31">
        <f>'mnt Data'!I412</f>
        <v>0</v>
      </c>
      <c r="X409" s="31">
        <f>'mnt Data'!J412</f>
        <v>0</v>
      </c>
      <c r="Y409" s="31">
        <f>'mnt Data'!K412</f>
        <v>0</v>
      </c>
      <c r="Z409" s="31">
        <f>'mnt Data'!L412</f>
        <v>0</v>
      </c>
      <c r="AA409" s="31">
        <f>'mnt Data'!M412</f>
        <v>0</v>
      </c>
      <c r="AB409" s="31">
        <f>'mnt Data'!N412</f>
        <v>0</v>
      </c>
      <c r="AC409" s="31">
        <f>'mnt Data'!O412</f>
        <v>0</v>
      </c>
      <c r="AD409" s="31">
        <f>'mnt Data'!P412</f>
        <v>0</v>
      </c>
      <c r="AE409" s="31">
        <f>'mnt Data'!Q412</f>
        <v>0</v>
      </c>
      <c r="AF409" s="31">
        <f>'mnt Data'!R412</f>
        <v>0</v>
      </c>
      <c r="AG409" s="31">
        <f>'mnt Data'!S412</f>
        <v>0</v>
      </c>
      <c r="AH409" s="31">
        <f>'mnt Data'!T412</f>
        <v>0</v>
      </c>
      <c r="AI409" s="31">
        <f>'mnt Data'!U412</f>
        <v>0</v>
      </c>
      <c r="AJ409" s="31">
        <f>'mnt Data'!V412</f>
        <v>0</v>
      </c>
      <c r="AK409" s="31">
        <f>'mnt Data'!W412</f>
        <v>0</v>
      </c>
      <c r="AL409" s="31">
        <f>'mnt Data'!X412</f>
        <v>0</v>
      </c>
      <c r="AM409" s="31">
        <f>'mnt Data'!Y412</f>
        <v>0</v>
      </c>
      <c r="AN409" s="31">
        <f>'mnt Data'!Z412</f>
        <v>0</v>
      </c>
      <c r="AO409" s="31">
        <f>'mnt Data'!AA412</f>
        <v>0</v>
      </c>
      <c r="AP409" s="31">
        <f>'mnt Data'!AB412</f>
        <v>0</v>
      </c>
      <c r="AQ409" s="31">
        <f>'mnt Data'!AC412</f>
        <v>0</v>
      </c>
      <c r="AR409" s="31">
        <f>'mnt Data'!AD412</f>
        <v>0</v>
      </c>
      <c r="AS409" s="31">
        <f>'mnt Data'!AE412</f>
        <v>0</v>
      </c>
      <c r="AT409" s="31">
        <f>'mnt Data'!AF412</f>
        <v>0</v>
      </c>
      <c r="AU409" s="31">
        <f>'mnt Data'!AG412</f>
        <v>0</v>
      </c>
      <c r="AV409" s="31">
        <f>'mnt Data'!AH412</f>
        <v>0</v>
      </c>
      <c r="AW409" s="31">
        <f>'mnt Data'!AI412</f>
        <v>0</v>
      </c>
      <c r="AX409" s="31">
        <f>'mnt Data'!AJ412</f>
        <v>0</v>
      </c>
      <c r="AY409" s="31">
        <f>'mnt Data'!AK412</f>
        <v>0</v>
      </c>
    </row>
    <row r="410" spans="1:51" x14ac:dyDescent="0.25">
      <c r="A410">
        <v>409</v>
      </c>
      <c r="B410" s="32">
        <f t="shared" si="72"/>
        <v>0</v>
      </c>
      <c r="C410" s="32">
        <f t="shared" si="73"/>
        <v>0</v>
      </c>
      <c r="D410" s="32" t="str">
        <f t="shared" si="77"/>
        <v>No Gs</v>
      </c>
      <c r="E410" s="32">
        <f t="shared" si="81"/>
        <v>0</v>
      </c>
      <c r="F410" s="32" t="str">
        <f t="shared" si="82"/>
        <v>No Gs</v>
      </c>
      <c r="G410" s="32" t="str">
        <f t="shared" si="83"/>
        <v>No Gs</v>
      </c>
      <c r="H410" s="32" t="str">
        <f t="shared" si="74"/>
        <v>Gs is needed</v>
      </c>
      <c r="I410" s="32" t="str">
        <f t="shared" si="75"/>
        <v>Gs is needed</v>
      </c>
      <c r="J410" s="32" t="str">
        <f t="shared" si="76"/>
        <v>Gs is needed</v>
      </c>
      <c r="K410" s="32" t="str">
        <f t="shared" si="78"/>
        <v>Need Max and Min</v>
      </c>
      <c r="L410" s="32" t="str">
        <f t="shared" si="79"/>
        <v>Need Max and Min</v>
      </c>
      <c r="M410" s="32" t="str">
        <f t="shared" si="80"/>
        <v>Fail</v>
      </c>
      <c r="N410" s="32"/>
      <c r="O410" s="31">
        <f>'mnt Data'!A413</f>
        <v>0</v>
      </c>
      <c r="P410" s="31">
        <f>'mnt Data'!B413</f>
        <v>0</v>
      </c>
      <c r="Q410" s="31">
        <f>'mnt Data'!C413</f>
        <v>0</v>
      </c>
      <c r="R410" s="31">
        <f>'mnt Data'!D413</f>
        <v>0</v>
      </c>
      <c r="S410" s="31">
        <f>'mnt Data'!E413</f>
        <v>0</v>
      </c>
      <c r="T410" s="31">
        <f>'mnt Data'!F413</f>
        <v>0</v>
      </c>
      <c r="U410" s="31">
        <f>'mnt Data'!G413</f>
        <v>0</v>
      </c>
      <c r="V410" s="31">
        <f>'mnt Data'!H413</f>
        <v>0</v>
      </c>
      <c r="W410" s="31">
        <f>'mnt Data'!I413</f>
        <v>0</v>
      </c>
      <c r="X410" s="31">
        <f>'mnt Data'!J413</f>
        <v>0</v>
      </c>
      <c r="Y410" s="31">
        <f>'mnt Data'!K413</f>
        <v>0</v>
      </c>
      <c r="Z410" s="31">
        <f>'mnt Data'!L413</f>
        <v>0</v>
      </c>
      <c r="AA410" s="31">
        <f>'mnt Data'!M413</f>
        <v>0</v>
      </c>
      <c r="AB410" s="31">
        <f>'mnt Data'!N413</f>
        <v>0</v>
      </c>
      <c r="AC410" s="31">
        <f>'mnt Data'!O413</f>
        <v>0</v>
      </c>
      <c r="AD410" s="31">
        <f>'mnt Data'!P413</f>
        <v>0</v>
      </c>
      <c r="AE410" s="31">
        <f>'mnt Data'!Q413</f>
        <v>0</v>
      </c>
      <c r="AF410" s="31">
        <f>'mnt Data'!R413</f>
        <v>0</v>
      </c>
      <c r="AG410" s="31">
        <f>'mnt Data'!S413</f>
        <v>0</v>
      </c>
      <c r="AH410" s="31">
        <f>'mnt Data'!T413</f>
        <v>0</v>
      </c>
      <c r="AI410" s="31">
        <f>'mnt Data'!U413</f>
        <v>0</v>
      </c>
      <c r="AJ410" s="31">
        <f>'mnt Data'!V413</f>
        <v>0</v>
      </c>
      <c r="AK410" s="31">
        <f>'mnt Data'!W413</f>
        <v>0</v>
      </c>
      <c r="AL410" s="31">
        <f>'mnt Data'!X413</f>
        <v>0</v>
      </c>
      <c r="AM410" s="31">
        <f>'mnt Data'!Y413</f>
        <v>0</v>
      </c>
      <c r="AN410" s="31">
        <f>'mnt Data'!Z413</f>
        <v>0</v>
      </c>
      <c r="AO410" s="31">
        <f>'mnt Data'!AA413</f>
        <v>0</v>
      </c>
      <c r="AP410" s="31">
        <f>'mnt Data'!AB413</f>
        <v>0</v>
      </c>
      <c r="AQ410" s="31">
        <f>'mnt Data'!AC413</f>
        <v>0</v>
      </c>
      <c r="AR410" s="31">
        <f>'mnt Data'!AD413</f>
        <v>0</v>
      </c>
      <c r="AS410" s="31">
        <f>'mnt Data'!AE413</f>
        <v>0</v>
      </c>
      <c r="AT410" s="31">
        <f>'mnt Data'!AF413</f>
        <v>0</v>
      </c>
      <c r="AU410" s="31">
        <f>'mnt Data'!AG413</f>
        <v>0</v>
      </c>
      <c r="AV410" s="31">
        <f>'mnt Data'!AH413</f>
        <v>0</v>
      </c>
      <c r="AW410" s="31">
        <f>'mnt Data'!AI413</f>
        <v>0</v>
      </c>
      <c r="AX410" s="31">
        <f>'mnt Data'!AJ413</f>
        <v>0</v>
      </c>
      <c r="AY410" s="31">
        <f>'mnt Data'!AK413</f>
        <v>0</v>
      </c>
    </row>
    <row r="411" spans="1:51" x14ac:dyDescent="0.25">
      <c r="A411">
        <v>410</v>
      </c>
      <c r="B411" s="32">
        <f t="shared" si="72"/>
        <v>0</v>
      </c>
      <c r="C411" s="32">
        <f t="shared" si="73"/>
        <v>0</v>
      </c>
      <c r="D411" s="32" t="str">
        <f t="shared" si="77"/>
        <v>No Gs</v>
      </c>
      <c r="E411" s="32">
        <f t="shared" si="81"/>
        <v>0</v>
      </c>
      <c r="F411" s="32" t="str">
        <f t="shared" si="82"/>
        <v>No Gs</v>
      </c>
      <c r="G411" s="32" t="str">
        <f t="shared" si="83"/>
        <v>No Gs</v>
      </c>
      <c r="H411" s="32" t="str">
        <f t="shared" si="74"/>
        <v>Gs is needed</v>
      </c>
      <c r="I411" s="32" t="str">
        <f t="shared" si="75"/>
        <v>Gs is needed</v>
      </c>
      <c r="J411" s="32" t="str">
        <f t="shared" si="76"/>
        <v>Gs is needed</v>
      </c>
      <c r="K411" s="32" t="str">
        <f t="shared" si="78"/>
        <v>Need Max and Min</v>
      </c>
      <c r="L411" s="32" t="str">
        <f t="shared" si="79"/>
        <v>Need Max and Min</v>
      </c>
      <c r="M411" s="32" t="str">
        <f t="shared" si="80"/>
        <v>Fail</v>
      </c>
      <c r="N411" s="32"/>
      <c r="O411" s="31">
        <f>'mnt Data'!A414</f>
        <v>0</v>
      </c>
      <c r="P411" s="31">
        <f>'mnt Data'!B414</f>
        <v>0</v>
      </c>
      <c r="Q411" s="31">
        <f>'mnt Data'!C414</f>
        <v>0</v>
      </c>
      <c r="R411" s="31">
        <f>'mnt Data'!D414</f>
        <v>0</v>
      </c>
      <c r="S411" s="31">
        <f>'mnt Data'!E414</f>
        <v>0</v>
      </c>
      <c r="T411" s="31">
        <f>'mnt Data'!F414</f>
        <v>0</v>
      </c>
      <c r="U411" s="31">
        <f>'mnt Data'!G414</f>
        <v>0</v>
      </c>
      <c r="V411" s="31">
        <f>'mnt Data'!H414</f>
        <v>0</v>
      </c>
      <c r="W411" s="31">
        <f>'mnt Data'!I414</f>
        <v>0</v>
      </c>
      <c r="X411" s="31">
        <f>'mnt Data'!J414</f>
        <v>0</v>
      </c>
      <c r="Y411" s="31">
        <f>'mnt Data'!K414</f>
        <v>0</v>
      </c>
      <c r="Z411" s="31">
        <f>'mnt Data'!L414</f>
        <v>0</v>
      </c>
      <c r="AA411" s="31">
        <f>'mnt Data'!M414</f>
        <v>0</v>
      </c>
      <c r="AB411" s="31">
        <f>'mnt Data'!N414</f>
        <v>0</v>
      </c>
      <c r="AC411" s="31">
        <f>'mnt Data'!O414</f>
        <v>0</v>
      </c>
      <c r="AD411" s="31">
        <f>'mnt Data'!P414</f>
        <v>0</v>
      </c>
      <c r="AE411" s="31">
        <f>'mnt Data'!Q414</f>
        <v>0</v>
      </c>
      <c r="AF411" s="31">
        <f>'mnt Data'!R414</f>
        <v>0</v>
      </c>
      <c r="AG411" s="31">
        <f>'mnt Data'!S414</f>
        <v>0</v>
      </c>
      <c r="AH411" s="31">
        <f>'mnt Data'!T414</f>
        <v>0</v>
      </c>
      <c r="AI411" s="31">
        <f>'mnt Data'!U414</f>
        <v>0</v>
      </c>
      <c r="AJ411" s="31">
        <f>'mnt Data'!V414</f>
        <v>0</v>
      </c>
      <c r="AK411" s="31">
        <f>'mnt Data'!W414</f>
        <v>0</v>
      </c>
      <c r="AL411" s="31">
        <f>'mnt Data'!X414</f>
        <v>0</v>
      </c>
      <c r="AM411" s="31">
        <f>'mnt Data'!Y414</f>
        <v>0</v>
      </c>
      <c r="AN411" s="31">
        <f>'mnt Data'!Z414</f>
        <v>0</v>
      </c>
      <c r="AO411" s="31">
        <f>'mnt Data'!AA414</f>
        <v>0</v>
      </c>
      <c r="AP411" s="31">
        <f>'mnt Data'!AB414</f>
        <v>0</v>
      </c>
      <c r="AQ411" s="31">
        <f>'mnt Data'!AC414</f>
        <v>0</v>
      </c>
      <c r="AR411" s="31">
        <f>'mnt Data'!AD414</f>
        <v>0</v>
      </c>
      <c r="AS411" s="31">
        <f>'mnt Data'!AE414</f>
        <v>0</v>
      </c>
      <c r="AT411" s="31">
        <f>'mnt Data'!AF414</f>
        <v>0</v>
      </c>
      <c r="AU411" s="31">
        <f>'mnt Data'!AG414</f>
        <v>0</v>
      </c>
      <c r="AV411" s="31">
        <f>'mnt Data'!AH414</f>
        <v>0</v>
      </c>
      <c r="AW411" s="31">
        <f>'mnt Data'!AI414</f>
        <v>0</v>
      </c>
      <c r="AX411" s="31">
        <f>'mnt Data'!AJ414</f>
        <v>0</v>
      </c>
      <c r="AY411" s="31">
        <f>'mnt Data'!AK414</f>
        <v>0</v>
      </c>
    </row>
    <row r="412" spans="1:51" x14ac:dyDescent="0.25">
      <c r="A412">
        <v>411</v>
      </c>
      <c r="B412" s="32">
        <f t="shared" si="72"/>
        <v>0</v>
      </c>
      <c r="C412" s="32">
        <f t="shared" si="73"/>
        <v>0</v>
      </c>
      <c r="D412" s="32" t="str">
        <f t="shared" si="77"/>
        <v>No Gs</v>
      </c>
      <c r="E412" s="32">
        <f t="shared" si="81"/>
        <v>0</v>
      </c>
      <c r="F412" s="32" t="str">
        <f t="shared" si="82"/>
        <v>No Gs</v>
      </c>
      <c r="G412" s="32" t="str">
        <f t="shared" si="83"/>
        <v>No Gs</v>
      </c>
      <c r="H412" s="32" t="str">
        <f t="shared" si="74"/>
        <v>Gs is needed</v>
      </c>
      <c r="I412" s="32" t="str">
        <f t="shared" si="75"/>
        <v>Gs is needed</v>
      </c>
      <c r="J412" s="32" t="str">
        <f t="shared" si="76"/>
        <v>Gs is needed</v>
      </c>
      <c r="K412" s="32" t="str">
        <f t="shared" si="78"/>
        <v>Need Max and Min</v>
      </c>
      <c r="L412" s="32" t="str">
        <f t="shared" si="79"/>
        <v>Need Max and Min</v>
      </c>
      <c r="M412" s="32" t="str">
        <f t="shared" si="80"/>
        <v>Fail</v>
      </c>
      <c r="N412" s="32"/>
      <c r="O412" s="31">
        <f>'mnt Data'!A415</f>
        <v>0</v>
      </c>
      <c r="P412" s="31">
        <f>'mnt Data'!B415</f>
        <v>0</v>
      </c>
      <c r="Q412" s="31">
        <f>'mnt Data'!C415</f>
        <v>0</v>
      </c>
      <c r="R412" s="31">
        <f>'mnt Data'!D415</f>
        <v>0</v>
      </c>
      <c r="S412" s="31">
        <f>'mnt Data'!E415</f>
        <v>0</v>
      </c>
      <c r="T412" s="31">
        <f>'mnt Data'!F415</f>
        <v>0</v>
      </c>
      <c r="U412" s="31">
        <f>'mnt Data'!G415</f>
        <v>0</v>
      </c>
      <c r="V412" s="31">
        <f>'mnt Data'!H415</f>
        <v>0</v>
      </c>
      <c r="W412" s="31">
        <f>'mnt Data'!I415</f>
        <v>0</v>
      </c>
      <c r="X412" s="31">
        <f>'mnt Data'!J415</f>
        <v>0</v>
      </c>
      <c r="Y412" s="31">
        <f>'mnt Data'!K415</f>
        <v>0</v>
      </c>
      <c r="Z412" s="31">
        <f>'mnt Data'!L415</f>
        <v>0</v>
      </c>
      <c r="AA412" s="31">
        <f>'mnt Data'!M415</f>
        <v>0</v>
      </c>
      <c r="AB412" s="31">
        <f>'mnt Data'!N415</f>
        <v>0</v>
      </c>
      <c r="AC412" s="31">
        <f>'mnt Data'!O415</f>
        <v>0</v>
      </c>
      <c r="AD412" s="31">
        <f>'mnt Data'!P415</f>
        <v>0</v>
      </c>
      <c r="AE412" s="31">
        <f>'mnt Data'!Q415</f>
        <v>0</v>
      </c>
      <c r="AF412" s="31">
        <f>'mnt Data'!R415</f>
        <v>0</v>
      </c>
      <c r="AG412" s="31">
        <f>'mnt Data'!S415</f>
        <v>0</v>
      </c>
      <c r="AH412" s="31">
        <f>'mnt Data'!T415</f>
        <v>0</v>
      </c>
      <c r="AI412" s="31">
        <f>'mnt Data'!U415</f>
        <v>0</v>
      </c>
      <c r="AJ412" s="31">
        <f>'mnt Data'!V415</f>
        <v>0</v>
      </c>
      <c r="AK412" s="31">
        <f>'mnt Data'!W415</f>
        <v>0</v>
      </c>
      <c r="AL412" s="31">
        <f>'mnt Data'!X415</f>
        <v>0</v>
      </c>
      <c r="AM412" s="31">
        <f>'mnt Data'!Y415</f>
        <v>0</v>
      </c>
      <c r="AN412" s="31">
        <f>'mnt Data'!Z415</f>
        <v>0</v>
      </c>
      <c r="AO412" s="31">
        <f>'mnt Data'!AA415</f>
        <v>0</v>
      </c>
      <c r="AP412" s="31">
        <f>'mnt Data'!AB415</f>
        <v>0</v>
      </c>
      <c r="AQ412" s="31">
        <f>'mnt Data'!AC415</f>
        <v>0</v>
      </c>
      <c r="AR412" s="31">
        <f>'mnt Data'!AD415</f>
        <v>0</v>
      </c>
      <c r="AS412" s="31">
        <f>'mnt Data'!AE415</f>
        <v>0</v>
      </c>
      <c r="AT412" s="31">
        <f>'mnt Data'!AF415</f>
        <v>0</v>
      </c>
      <c r="AU412" s="31">
        <f>'mnt Data'!AG415</f>
        <v>0</v>
      </c>
      <c r="AV412" s="31">
        <f>'mnt Data'!AH415</f>
        <v>0</v>
      </c>
      <c r="AW412" s="31">
        <f>'mnt Data'!AI415</f>
        <v>0</v>
      </c>
      <c r="AX412" s="31">
        <f>'mnt Data'!AJ415</f>
        <v>0</v>
      </c>
      <c r="AY412" s="31">
        <f>'mnt Data'!AK415</f>
        <v>0</v>
      </c>
    </row>
    <row r="413" spans="1:51" x14ac:dyDescent="0.25">
      <c r="A413">
        <v>412</v>
      </c>
      <c r="B413" s="32">
        <f t="shared" si="72"/>
        <v>0</v>
      </c>
      <c r="C413" s="32">
        <f t="shared" si="73"/>
        <v>0</v>
      </c>
      <c r="D413" s="32" t="str">
        <f t="shared" si="77"/>
        <v>No Gs</v>
      </c>
      <c r="E413" s="32">
        <f t="shared" si="81"/>
        <v>0</v>
      </c>
      <c r="F413" s="32" t="str">
        <f t="shared" si="82"/>
        <v>No Gs</v>
      </c>
      <c r="G413" s="32" t="str">
        <f t="shared" si="83"/>
        <v>No Gs</v>
      </c>
      <c r="H413" s="32" t="str">
        <f t="shared" si="74"/>
        <v>Gs is needed</v>
      </c>
      <c r="I413" s="32" t="str">
        <f t="shared" si="75"/>
        <v>Gs is needed</v>
      </c>
      <c r="J413" s="32" t="str">
        <f t="shared" si="76"/>
        <v>Gs is needed</v>
      </c>
      <c r="K413" s="32" t="str">
        <f t="shared" si="78"/>
        <v>Need Max and Min</v>
      </c>
      <c r="L413" s="32" t="str">
        <f t="shared" si="79"/>
        <v>Need Max and Min</v>
      </c>
      <c r="M413" s="32" t="str">
        <f t="shared" si="80"/>
        <v>Fail</v>
      </c>
      <c r="N413" s="32"/>
      <c r="O413" s="31">
        <f>'mnt Data'!A416</f>
        <v>0</v>
      </c>
      <c r="P413" s="31">
        <f>'mnt Data'!B416</f>
        <v>0</v>
      </c>
      <c r="Q413" s="31">
        <f>'mnt Data'!C416</f>
        <v>0</v>
      </c>
      <c r="R413" s="31">
        <f>'mnt Data'!D416</f>
        <v>0</v>
      </c>
      <c r="S413" s="31">
        <f>'mnt Data'!E416</f>
        <v>0</v>
      </c>
      <c r="T413" s="31">
        <f>'mnt Data'!F416</f>
        <v>0</v>
      </c>
      <c r="U413" s="31">
        <f>'mnt Data'!G416</f>
        <v>0</v>
      </c>
      <c r="V413" s="31">
        <f>'mnt Data'!H416</f>
        <v>0</v>
      </c>
      <c r="W413" s="31">
        <f>'mnt Data'!I416</f>
        <v>0</v>
      </c>
      <c r="X413" s="31">
        <f>'mnt Data'!J416</f>
        <v>0</v>
      </c>
      <c r="Y413" s="31">
        <f>'mnt Data'!K416</f>
        <v>0</v>
      </c>
      <c r="Z413" s="31">
        <f>'mnt Data'!L416</f>
        <v>0</v>
      </c>
      <c r="AA413" s="31">
        <f>'mnt Data'!M416</f>
        <v>0</v>
      </c>
      <c r="AB413" s="31">
        <f>'mnt Data'!N416</f>
        <v>0</v>
      </c>
      <c r="AC413" s="31">
        <f>'mnt Data'!O416</f>
        <v>0</v>
      </c>
      <c r="AD413" s="31">
        <f>'mnt Data'!P416</f>
        <v>0</v>
      </c>
      <c r="AE413" s="31">
        <f>'mnt Data'!Q416</f>
        <v>0</v>
      </c>
      <c r="AF413" s="31">
        <f>'mnt Data'!R416</f>
        <v>0</v>
      </c>
      <c r="AG413" s="31">
        <f>'mnt Data'!S416</f>
        <v>0</v>
      </c>
      <c r="AH413" s="31">
        <f>'mnt Data'!T416</f>
        <v>0</v>
      </c>
      <c r="AI413" s="31">
        <f>'mnt Data'!U416</f>
        <v>0</v>
      </c>
      <c r="AJ413" s="31">
        <f>'mnt Data'!V416</f>
        <v>0</v>
      </c>
      <c r="AK413" s="31">
        <f>'mnt Data'!W416</f>
        <v>0</v>
      </c>
      <c r="AL413" s="31">
        <f>'mnt Data'!X416</f>
        <v>0</v>
      </c>
      <c r="AM413" s="31">
        <f>'mnt Data'!Y416</f>
        <v>0</v>
      </c>
      <c r="AN413" s="31">
        <f>'mnt Data'!Z416</f>
        <v>0</v>
      </c>
      <c r="AO413" s="31">
        <f>'mnt Data'!AA416</f>
        <v>0</v>
      </c>
      <c r="AP413" s="31">
        <f>'mnt Data'!AB416</f>
        <v>0</v>
      </c>
      <c r="AQ413" s="31">
        <f>'mnt Data'!AC416</f>
        <v>0</v>
      </c>
      <c r="AR413" s="31">
        <f>'mnt Data'!AD416</f>
        <v>0</v>
      </c>
      <c r="AS413" s="31">
        <f>'mnt Data'!AE416</f>
        <v>0</v>
      </c>
      <c r="AT413" s="31">
        <f>'mnt Data'!AF416</f>
        <v>0</v>
      </c>
      <c r="AU413" s="31">
        <f>'mnt Data'!AG416</f>
        <v>0</v>
      </c>
      <c r="AV413" s="31">
        <f>'mnt Data'!AH416</f>
        <v>0</v>
      </c>
      <c r="AW413" s="31">
        <f>'mnt Data'!AI416</f>
        <v>0</v>
      </c>
      <c r="AX413" s="31">
        <f>'mnt Data'!AJ416</f>
        <v>0</v>
      </c>
      <c r="AY413" s="31">
        <f>'mnt Data'!AK416</f>
        <v>0</v>
      </c>
    </row>
    <row r="414" spans="1:51" x14ac:dyDescent="0.25">
      <c r="A414">
        <v>413</v>
      </c>
      <c r="B414" s="32">
        <f t="shared" si="72"/>
        <v>0</v>
      </c>
      <c r="C414" s="32">
        <f t="shared" si="73"/>
        <v>0</v>
      </c>
      <c r="D414" s="32" t="str">
        <f t="shared" si="77"/>
        <v>No Gs</v>
      </c>
      <c r="E414" s="32">
        <f t="shared" si="81"/>
        <v>0</v>
      </c>
      <c r="F414" s="32" t="str">
        <f t="shared" si="82"/>
        <v>No Gs</v>
      </c>
      <c r="G414" s="32" t="str">
        <f t="shared" si="83"/>
        <v>No Gs</v>
      </c>
      <c r="H414" s="32" t="str">
        <f t="shared" si="74"/>
        <v>Gs is needed</v>
      </c>
      <c r="I414" s="32" t="str">
        <f t="shared" si="75"/>
        <v>Gs is needed</v>
      </c>
      <c r="J414" s="32" t="str">
        <f t="shared" si="76"/>
        <v>Gs is needed</v>
      </c>
      <c r="K414" s="32" t="str">
        <f t="shared" si="78"/>
        <v>Need Max and Min</v>
      </c>
      <c r="L414" s="32" t="str">
        <f t="shared" si="79"/>
        <v>Need Max and Min</v>
      </c>
      <c r="M414" s="32" t="str">
        <f t="shared" si="80"/>
        <v>Fail</v>
      </c>
      <c r="N414" s="32"/>
      <c r="O414" s="31">
        <f>'mnt Data'!A417</f>
        <v>0</v>
      </c>
      <c r="P414" s="31">
        <f>'mnt Data'!B417</f>
        <v>0</v>
      </c>
      <c r="Q414" s="31">
        <f>'mnt Data'!C417</f>
        <v>0</v>
      </c>
      <c r="R414" s="31">
        <f>'mnt Data'!D417</f>
        <v>0</v>
      </c>
      <c r="S414" s="31">
        <f>'mnt Data'!E417</f>
        <v>0</v>
      </c>
      <c r="T414" s="31">
        <f>'mnt Data'!F417</f>
        <v>0</v>
      </c>
      <c r="U414" s="31">
        <f>'mnt Data'!G417</f>
        <v>0</v>
      </c>
      <c r="V414" s="31">
        <f>'mnt Data'!H417</f>
        <v>0</v>
      </c>
      <c r="W414" s="31">
        <f>'mnt Data'!I417</f>
        <v>0</v>
      </c>
      <c r="X414" s="31">
        <f>'mnt Data'!J417</f>
        <v>0</v>
      </c>
      <c r="Y414" s="31">
        <f>'mnt Data'!K417</f>
        <v>0</v>
      </c>
      <c r="Z414" s="31">
        <f>'mnt Data'!L417</f>
        <v>0</v>
      </c>
      <c r="AA414" s="31">
        <f>'mnt Data'!M417</f>
        <v>0</v>
      </c>
      <c r="AB414" s="31">
        <f>'mnt Data'!N417</f>
        <v>0</v>
      </c>
      <c r="AC414" s="31">
        <f>'mnt Data'!O417</f>
        <v>0</v>
      </c>
      <c r="AD414" s="31">
        <f>'mnt Data'!P417</f>
        <v>0</v>
      </c>
      <c r="AE414" s="31">
        <f>'mnt Data'!Q417</f>
        <v>0</v>
      </c>
      <c r="AF414" s="31">
        <f>'mnt Data'!R417</f>
        <v>0</v>
      </c>
      <c r="AG414" s="31">
        <f>'mnt Data'!S417</f>
        <v>0</v>
      </c>
      <c r="AH414" s="31">
        <f>'mnt Data'!T417</f>
        <v>0</v>
      </c>
      <c r="AI414" s="31">
        <f>'mnt Data'!U417</f>
        <v>0</v>
      </c>
      <c r="AJ414" s="31">
        <f>'mnt Data'!V417</f>
        <v>0</v>
      </c>
      <c r="AK414" s="31">
        <f>'mnt Data'!W417</f>
        <v>0</v>
      </c>
      <c r="AL414" s="31">
        <f>'mnt Data'!X417</f>
        <v>0</v>
      </c>
      <c r="AM414" s="31">
        <f>'mnt Data'!Y417</f>
        <v>0</v>
      </c>
      <c r="AN414" s="31">
        <f>'mnt Data'!Z417</f>
        <v>0</v>
      </c>
      <c r="AO414" s="31">
        <f>'mnt Data'!AA417</f>
        <v>0</v>
      </c>
      <c r="AP414" s="31">
        <f>'mnt Data'!AB417</f>
        <v>0</v>
      </c>
      <c r="AQ414" s="31">
        <f>'mnt Data'!AC417</f>
        <v>0</v>
      </c>
      <c r="AR414" s="31">
        <f>'mnt Data'!AD417</f>
        <v>0</v>
      </c>
      <c r="AS414" s="31">
        <f>'mnt Data'!AE417</f>
        <v>0</v>
      </c>
      <c r="AT414" s="31">
        <f>'mnt Data'!AF417</f>
        <v>0</v>
      </c>
      <c r="AU414" s="31">
        <f>'mnt Data'!AG417</f>
        <v>0</v>
      </c>
      <c r="AV414" s="31">
        <f>'mnt Data'!AH417</f>
        <v>0</v>
      </c>
      <c r="AW414" s="31">
        <f>'mnt Data'!AI417</f>
        <v>0</v>
      </c>
      <c r="AX414" s="31">
        <f>'mnt Data'!AJ417</f>
        <v>0</v>
      </c>
      <c r="AY414" s="31">
        <f>'mnt Data'!AK417</f>
        <v>0</v>
      </c>
    </row>
    <row r="415" spans="1:51" x14ac:dyDescent="0.25">
      <c r="A415">
        <v>414</v>
      </c>
      <c r="B415" s="32">
        <f t="shared" si="72"/>
        <v>0</v>
      </c>
      <c r="C415" s="32">
        <f t="shared" si="73"/>
        <v>0</v>
      </c>
      <c r="D415" s="32" t="str">
        <f t="shared" si="77"/>
        <v>No Gs</v>
      </c>
      <c r="E415" s="32">
        <f t="shared" si="81"/>
        <v>0</v>
      </c>
      <c r="F415" s="32" t="str">
        <f t="shared" si="82"/>
        <v>No Gs</v>
      </c>
      <c r="G415" s="32" t="str">
        <f t="shared" si="83"/>
        <v>No Gs</v>
      </c>
      <c r="H415" s="32" t="str">
        <f t="shared" si="74"/>
        <v>Gs is needed</v>
      </c>
      <c r="I415" s="32" t="str">
        <f t="shared" si="75"/>
        <v>Gs is needed</v>
      </c>
      <c r="J415" s="32" t="str">
        <f t="shared" si="76"/>
        <v>Gs is needed</v>
      </c>
      <c r="K415" s="32" t="str">
        <f t="shared" si="78"/>
        <v>Need Max and Min</v>
      </c>
      <c r="L415" s="32" t="str">
        <f t="shared" si="79"/>
        <v>Need Max and Min</v>
      </c>
      <c r="M415" s="32" t="str">
        <f t="shared" si="80"/>
        <v>Fail</v>
      </c>
      <c r="N415" s="32"/>
      <c r="O415" s="31">
        <f>'mnt Data'!A418</f>
        <v>0</v>
      </c>
      <c r="P415" s="31">
        <f>'mnt Data'!B418</f>
        <v>0</v>
      </c>
      <c r="Q415" s="31">
        <f>'mnt Data'!C418</f>
        <v>0</v>
      </c>
      <c r="R415" s="31">
        <f>'mnt Data'!D418</f>
        <v>0</v>
      </c>
      <c r="S415" s="31">
        <f>'mnt Data'!E418</f>
        <v>0</v>
      </c>
      <c r="T415" s="31">
        <f>'mnt Data'!F418</f>
        <v>0</v>
      </c>
      <c r="U415" s="31">
        <f>'mnt Data'!G418</f>
        <v>0</v>
      </c>
      <c r="V415" s="31">
        <f>'mnt Data'!H418</f>
        <v>0</v>
      </c>
      <c r="W415" s="31">
        <f>'mnt Data'!I418</f>
        <v>0</v>
      </c>
      <c r="X415" s="31">
        <f>'mnt Data'!J418</f>
        <v>0</v>
      </c>
      <c r="Y415" s="31">
        <f>'mnt Data'!K418</f>
        <v>0</v>
      </c>
      <c r="Z415" s="31">
        <f>'mnt Data'!L418</f>
        <v>0</v>
      </c>
      <c r="AA415" s="31">
        <f>'mnt Data'!M418</f>
        <v>0</v>
      </c>
      <c r="AB415" s="31">
        <f>'mnt Data'!N418</f>
        <v>0</v>
      </c>
      <c r="AC415" s="31">
        <f>'mnt Data'!O418</f>
        <v>0</v>
      </c>
      <c r="AD415" s="31">
        <f>'mnt Data'!P418</f>
        <v>0</v>
      </c>
      <c r="AE415" s="31">
        <f>'mnt Data'!Q418</f>
        <v>0</v>
      </c>
      <c r="AF415" s="31">
        <f>'mnt Data'!R418</f>
        <v>0</v>
      </c>
      <c r="AG415" s="31">
        <f>'mnt Data'!S418</f>
        <v>0</v>
      </c>
      <c r="AH415" s="31">
        <f>'mnt Data'!T418</f>
        <v>0</v>
      </c>
      <c r="AI415" s="31">
        <f>'mnt Data'!U418</f>
        <v>0</v>
      </c>
      <c r="AJ415" s="31">
        <f>'mnt Data'!V418</f>
        <v>0</v>
      </c>
      <c r="AK415" s="31">
        <f>'mnt Data'!W418</f>
        <v>0</v>
      </c>
      <c r="AL415" s="31">
        <f>'mnt Data'!X418</f>
        <v>0</v>
      </c>
      <c r="AM415" s="31">
        <f>'mnt Data'!Y418</f>
        <v>0</v>
      </c>
      <c r="AN415" s="31">
        <f>'mnt Data'!Z418</f>
        <v>0</v>
      </c>
      <c r="AO415" s="31">
        <f>'mnt Data'!AA418</f>
        <v>0</v>
      </c>
      <c r="AP415" s="31">
        <f>'mnt Data'!AB418</f>
        <v>0</v>
      </c>
      <c r="AQ415" s="31">
        <f>'mnt Data'!AC418</f>
        <v>0</v>
      </c>
      <c r="AR415" s="31">
        <f>'mnt Data'!AD418</f>
        <v>0</v>
      </c>
      <c r="AS415" s="31">
        <f>'mnt Data'!AE418</f>
        <v>0</v>
      </c>
      <c r="AT415" s="31">
        <f>'mnt Data'!AF418</f>
        <v>0</v>
      </c>
      <c r="AU415" s="31">
        <f>'mnt Data'!AG418</f>
        <v>0</v>
      </c>
      <c r="AV415" s="31">
        <f>'mnt Data'!AH418</f>
        <v>0</v>
      </c>
      <c r="AW415" s="31">
        <f>'mnt Data'!AI418</f>
        <v>0</v>
      </c>
      <c r="AX415" s="31">
        <f>'mnt Data'!AJ418</f>
        <v>0</v>
      </c>
      <c r="AY415" s="31">
        <f>'mnt Data'!AK418</f>
        <v>0</v>
      </c>
    </row>
    <row r="416" spans="1:51" x14ac:dyDescent="0.25">
      <c r="A416">
        <v>415</v>
      </c>
      <c r="B416" s="32">
        <f t="shared" si="72"/>
        <v>0</v>
      </c>
      <c r="C416" s="32">
        <f t="shared" si="73"/>
        <v>0</v>
      </c>
      <c r="D416" s="32" t="str">
        <f t="shared" si="77"/>
        <v>No Gs</v>
      </c>
      <c r="E416" s="32">
        <f t="shared" si="81"/>
        <v>0</v>
      </c>
      <c r="F416" s="32" t="str">
        <f t="shared" si="82"/>
        <v>No Gs</v>
      </c>
      <c r="G416" s="32" t="str">
        <f t="shared" si="83"/>
        <v>No Gs</v>
      </c>
      <c r="H416" s="32" t="str">
        <f t="shared" si="74"/>
        <v>Gs is needed</v>
      </c>
      <c r="I416" s="32" t="str">
        <f t="shared" si="75"/>
        <v>Gs is needed</v>
      </c>
      <c r="J416" s="32" t="str">
        <f t="shared" si="76"/>
        <v>Gs is needed</v>
      </c>
      <c r="K416" s="32" t="str">
        <f t="shared" si="78"/>
        <v>Need Max and Min</v>
      </c>
      <c r="L416" s="32" t="str">
        <f t="shared" si="79"/>
        <v>Need Max and Min</v>
      </c>
      <c r="M416" s="32" t="str">
        <f t="shared" si="80"/>
        <v>Fail</v>
      </c>
      <c r="N416" s="32"/>
      <c r="O416" s="31">
        <f>'mnt Data'!A419</f>
        <v>0</v>
      </c>
      <c r="P416" s="31">
        <f>'mnt Data'!B419</f>
        <v>0</v>
      </c>
      <c r="Q416" s="31">
        <f>'mnt Data'!C419</f>
        <v>0</v>
      </c>
      <c r="R416" s="31">
        <f>'mnt Data'!D419</f>
        <v>0</v>
      </c>
      <c r="S416" s="31">
        <f>'mnt Data'!E419</f>
        <v>0</v>
      </c>
      <c r="T416" s="31">
        <f>'mnt Data'!F419</f>
        <v>0</v>
      </c>
      <c r="U416" s="31">
        <f>'mnt Data'!G419</f>
        <v>0</v>
      </c>
      <c r="V416" s="31">
        <f>'mnt Data'!H419</f>
        <v>0</v>
      </c>
      <c r="W416" s="31">
        <f>'mnt Data'!I419</f>
        <v>0</v>
      </c>
      <c r="X416" s="31">
        <f>'mnt Data'!J419</f>
        <v>0</v>
      </c>
      <c r="Y416" s="31">
        <f>'mnt Data'!K419</f>
        <v>0</v>
      </c>
      <c r="Z416" s="31">
        <f>'mnt Data'!L419</f>
        <v>0</v>
      </c>
      <c r="AA416" s="31">
        <f>'mnt Data'!M419</f>
        <v>0</v>
      </c>
      <c r="AB416" s="31">
        <f>'mnt Data'!N419</f>
        <v>0</v>
      </c>
      <c r="AC416" s="31">
        <f>'mnt Data'!O419</f>
        <v>0</v>
      </c>
      <c r="AD416" s="31">
        <f>'mnt Data'!P419</f>
        <v>0</v>
      </c>
      <c r="AE416" s="31">
        <f>'mnt Data'!Q419</f>
        <v>0</v>
      </c>
      <c r="AF416" s="31">
        <f>'mnt Data'!R419</f>
        <v>0</v>
      </c>
      <c r="AG416" s="31">
        <f>'mnt Data'!S419</f>
        <v>0</v>
      </c>
      <c r="AH416" s="31">
        <f>'mnt Data'!T419</f>
        <v>0</v>
      </c>
      <c r="AI416" s="31">
        <f>'mnt Data'!U419</f>
        <v>0</v>
      </c>
      <c r="AJ416" s="31">
        <f>'mnt Data'!V419</f>
        <v>0</v>
      </c>
      <c r="AK416" s="31">
        <f>'mnt Data'!W419</f>
        <v>0</v>
      </c>
      <c r="AL416" s="31">
        <f>'mnt Data'!X419</f>
        <v>0</v>
      </c>
      <c r="AM416" s="31">
        <f>'mnt Data'!Y419</f>
        <v>0</v>
      </c>
      <c r="AN416" s="31">
        <f>'mnt Data'!Z419</f>
        <v>0</v>
      </c>
      <c r="AO416" s="31">
        <f>'mnt Data'!AA419</f>
        <v>0</v>
      </c>
      <c r="AP416" s="31">
        <f>'mnt Data'!AB419</f>
        <v>0</v>
      </c>
      <c r="AQ416" s="31">
        <f>'mnt Data'!AC419</f>
        <v>0</v>
      </c>
      <c r="AR416" s="31">
        <f>'mnt Data'!AD419</f>
        <v>0</v>
      </c>
      <c r="AS416" s="31">
        <f>'mnt Data'!AE419</f>
        <v>0</v>
      </c>
      <c r="AT416" s="31">
        <f>'mnt Data'!AF419</f>
        <v>0</v>
      </c>
      <c r="AU416" s="31">
        <f>'mnt Data'!AG419</f>
        <v>0</v>
      </c>
      <c r="AV416" s="31">
        <f>'mnt Data'!AH419</f>
        <v>0</v>
      </c>
      <c r="AW416" s="31">
        <f>'mnt Data'!AI419</f>
        <v>0</v>
      </c>
      <c r="AX416" s="31">
        <f>'mnt Data'!AJ419</f>
        <v>0</v>
      </c>
      <c r="AY416" s="31">
        <f>'mnt Data'!AK419</f>
        <v>0</v>
      </c>
    </row>
    <row r="417" spans="1:51" x14ac:dyDescent="0.25">
      <c r="A417">
        <v>416</v>
      </c>
      <c r="B417" s="32">
        <f t="shared" si="72"/>
        <v>0</v>
      </c>
      <c r="C417" s="32">
        <f t="shared" si="73"/>
        <v>0</v>
      </c>
      <c r="D417" s="32" t="str">
        <f t="shared" si="77"/>
        <v>No Gs</v>
      </c>
      <c r="E417" s="32">
        <f t="shared" si="81"/>
        <v>0</v>
      </c>
      <c r="F417" s="32" t="str">
        <f t="shared" si="82"/>
        <v>No Gs</v>
      </c>
      <c r="G417" s="32" t="str">
        <f t="shared" si="83"/>
        <v>No Gs</v>
      </c>
      <c r="H417" s="32" t="str">
        <f t="shared" si="74"/>
        <v>Gs is needed</v>
      </c>
      <c r="I417" s="32" t="str">
        <f t="shared" si="75"/>
        <v>Gs is needed</v>
      </c>
      <c r="J417" s="32" t="str">
        <f t="shared" si="76"/>
        <v>Gs is needed</v>
      </c>
      <c r="K417" s="32" t="str">
        <f t="shared" si="78"/>
        <v>Need Max and Min</v>
      </c>
      <c r="L417" s="32" t="str">
        <f t="shared" si="79"/>
        <v>Need Max and Min</v>
      </c>
      <c r="M417" s="32" t="str">
        <f t="shared" si="80"/>
        <v>Fail</v>
      </c>
      <c r="N417" s="32"/>
      <c r="O417" s="31">
        <f>'mnt Data'!A420</f>
        <v>0</v>
      </c>
      <c r="P417" s="31">
        <f>'mnt Data'!B420</f>
        <v>0</v>
      </c>
      <c r="Q417" s="31">
        <f>'mnt Data'!C420</f>
        <v>0</v>
      </c>
      <c r="R417" s="31">
        <f>'mnt Data'!D420</f>
        <v>0</v>
      </c>
      <c r="S417" s="31">
        <f>'mnt Data'!E420</f>
        <v>0</v>
      </c>
      <c r="T417" s="31">
        <f>'mnt Data'!F420</f>
        <v>0</v>
      </c>
      <c r="U417" s="31">
        <f>'mnt Data'!G420</f>
        <v>0</v>
      </c>
      <c r="V417" s="31">
        <f>'mnt Data'!H420</f>
        <v>0</v>
      </c>
      <c r="W417" s="31">
        <f>'mnt Data'!I420</f>
        <v>0</v>
      </c>
      <c r="X417" s="31">
        <f>'mnt Data'!J420</f>
        <v>0</v>
      </c>
      <c r="Y417" s="31">
        <f>'mnt Data'!K420</f>
        <v>0</v>
      </c>
      <c r="Z417" s="31">
        <f>'mnt Data'!L420</f>
        <v>0</v>
      </c>
      <c r="AA417" s="31">
        <f>'mnt Data'!M420</f>
        <v>0</v>
      </c>
      <c r="AB417" s="31">
        <f>'mnt Data'!N420</f>
        <v>0</v>
      </c>
      <c r="AC417" s="31">
        <f>'mnt Data'!O420</f>
        <v>0</v>
      </c>
      <c r="AD417" s="31">
        <f>'mnt Data'!P420</f>
        <v>0</v>
      </c>
      <c r="AE417" s="31">
        <f>'mnt Data'!Q420</f>
        <v>0</v>
      </c>
      <c r="AF417" s="31">
        <f>'mnt Data'!R420</f>
        <v>0</v>
      </c>
      <c r="AG417" s="31">
        <f>'mnt Data'!S420</f>
        <v>0</v>
      </c>
      <c r="AH417" s="31">
        <f>'mnt Data'!T420</f>
        <v>0</v>
      </c>
      <c r="AI417" s="31">
        <f>'mnt Data'!U420</f>
        <v>0</v>
      </c>
      <c r="AJ417" s="31">
        <f>'mnt Data'!V420</f>
        <v>0</v>
      </c>
      <c r="AK417" s="31">
        <f>'mnt Data'!W420</f>
        <v>0</v>
      </c>
      <c r="AL417" s="31">
        <f>'mnt Data'!X420</f>
        <v>0</v>
      </c>
      <c r="AM417" s="31">
        <f>'mnt Data'!Y420</f>
        <v>0</v>
      </c>
      <c r="AN417" s="31">
        <f>'mnt Data'!Z420</f>
        <v>0</v>
      </c>
      <c r="AO417" s="31">
        <f>'mnt Data'!AA420</f>
        <v>0</v>
      </c>
      <c r="AP417" s="31">
        <f>'mnt Data'!AB420</f>
        <v>0</v>
      </c>
      <c r="AQ417" s="31">
        <f>'mnt Data'!AC420</f>
        <v>0</v>
      </c>
      <c r="AR417" s="31">
        <f>'mnt Data'!AD420</f>
        <v>0</v>
      </c>
      <c r="AS417" s="31">
        <f>'mnt Data'!AE420</f>
        <v>0</v>
      </c>
      <c r="AT417" s="31">
        <f>'mnt Data'!AF420</f>
        <v>0</v>
      </c>
      <c r="AU417" s="31">
        <f>'mnt Data'!AG420</f>
        <v>0</v>
      </c>
      <c r="AV417" s="31">
        <f>'mnt Data'!AH420</f>
        <v>0</v>
      </c>
      <c r="AW417" s="31">
        <f>'mnt Data'!AI420</f>
        <v>0</v>
      </c>
      <c r="AX417" s="31">
        <f>'mnt Data'!AJ420</f>
        <v>0</v>
      </c>
      <c r="AY417" s="31">
        <f>'mnt Data'!AK420</f>
        <v>0</v>
      </c>
    </row>
    <row r="418" spans="1:51" x14ac:dyDescent="0.25">
      <c r="A418">
        <v>417</v>
      </c>
      <c r="B418" s="32">
        <f t="shared" si="72"/>
        <v>0</v>
      </c>
      <c r="C418" s="32">
        <f t="shared" si="73"/>
        <v>0</v>
      </c>
      <c r="D418" s="32" t="str">
        <f t="shared" si="77"/>
        <v>No Gs</v>
      </c>
      <c r="E418" s="32">
        <f t="shared" si="81"/>
        <v>0</v>
      </c>
      <c r="F418" s="32" t="str">
        <f t="shared" si="82"/>
        <v>No Gs</v>
      </c>
      <c r="G418" s="32" t="str">
        <f t="shared" si="83"/>
        <v>No Gs</v>
      </c>
      <c r="H418" s="32" t="str">
        <f t="shared" si="74"/>
        <v>Gs is needed</v>
      </c>
      <c r="I418" s="32" t="str">
        <f t="shared" si="75"/>
        <v>Gs is needed</v>
      </c>
      <c r="J418" s="32" t="str">
        <f t="shared" si="76"/>
        <v>Gs is needed</v>
      </c>
      <c r="K418" s="32" t="str">
        <f t="shared" si="78"/>
        <v>Need Max and Min</v>
      </c>
      <c r="L418" s="32" t="str">
        <f t="shared" si="79"/>
        <v>Need Max and Min</v>
      </c>
      <c r="M418" s="32" t="str">
        <f t="shared" si="80"/>
        <v>Fail</v>
      </c>
      <c r="N418" s="32"/>
      <c r="O418" s="31">
        <f>'mnt Data'!A421</f>
        <v>0</v>
      </c>
      <c r="P418" s="31">
        <f>'mnt Data'!B421</f>
        <v>0</v>
      </c>
      <c r="Q418" s="31">
        <f>'mnt Data'!C421</f>
        <v>0</v>
      </c>
      <c r="R418" s="31">
        <f>'mnt Data'!D421</f>
        <v>0</v>
      </c>
      <c r="S418" s="31">
        <f>'mnt Data'!E421</f>
        <v>0</v>
      </c>
      <c r="T418" s="31">
        <f>'mnt Data'!F421</f>
        <v>0</v>
      </c>
      <c r="U418" s="31">
        <f>'mnt Data'!G421</f>
        <v>0</v>
      </c>
      <c r="V418" s="31">
        <f>'mnt Data'!H421</f>
        <v>0</v>
      </c>
      <c r="W418" s="31">
        <f>'mnt Data'!I421</f>
        <v>0</v>
      </c>
      <c r="X418" s="31">
        <f>'mnt Data'!J421</f>
        <v>0</v>
      </c>
      <c r="Y418" s="31">
        <f>'mnt Data'!K421</f>
        <v>0</v>
      </c>
      <c r="Z418" s="31">
        <f>'mnt Data'!L421</f>
        <v>0</v>
      </c>
      <c r="AA418" s="31">
        <f>'mnt Data'!M421</f>
        <v>0</v>
      </c>
      <c r="AB418" s="31">
        <f>'mnt Data'!N421</f>
        <v>0</v>
      </c>
      <c r="AC418" s="31">
        <f>'mnt Data'!O421</f>
        <v>0</v>
      </c>
      <c r="AD418" s="31">
        <f>'mnt Data'!P421</f>
        <v>0</v>
      </c>
      <c r="AE418" s="31">
        <f>'mnt Data'!Q421</f>
        <v>0</v>
      </c>
      <c r="AF418" s="31">
        <f>'mnt Data'!R421</f>
        <v>0</v>
      </c>
      <c r="AG418" s="31">
        <f>'mnt Data'!S421</f>
        <v>0</v>
      </c>
      <c r="AH418" s="31">
        <f>'mnt Data'!T421</f>
        <v>0</v>
      </c>
      <c r="AI418" s="31">
        <f>'mnt Data'!U421</f>
        <v>0</v>
      </c>
      <c r="AJ418" s="31">
        <f>'mnt Data'!V421</f>
        <v>0</v>
      </c>
      <c r="AK418" s="31">
        <f>'mnt Data'!W421</f>
        <v>0</v>
      </c>
      <c r="AL418" s="31">
        <f>'mnt Data'!X421</f>
        <v>0</v>
      </c>
      <c r="AM418" s="31">
        <f>'mnt Data'!Y421</f>
        <v>0</v>
      </c>
      <c r="AN418" s="31">
        <f>'mnt Data'!Z421</f>
        <v>0</v>
      </c>
      <c r="AO418" s="31">
        <f>'mnt Data'!AA421</f>
        <v>0</v>
      </c>
      <c r="AP418" s="31">
        <f>'mnt Data'!AB421</f>
        <v>0</v>
      </c>
      <c r="AQ418" s="31">
        <f>'mnt Data'!AC421</f>
        <v>0</v>
      </c>
      <c r="AR418" s="31">
        <f>'mnt Data'!AD421</f>
        <v>0</v>
      </c>
      <c r="AS418" s="31">
        <f>'mnt Data'!AE421</f>
        <v>0</v>
      </c>
      <c r="AT418" s="31">
        <f>'mnt Data'!AF421</f>
        <v>0</v>
      </c>
      <c r="AU418" s="31">
        <f>'mnt Data'!AG421</f>
        <v>0</v>
      </c>
      <c r="AV418" s="31">
        <f>'mnt Data'!AH421</f>
        <v>0</v>
      </c>
      <c r="AW418" s="31">
        <f>'mnt Data'!AI421</f>
        <v>0</v>
      </c>
      <c r="AX418" s="31">
        <f>'mnt Data'!AJ421</f>
        <v>0</v>
      </c>
      <c r="AY418" s="31">
        <f>'mnt Data'!AK421</f>
        <v>0</v>
      </c>
    </row>
    <row r="419" spans="1:51" x14ac:dyDescent="0.25">
      <c r="A419">
        <v>418</v>
      </c>
      <c r="B419" s="32">
        <f t="shared" si="72"/>
        <v>0</v>
      </c>
      <c r="C419" s="32">
        <f t="shared" si="73"/>
        <v>0</v>
      </c>
      <c r="D419" s="32" t="str">
        <f t="shared" si="77"/>
        <v>No Gs</v>
      </c>
      <c r="E419" s="32">
        <f t="shared" si="81"/>
        <v>0</v>
      </c>
      <c r="F419" s="32" t="str">
        <f t="shared" si="82"/>
        <v>No Gs</v>
      </c>
      <c r="G419" s="32" t="str">
        <f t="shared" si="83"/>
        <v>No Gs</v>
      </c>
      <c r="H419" s="32" t="str">
        <f t="shared" si="74"/>
        <v>Gs is needed</v>
      </c>
      <c r="I419" s="32" t="str">
        <f t="shared" si="75"/>
        <v>Gs is needed</v>
      </c>
      <c r="J419" s="32" t="str">
        <f t="shared" si="76"/>
        <v>Gs is needed</v>
      </c>
      <c r="K419" s="32" t="str">
        <f t="shared" si="78"/>
        <v>Need Max and Min</v>
      </c>
      <c r="L419" s="32" t="str">
        <f t="shared" si="79"/>
        <v>Need Max and Min</v>
      </c>
      <c r="M419" s="32" t="str">
        <f t="shared" si="80"/>
        <v>Fail</v>
      </c>
      <c r="N419" s="32"/>
      <c r="O419" s="31">
        <f>'mnt Data'!A422</f>
        <v>0</v>
      </c>
      <c r="P419" s="31">
        <f>'mnt Data'!B422</f>
        <v>0</v>
      </c>
      <c r="Q419" s="31">
        <f>'mnt Data'!C422</f>
        <v>0</v>
      </c>
      <c r="R419" s="31">
        <f>'mnt Data'!D422</f>
        <v>0</v>
      </c>
      <c r="S419" s="31">
        <f>'mnt Data'!E422</f>
        <v>0</v>
      </c>
      <c r="T419" s="31">
        <f>'mnt Data'!F422</f>
        <v>0</v>
      </c>
      <c r="U419" s="31">
        <f>'mnt Data'!G422</f>
        <v>0</v>
      </c>
      <c r="V419" s="31">
        <f>'mnt Data'!H422</f>
        <v>0</v>
      </c>
      <c r="W419" s="31">
        <f>'mnt Data'!I422</f>
        <v>0</v>
      </c>
      <c r="X419" s="31">
        <f>'mnt Data'!J422</f>
        <v>0</v>
      </c>
      <c r="Y419" s="31">
        <f>'mnt Data'!K422</f>
        <v>0</v>
      </c>
      <c r="Z419" s="31">
        <f>'mnt Data'!L422</f>
        <v>0</v>
      </c>
      <c r="AA419" s="31">
        <f>'mnt Data'!M422</f>
        <v>0</v>
      </c>
      <c r="AB419" s="31">
        <f>'mnt Data'!N422</f>
        <v>0</v>
      </c>
      <c r="AC419" s="31">
        <f>'mnt Data'!O422</f>
        <v>0</v>
      </c>
      <c r="AD419" s="31">
        <f>'mnt Data'!P422</f>
        <v>0</v>
      </c>
      <c r="AE419" s="31">
        <f>'mnt Data'!Q422</f>
        <v>0</v>
      </c>
      <c r="AF419" s="31">
        <f>'mnt Data'!R422</f>
        <v>0</v>
      </c>
      <c r="AG419" s="31">
        <f>'mnt Data'!S422</f>
        <v>0</v>
      </c>
      <c r="AH419" s="31">
        <f>'mnt Data'!T422</f>
        <v>0</v>
      </c>
      <c r="AI419" s="31">
        <f>'mnt Data'!U422</f>
        <v>0</v>
      </c>
      <c r="AJ419" s="31">
        <f>'mnt Data'!V422</f>
        <v>0</v>
      </c>
      <c r="AK419" s="31">
        <f>'mnt Data'!W422</f>
        <v>0</v>
      </c>
      <c r="AL419" s="31">
        <f>'mnt Data'!X422</f>
        <v>0</v>
      </c>
      <c r="AM419" s="31">
        <f>'mnt Data'!Y422</f>
        <v>0</v>
      </c>
      <c r="AN419" s="31">
        <f>'mnt Data'!Z422</f>
        <v>0</v>
      </c>
      <c r="AO419" s="31">
        <f>'mnt Data'!AA422</f>
        <v>0</v>
      </c>
      <c r="AP419" s="31">
        <f>'mnt Data'!AB422</f>
        <v>0</v>
      </c>
      <c r="AQ419" s="31">
        <f>'mnt Data'!AC422</f>
        <v>0</v>
      </c>
      <c r="AR419" s="31">
        <f>'mnt Data'!AD422</f>
        <v>0</v>
      </c>
      <c r="AS419" s="31">
        <f>'mnt Data'!AE422</f>
        <v>0</v>
      </c>
      <c r="AT419" s="31">
        <f>'mnt Data'!AF422</f>
        <v>0</v>
      </c>
      <c r="AU419" s="31">
        <f>'mnt Data'!AG422</f>
        <v>0</v>
      </c>
      <c r="AV419" s="31">
        <f>'mnt Data'!AH422</f>
        <v>0</v>
      </c>
      <c r="AW419" s="31">
        <f>'mnt Data'!AI422</f>
        <v>0</v>
      </c>
      <c r="AX419" s="31">
        <f>'mnt Data'!AJ422</f>
        <v>0</v>
      </c>
      <c r="AY419" s="31">
        <f>'mnt Data'!AK422</f>
        <v>0</v>
      </c>
    </row>
    <row r="420" spans="1:51" x14ac:dyDescent="0.25">
      <c r="A420">
        <v>419</v>
      </c>
      <c r="B420" s="32">
        <f t="shared" si="72"/>
        <v>0</v>
      </c>
      <c r="C420" s="32">
        <f t="shared" si="73"/>
        <v>0</v>
      </c>
      <c r="D420" s="32" t="str">
        <f t="shared" si="77"/>
        <v>No Gs</v>
      </c>
      <c r="E420" s="32">
        <f t="shared" si="81"/>
        <v>0</v>
      </c>
      <c r="F420" s="32" t="str">
        <f t="shared" si="82"/>
        <v>No Gs</v>
      </c>
      <c r="G420" s="32" t="str">
        <f t="shared" si="83"/>
        <v>No Gs</v>
      </c>
      <c r="H420" s="32" t="str">
        <f t="shared" si="74"/>
        <v>Gs is needed</v>
      </c>
      <c r="I420" s="32" t="str">
        <f t="shared" si="75"/>
        <v>Gs is needed</v>
      </c>
      <c r="J420" s="32" t="str">
        <f t="shared" si="76"/>
        <v>Gs is needed</v>
      </c>
      <c r="K420" s="32" t="str">
        <f t="shared" si="78"/>
        <v>Need Max and Min</v>
      </c>
      <c r="L420" s="32" t="str">
        <f t="shared" si="79"/>
        <v>Need Max and Min</v>
      </c>
      <c r="M420" s="32" t="str">
        <f t="shared" si="80"/>
        <v>Fail</v>
      </c>
      <c r="N420" s="32"/>
      <c r="O420" s="31">
        <f>'mnt Data'!A423</f>
        <v>0</v>
      </c>
      <c r="P420" s="31">
        <f>'mnt Data'!B423</f>
        <v>0</v>
      </c>
      <c r="Q420" s="31">
        <f>'mnt Data'!C423</f>
        <v>0</v>
      </c>
      <c r="R420" s="31">
        <f>'mnt Data'!D423</f>
        <v>0</v>
      </c>
      <c r="S420" s="31">
        <f>'mnt Data'!E423</f>
        <v>0</v>
      </c>
      <c r="T420" s="31">
        <f>'mnt Data'!F423</f>
        <v>0</v>
      </c>
      <c r="U420" s="31">
        <f>'mnt Data'!G423</f>
        <v>0</v>
      </c>
      <c r="V420" s="31">
        <f>'mnt Data'!H423</f>
        <v>0</v>
      </c>
      <c r="W420" s="31">
        <f>'mnt Data'!I423</f>
        <v>0</v>
      </c>
      <c r="X420" s="31">
        <f>'mnt Data'!J423</f>
        <v>0</v>
      </c>
      <c r="Y420" s="31">
        <f>'mnt Data'!K423</f>
        <v>0</v>
      </c>
      <c r="Z420" s="31">
        <f>'mnt Data'!L423</f>
        <v>0</v>
      </c>
      <c r="AA420" s="31">
        <f>'mnt Data'!M423</f>
        <v>0</v>
      </c>
      <c r="AB420" s="31">
        <f>'mnt Data'!N423</f>
        <v>0</v>
      </c>
      <c r="AC420" s="31">
        <f>'mnt Data'!O423</f>
        <v>0</v>
      </c>
      <c r="AD420" s="31">
        <f>'mnt Data'!P423</f>
        <v>0</v>
      </c>
      <c r="AE420" s="31">
        <f>'mnt Data'!Q423</f>
        <v>0</v>
      </c>
      <c r="AF420" s="31">
        <f>'mnt Data'!R423</f>
        <v>0</v>
      </c>
      <c r="AG420" s="31">
        <f>'mnt Data'!S423</f>
        <v>0</v>
      </c>
      <c r="AH420" s="31">
        <f>'mnt Data'!T423</f>
        <v>0</v>
      </c>
      <c r="AI420" s="31">
        <f>'mnt Data'!U423</f>
        <v>0</v>
      </c>
      <c r="AJ420" s="31">
        <f>'mnt Data'!V423</f>
        <v>0</v>
      </c>
      <c r="AK420" s="31">
        <f>'mnt Data'!W423</f>
        <v>0</v>
      </c>
      <c r="AL420" s="31">
        <f>'mnt Data'!X423</f>
        <v>0</v>
      </c>
      <c r="AM420" s="31">
        <f>'mnt Data'!Y423</f>
        <v>0</v>
      </c>
      <c r="AN420" s="31">
        <f>'mnt Data'!Z423</f>
        <v>0</v>
      </c>
      <c r="AO420" s="31">
        <f>'mnt Data'!AA423</f>
        <v>0</v>
      </c>
      <c r="AP420" s="31">
        <f>'mnt Data'!AB423</f>
        <v>0</v>
      </c>
      <c r="AQ420" s="31">
        <f>'mnt Data'!AC423</f>
        <v>0</v>
      </c>
      <c r="AR420" s="31">
        <f>'mnt Data'!AD423</f>
        <v>0</v>
      </c>
      <c r="AS420" s="31">
        <f>'mnt Data'!AE423</f>
        <v>0</v>
      </c>
      <c r="AT420" s="31">
        <f>'mnt Data'!AF423</f>
        <v>0</v>
      </c>
      <c r="AU420" s="31">
        <f>'mnt Data'!AG423</f>
        <v>0</v>
      </c>
      <c r="AV420" s="31">
        <f>'mnt Data'!AH423</f>
        <v>0</v>
      </c>
      <c r="AW420" s="31">
        <f>'mnt Data'!AI423</f>
        <v>0</v>
      </c>
      <c r="AX420" s="31">
        <f>'mnt Data'!AJ423</f>
        <v>0</v>
      </c>
      <c r="AY420" s="31">
        <f>'mnt Data'!AK423</f>
        <v>0</v>
      </c>
    </row>
    <row r="421" spans="1:51" x14ac:dyDescent="0.25">
      <c r="A421">
        <v>420</v>
      </c>
      <c r="B421" s="32">
        <f t="shared" si="72"/>
        <v>0</v>
      </c>
      <c r="C421" s="32">
        <f t="shared" si="73"/>
        <v>0</v>
      </c>
      <c r="D421" s="32" t="str">
        <f t="shared" si="77"/>
        <v>No Gs</v>
      </c>
      <c r="E421" s="32">
        <f t="shared" si="81"/>
        <v>0</v>
      </c>
      <c r="F421" s="32" t="str">
        <f t="shared" si="82"/>
        <v>No Gs</v>
      </c>
      <c r="G421" s="32" t="str">
        <f t="shared" si="83"/>
        <v>No Gs</v>
      </c>
      <c r="H421" s="32" t="str">
        <f t="shared" si="74"/>
        <v>Gs is needed</v>
      </c>
      <c r="I421" s="32" t="str">
        <f t="shared" si="75"/>
        <v>Gs is needed</v>
      </c>
      <c r="J421" s="32" t="str">
        <f t="shared" si="76"/>
        <v>Gs is needed</v>
      </c>
      <c r="K421" s="32" t="str">
        <f t="shared" si="78"/>
        <v>Need Max and Min</v>
      </c>
      <c r="L421" s="32" t="str">
        <f t="shared" si="79"/>
        <v>Need Max and Min</v>
      </c>
      <c r="M421" s="32" t="str">
        <f t="shared" si="80"/>
        <v>Fail</v>
      </c>
      <c r="N421" s="32"/>
      <c r="O421" s="31">
        <f>'mnt Data'!A424</f>
        <v>0</v>
      </c>
      <c r="P421" s="31">
        <f>'mnt Data'!B424</f>
        <v>0</v>
      </c>
      <c r="Q421" s="31">
        <f>'mnt Data'!C424</f>
        <v>0</v>
      </c>
      <c r="R421" s="31">
        <f>'mnt Data'!D424</f>
        <v>0</v>
      </c>
      <c r="S421" s="31">
        <f>'mnt Data'!E424</f>
        <v>0</v>
      </c>
      <c r="T421" s="31">
        <f>'mnt Data'!F424</f>
        <v>0</v>
      </c>
      <c r="U421" s="31">
        <f>'mnt Data'!G424</f>
        <v>0</v>
      </c>
      <c r="V421" s="31">
        <f>'mnt Data'!H424</f>
        <v>0</v>
      </c>
      <c r="W421" s="31">
        <f>'mnt Data'!I424</f>
        <v>0</v>
      </c>
      <c r="X421" s="31">
        <f>'mnt Data'!J424</f>
        <v>0</v>
      </c>
      <c r="Y421" s="31">
        <f>'mnt Data'!K424</f>
        <v>0</v>
      </c>
      <c r="Z421" s="31">
        <f>'mnt Data'!L424</f>
        <v>0</v>
      </c>
      <c r="AA421" s="31">
        <f>'mnt Data'!M424</f>
        <v>0</v>
      </c>
      <c r="AB421" s="31">
        <f>'mnt Data'!N424</f>
        <v>0</v>
      </c>
      <c r="AC421" s="31">
        <f>'mnt Data'!O424</f>
        <v>0</v>
      </c>
      <c r="AD421" s="31">
        <f>'mnt Data'!P424</f>
        <v>0</v>
      </c>
      <c r="AE421" s="31">
        <f>'mnt Data'!Q424</f>
        <v>0</v>
      </c>
      <c r="AF421" s="31">
        <f>'mnt Data'!R424</f>
        <v>0</v>
      </c>
      <c r="AG421" s="31">
        <f>'mnt Data'!S424</f>
        <v>0</v>
      </c>
      <c r="AH421" s="31">
        <f>'mnt Data'!T424</f>
        <v>0</v>
      </c>
      <c r="AI421" s="31">
        <f>'mnt Data'!U424</f>
        <v>0</v>
      </c>
      <c r="AJ421" s="31">
        <f>'mnt Data'!V424</f>
        <v>0</v>
      </c>
      <c r="AK421" s="31">
        <f>'mnt Data'!W424</f>
        <v>0</v>
      </c>
      <c r="AL421" s="31">
        <f>'mnt Data'!X424</f>
        <v>0</v>
      </c>
      <c r="AM421" s="31">
        <f>'mnt Data'!Y424</f>
        <v>0</v>
      </c>
      <c r="AN421" s="31">
        <f>'mnt Data'!Z424</f>
        <v>0</v>
      </c>
      <c r="AO421" s="31">
        <f>'mnt Data'!AA424</f>
        <v>0</v>
      </c>
      <c r="AP421" s="31">
        <f>'mnt Data'!AB424</f>
        <v>0</v>
      </c>
      <c r="AQ421" s="31">
        <f>'mnt Data'!AC424</f>
        <v>0</v>
      </c>
      <c r="AR421" s="31">
        <f>'mnt Data'!AD424</f>
        <v>0</v>
      </c>
      <c r="AS421" s="31">
        <f>'mnt Data'!AE424</f>
        <v>0</v>
      </c>
      <c r="AT421" s="31">
        <f>'mnt Data'!AF424</f>
        <v>0</v>
      </c>
      <c r="AU421" s="31">
        <f>'mnt Data'!AG424</f>
        <v>0</v>
      </c>
      <c r="AV421" s="31">
        <f>'mnt Data'!AH424</f>
        <v>0</v>
      </c>
      <c r="AW421" s="31">
        <f>'mnt Data'!AI424</f>
        <v>0</v>
      </c>
      <c r="AX421" s="31">
        <f>'mnt Data'!AJ424</f>
        <v>0</v>
      </c>
      <c r="AY421" s="31">
        <f>'mnt Data'!AK424</f>
        <v>0</v>
      </c>
    </row>
    <row r="422" spans="1:51" x14ac:dyDescent="0.25">
      <c r="A422">
        <v>421</v>
      </c>
      <c r="B422" s="32">
        <f t="shared" si="72"/>
        <v>0</v>
      </c>
      <c r="C422" s="32">
        <f t="shared" si="73"/>
        <v>0</v>
      </c>
      <c r="D422" s="32" t="str">
        <f t="shared" si="77"/>
        <v>No Gs</v>
      </c>
      <c r="E422" s="32">
        <f t="shared" si="81"/>
        <v>0</v>
      </c>
      <c r="F422" s="32" t="str">
        <f t="shared" si="82"/>
        <v>No Gs</v>
      </c>
      <c r="G422" s="32" t="str">
        <f t="shared" si="83"/>
        <v>No Gs</v>
      </c>
      <c r="H422" s="32" t="str">
        <f t="shared" si="74"/>
        <v>Gs is needed</v>
      </c>
      <c r="I422" s="32" t="str">
        <f t="shared" si="75"/>
        <v>Gs is needed</v>
      </c>
      <c r="J422" s="32" t="str">
        <f t="shared" si="76"/>
        <v>Gs is needed</v>
      </c>
      <c r="K422" s="32" t="str">
        <f t="shared" si="78"/>
        <v>Need Max and Min</v>
      </c>
      <c r="L422" s="32" t="str">
        <f t="shared" si="79"/>
        <v>Need Max and Min</v>
      </c>
      <c r="M422" s="32" t="str">
        <f t="shared" si="80"/>
        <v>Fail</v>
      </c>
      <c r="N422" s="32"/>
      <c r="O422" s="31">
        <f>'mnt Data'!A425</f>
        <v>0</v>
      </c>
      <c r="P422" s="31">
        <f>'mnt Data'!B425</f>
        <v>0</v>
      </c>
      <c r="Q422" s="31">
        <f>'mnt Data'!C425</f>
        <v>0</v>
      </c>
      <c r="R422" s="31">
        <f>'mnt Data'!D425</f>
        <v>0</v>
      </c>
      <c r="S422" s="31">
        <f>'mnt Data'!E425</f>
        <v>0</v>
      </c>
      <c r="T422" s="31">
        <f>'mnt Data'!F425</f>
        <v>0</v>
      </c>
      <c r="U422" s="31">
        <f>'mnt Data'!G425</f>
        <v>0</v>
      </c>
      <c r="V422" s="31">
        <f>'mnt Data'!H425</f>
        <v>0</v>
      </c>
      <c r="W422" s="31">
        <f>'mnt Data'!I425</f>
        <v>0</v>
      </c>
      <c r="X422" s="31">
        <f>'mnt Data'!J425</f>
        <v>0</v>
      </c>
      <c r="Y422" s="31">
        <f>'mnt Data'!K425</f>
        <v>0</v>
      </c>
      <c r="Z422" s="31">
        <f>'mnt Data'!L425</f>
        <v>0</v>
      </c>
      <c r="AA422" s="31">
        <f>'mnt Data'!M425</f>
        <v>0</v>
      </c>
      <c r="AB422" s="31">
        <f>'mnt Data'!N425</f>
        <v>0</v>
      </c>
      <c r="AC422" s="31">
        <f>'mnt Data'!O425</f>
        <v>0</v>
      </c>
      <c r="AD422" s="31">
        <f>'mnt Data'!P425</f>
        <v>0</v>
      </c>
      <c r="AE422" s="31">
        <f>'mnt Data'!Q425</f>
        <v>0</v>
      </c>
      <c r="AF422" s="31">
        <f>'mnt Data'!R425</f>
        <v>0</v>
      </c>
      <c r="AG422" s="31">
        <f>'mnt Data'!S425</f>
        <v>0</v>
      </c>
      <c r="AH422" s="31">
        <f>'mnt Data'!T425</f>
        <v>0</v>
      </c>
      <c r="AI422" s="31">
        <f>'mnt Data'!U425</f>
        <v>0</v>
      </c>
      <c r="AJ422" s="31">
        <f>'mnt Data'!V425</f>
        <v>0</v>
      </c>
      <c r="AK422" s="31">
        <f>'mnt Data'!W425</f>
        <v>0</v>
      </c>
      <c r="AL422" s="31">
        <f>'mnt Data'!X425</f>
        <v>0</v>
      </c>
      <c r="AM422" s="31">
        <f>'mnt Data'!Y425</f>
        <v>0</v>
      </c>
      <c r="AN422" s="31">
        <f>'mnt Data'!Z425</f>
        <v>0</v>
      </c>
      <c r="AO422" s="31">
        <f>'mnt Data'!AA425</f>
        <v>0</v>
      </c>
      <c r="AP422" s="31">
        <f>'mnt Data'!AB425</f>
        <v>0</v>
      </c>
      <c r="AQ422" s="31">
        <f>'mnt Data'!AC425</f>
        <v>0</v>
      </c>
      <c r="AR422" s="31">
        <f>'mnt Data'!AD425</f>
        <v>0</v>
      </c>
      <c r="AS422" s="31">
        <f>'mnt Data'!AE425</f>
        <v>0</v>
      </c>
      <c r="AT422" s="31">
        <f>'mnt Data'!AF425</f>
        <v>0</v>
      </c>
      <c r="AU422" s="31">
        <f>'mnt Data'!AG425</f>
        <v>0</v>
      </c>
      <c r="AV422" s="31">
        <f>'mnt Data'!AH425</f>
        <v>0</v>
      </c>
      <c r="AW422" s="31">
        <f>'mnt Data'!AI425</f>
        <v>0</v>
      </c>
      <c r="AX422" s="31">
        <f>'mnt Data'!AJ425</f>
        <v>0</v>
      </c>
      <c r="AY422" s="31">
        <f>'mnt Data'!AK425</f>
        <v>0</v>
      </c>
    </row>
    <row r="423" spans="1:51" x14ac:dyDescent="0.25">
      <c r="A423">
        <v>422</v>
      </c>
      <c r="B423" s="32">
        <f t="shared" si="72"/>
        <v>0</v>
      </c>
      <c r="C423" s="32">
        <f t="shared" si="73"/>
        <v>0</v>
      </c>
      <c r="D423" s="32" t="str">
        <f t="shared" si="77"/>
        <v>No Gs</v>
      </c>
      <c r="E423" s="32">
        <f t="shared" si="81"/>
        <v>0</v>
      </c>
      <c r="F423" s="32" t="str">
        <f t="shared" si="82"/>
        <v>No Gs</v>
      </c>
      <c r="G423" s="32" t="str">
        <f t="shared" si="83"/>
        <v>No Gs</v>
      </c>
      <c r="H423" s="32" t="str">
        <f t="shared" si="74"/>
        <v>Gs is needed</v>
      </c>
      <c r="I423" s="32" t="str">
        <f t="shared" si="75"/>
        <v>Gs is needed</v>
      </c>
      <c r="J423" s="32" t="str">
        <f t="shared" si="76"/>
        <v>Gs is needed</v>
      </c>
      <c r="K423" s="32" t="str">
        <f t="shared" si="78"/>
        <v>Need Max and Min</v>
      </c>
      <c r="L423" s="32" t="str">
        <f t="shared" si="79"/>
        <v>Need Max and Min</v>
      </c>
      <c r="M423" s="32" t="str">
        <f t="shared" si="80"/>
        <v>Fail</v>
      </c>
      <c r="N423" s="32"/>
      <c r="O423" s="31">
        <f>'mnt Data'!A426</f>
        <v>0</v>
      </c>
      <c r="P423" s="31">
        <f>'mnt Data'!B426</f>
        <v>0</v>
      </c>
      <c r="Q423" s="31">
        <f>'mnt Data'!C426</f>
        <v>0</v>
      </c>
      <c r="R423" s="31">
        <f>'mnt Data'!D426</f>
        <v>0</v>
      </c>
      <c r="S423" s="31">
        <f>'mnt Data'!E426</f>
        <v>0</v>
      </c>
      <c r="T423" s="31">
        <f>'mnt Data'!F426</f>
        <v>0</v>
      </c>
      <c r="U423" s="31">
        <f>'mnt Data'!G426</f>
        <v>0</v>
      </c>
      <c r="V423" s="31">
        <f>'mnt Data'!H426</f>
        <v>0</v>
      </c>
      <c r="W423" s="31">
        <f>'mnt Data'!I426</f>
        <v>0</v>
      </c>
      <c r="X423" s="31">
        <f>'mnt Data'!J426</f>
        <v>0</v>
      </c>
      <c r="Y423" s="31">
        <f>'mnt Data'!K426</f>
        <v>0</v>
      </c>
      <c r="Z423" s="31">
        <f>'mnt Data'!L426</f>
        <v>0</v>
      </c>
      <c r="AA423" s="31">
        <f>'mnt Data'!M426</f>
        <v>0</v>
      </c>
      <c r="AB423" s="31">
        <f>'mnt Data'!N426</f>
        <v>0</v>
      </c>
      <c r="AC423" s="31">
        <f>'mnt Data'!O426</f>
        <v>0</v>
      </c>
      <c r="AD423" s="31">
        <f>'mnt Data'!P426</f>
        <v>0</v>
      </c>
      <c r="AE423" s="31">
        <f>'mnt Data'!Q426</f>
        <v>0</v>
      </c>
      <c r="AF423" s="31">
        <f>'mnt Data'!R426</f>
        <v>0</v>
      </c>
      <c r="AG423" s="31">
        <f>'mnt Data'!S426</f>
        <v>0</v>
      </c>
      <c r="AH423" s="31">
        <f>'mnt Data'!T426</f>
        <v>0</v>
      </c>
      <c r="AI423" s="31">
        <f>'mnt Data'!U426</f>
        <v>0</v>
      </c>
      <c r="AJ423" s="31">
        <f>'mnt Data'!V426</f>
        <v>0</v>
      </c>
      <c r="AK423" s="31">
        <f>'mnt Data'!W426</f>
        <v>0</v>
      </c>
      <c r="AL423" s="31">
        <f>'mnt Data'!X426</f>
        <v>0</v>
      </c>
      <c r="AM423" s="31">
        <f>'mnt Data'!Y426</f>
        <v>0</v>
      </c>
      <c r="AN423" s="31">
        <f>'mnt Data'!Z426</f>
        <v>0</v>
      </c>
      <c r="AO423" s="31">
        <f>'mnt Data'!AA426</f>
        <v>0</v>
      </c>
      <c r="AP423" s="31">
        <f>'mnt Data'!AB426</f>
        <v>0</v>
      </c>
      <c r="AQ423" s="31">
        <f>'mnt Data'!AC426</f>
        <v>0</v>
      </c>
      <c r="AR423" s="31">
        <f>'mnt Data'!AD426</f>
        <v>0</v>
      </c>
      <c r="AS423" s="31">
        <f>'mnt Data'!AE426</f>
        <v>0</v>
      </c>
      <c r="AT423" s="31">
        <f>'mnt Data'!AF426</f>
        <v>0</v>
      </c>
      <c r="AU423" s="31">
        <f>'mnt Data'!AG426</f>
        <v>0</v>
      </c>
      <c r="AV423" s="31">
        <f>'mnt Data'!AH426</f>
        <v>0</v>
      </c>
      <c r="AW423" s="31">
        <f>'mnt Data'!AI426</f>
        <v>0</v>
      </c>
      <c r="AX423" s="31">
        <f>'mnt Data'!AJ426</f>
        <v>0</v>
      </c>
      <c r="AY423" s="31">
        <f>'mnt Data'!AK426</f>
        <v>0</v>
      </c>
    </row>
    <row r="424" spans="1:51" x14ac:dyDescent="0.25">
      <c r="A424">
        <v>423</v>
      </c>
      <c r="B424" s="32">
        <f t="shared" si="72"/>
        <v>0</v>
      </c>
      <c r="C424" s="32">
        <f t="shared" si="73"/>
        <v>0</v>
      </c>
      <c r="D424" s="32" t="str">
        <f t="shared" si="77"/>
        <v>No Gs</v>
      </c>
      <c r="E424" s="32">
        <f t="shared" si="81"/>
        <v>0</v>
      </c>
      <c r="F424" s="32" t="str">
        <f t="shared" si="82"/>
        <v>No Gs</v>
      </c>
      <c r="G424" s="32" t="str">
        <f t="shared" si="83"/>
        <v>No Gs</v>
      </c>
      <c r="H424" s="32" t="str">
        <f t="shared" si="74"/>
        <v>Gs is needed</v>
      </c>
      <c r="I424" s="32" t="str">
        <f t="shared" si="75"/>
        <v>Gs is needed</v>
      </c>
      <c r="J424" s="32" t="str">
        <f t="shared" si="76"/>
        <v>Gs is needed</v>
      </c>
      <c r="K424" s="32" t="str">
        <f t="shared" si="78"/>
        <v>Need Max and Min</v>
      </c>
      <c r="L424" s="32" t="str">
        <f t="shared" si="79"/>
        <v>Need Max and Min</v>
      </c>
      <c r="M424" s="32" t="str">
        <f t="shared" si="80"/>
        <v>Fail</v>
      </c>
      <c r="N424" s="32"/>
      <c r="O424" s="31">
        <f>'mnt Data'!A427</f>
        <v>0</v>
      </c>
      <c r="P424" s="31">
        <f>'mnt Data'!B427</f>
        <v>0</v>
      </c>
      <c r="Q424" s="31">
        <f>'mnt Data'!C427</f>
        <v>0</v>
      </c>
      <c r="R424" s="31">
        <f>'mnt Data'!D427</f>
        <v>0</v>
      </c>
      <c r="S424" s="31">
        <f>'mnt Data'!E427</f>
        <v>0</v>
      </c>
      <c r="T424" s="31">
        <f>'mnt Data'!F427</f>
        <v>0</v>
      </c>
      <c r="U424" s="31">
        <f>'mnt Data'!G427</f>
        <v>0</v>
      </c>
      <c r="V424" s="31">
        <f>'mnt Data'!H427</f>
        <v>0</v>
      </c>
      <c r="W424" s="31">
        <f>'mnt Data'!I427</f>
        <v>0</v>
      </c>
      <c r="X424" s="31">
        <f>'mnt Data'!J427</f>
        <v>0</v>
      </c>
      <c r="Y424" s="31">
        <f>'mnt Data'!K427</f>
        <v>0</v>
      </c>
      <c r="Z424" s="31">
        <f>'mnt Data'!L427</f>
        <v>0</v>
      </c>
      <c r="AA424" s="31">
        <f>'mnt Data'!M427</f>
        <v>0</v>
      </c>
      <c r="AB424" s="31">
        <f>'mnt Data'!N427</f>
        <v>0</v>
      </c>
      <c r="AC424" s="31">
        <f>'mnt Data'!O427</f>
        <v>0</v>
      </c>
      <c r="AD424" s="31">
        <f>'mnt Data'!P427</f>
        <v>0</v>
      </c>
      <c r="AE424" s="31">
        <f>'mnt Data'!Q427</f>
        <v>0</v>
      </c>
      <c r="AF424" s="31">
        <f>'mnt Data'!R427</f>
        <v>0</v>
      </c>
      <c r="AG424" s="31">
        <f>'mnt Data'!S427</f>
        <v>0</v>
      </c>
      <c r="AH424" s="31">
        <f>'mnt Data'!T427</f>
        <v>0</v>
      </c>
      <c r="AI424" s="31">
        <f>'mnt Data'!U427</f>
        <v>0</v>
      </c>
      <c r="AJ424" s="31">
        <f>'mnt Data'!V427</f>
        <v>0</v>
      </c>
      <c r="AK424" s="31">
        <f>'mnt Data'!W427</f>
        <v>0</v>
      </c>
      <c r="AL424" s="31">
        <f>'mnt Data'!X427</f>
        <v>0</v>
      </c>
      <c r="AM424" s="31">
        <f>'mnt Data'!Y427</f>
        <v>0</v>
      </c>
      <c r="AN424" s="31">
        <f>'mnt Data'!Z427</f>
        <v>0</v>
      </c>
      <c r="AO424" s="31">
        <f>'mnt Data'!AA427</f>
        <v>0</v>
      </c>
      <c r="AP424" s="31">
        <f>'mnt Data'!AB427</f>
        <v>0</v>
      </c>
      <c r="AQ424" s="31">
        <f>'mnt Data'!AC427</f>
        <v>0</v>
      </c>
      <c r="AR424" s="31">
        <f>'mnt Data'!AD427</f>
        <v>0</v>
      </c>
      <c r="AS424" s="31">
        <f>'mnt Data'!AE427</f>
        <v>0</v>
      </c>
      <c r="AT424" s="31">
        <f>'mnt Data'!AF427</f>
        <v>0</v>
      </c>
      <c r="AU424" s="31">
        <f>'mnt Data'!AG427</f>
        <v>0</v>
      </c>
      <c r="AV424" s="31">
        <f>'mnt Data'!AH427</f>
        <v>0</v>
      </c>
      <c r="AW424" s="31">
        <f>'mnt Data'!AI427</f>
        <v>0</v>
      </c>
      <c r="AX424" s="31">
        <f>'mnt Data'!AJ427</f>
        <v>0</v>
      </c>
      <c r="AY424" s="31">
        <f>'mnt Data'!AK427</f>
        <v>0</v>
      </c>
    </row>
    <row r="425" spans="1:51" x14ac:dyDescent="0.25">
      <c r="A425">
        <v>424</v>
      </c>
      <c r="B425" s="32">
        <f t="shared" ref="B425:B488" si="84">O425</f>
        <v>0</v>
      </c>
      <c r="C425" s="32">
        <f t="shared" ref="C425:C488" si="85">O425*(Q425/100)</f>
        <v>0</v>
      </c>
      <c r="D425" s="32" t="str">
        <f t="shared" si="77"/>
        <v>No Gs</v>
      </c>
      <c r="E425" s="32">
        <f t="shared" si="81"/>
        <v>0</v>
      </c>
      <c r="F425" s="32" t="str">
        <f t="shared" si="82"/>
        <v>No Gs</v>
      </c>
      <c r="G425" s="32" t="str">
        <f t="shared" si="83"/>
        <v>No Gs</v>
      </c>
      <c r="H425" s="32" t="str">
        <f t="shared" ref="H425:H488" si="86">IFERROR(E425/G425,"Gs is needed")</f>
        <v>Gs is needed</v>
      </c>
      <c r="I425" s="32" t="str">
        <f t="shared" ref="I425:I488" si="87">IFERROR(G425/1,"Gs is needed")</f>
        <v>Gs is needed</v>
      </c>
      <c r="J425" s="32" t="str">
        <f t="shared" ref="J425:J488" si="88">IFERROR(G425/D425,"Gs is needed")</f>
        <v>Gs is needed</v>
      </c>
      <c r="K425" s="32" t="str">
        <f t="shared" si="78"/>
        <v>Need Max and Min</v>
      </c>
      <c r="L425" s="32" t="str">
        <f t="shared" si="79"/>
        <v>Need Max and Min</v>
      </c>
      <c r="M425" s="32" t="str">
        <f t="shared" si="80"/>
        <v>Fail</v>
      </c>
      <c r="N425" s="32"/>
      <c r="O425" s="31">
        <f>'mnt Data'!A428</f>
        <v>0</v>
      </c>
      <c r="P425" s="31">
        <f>'mnt Data'!B428</f>
        <v>0</v>
      </c>
      <c r="Q425" s="31">
        <f>'mnt Data'!C428</f>
        <v>0</v>
      </c>
      <c r="R425" s="31">
        <f>'mnt Data'!D428</f>
        <v>0</v>
      </c>
      <c r="S425" s="31">
        <f>'mnt Data'!E428</f>
        <v>0</v>
      </c>
      <c r="T425" s="31">
        <f>'mnt Data'!F428</f>
        <v>0</v>
      </c>
      <c r="U425" s="31">
        <f>'mnt Data'!G428</f>
        <v>0</v>
      </c>
      <c r="V425" s="31">
        <f>'mnt Data'!H428</f>
        <v>0</v>
      </c>
      <c r="W425" s="31">
        <f>'mnt Data'!I428</f>
        <v>0</v>
      </c>
      <c r="X425" s="31">
        <f>'mnt Data'!J428</f>
        <v>0</v>
      </c>
      <c r="Y425" s="31">
        <f>'mnt Data'!K428</f>
        <v>0</v>
      </c>
      <c r="Z425" s="31">
        <f>'mnt Data'!L428</f>
        <v>0</v>
      </c>
      <c r="AA425" s="31">
        <f>'mnt Data'!M428</f>
        <v>0</v>
      </c>
      <c r="AB425" s="31">
        <f>'mnt Data'!N428</f>
        <v>0</v>
      </c>
      <c r="AC425" s="31">
        <f>'mnt Data'!O428</f>
        <v>0</v>
      </c>
      <c r="AD425" s="31">
        <f>'mnt Data'!P428</f>
        <v>0</v>
      </c>
      <c r="AE425" s="31">
        <f>'mnt Data'!Q428</f>
        <v>0</v>
      </c>
      <c r="AF425" s="31">
        <f>'mnt Data'!R428</f>
        <v>0</v>
      </c>
      <c r="AG425" s="31">
        <f>'mnt Data'!S428</f>
        <v>0</v>
      </c>
      <c r="AH425" s="31">
        <f>'mnt Data'!T428</f>
        <v>0</v>
      </c>
      <c r="AI425" s="31">
        <f>'mnt Data'!U428</f>
        <v>0</v>
      </c>
      <c r="AJ425" s="31">
        <f>'mnt Data'!V428</f>
        <v>0</v>
      </c>
      <c r="AK425" s="31">
        <f>'mnt Data'!W428</f>
        <v>0</v>
      </c>
      <c r="AL425" s="31">
        <f>'mnt Data'!X428</f>
        <v>0</v>
      </c>
      <c r="AM425" s="31">
        <f>'mnt Data'!Y428</f>
        <v>0</v>
      </c>
      <c r="AN425" s="31">
        <f>'mnt Data'!Z428</f>
        <v>0</v>
      </c>
      <c r="AO425" s="31">
        <f>'mnt Data'!AA428</f>
        <v>0</v>
      </c>
      <c r="AP425" s="31">
        <f>'mnt Data'!AB428</f>
        <v>0</v>
      </c>
      <c r="AQ425" s="31">
        <f>'mnt Data'!AC428</f>
        <v>0</v>
      </c>
      <c r="AR425" s="31">
        <f>'mnt Data'!AD428</f>
        <v>0</v>
      </c>
      <c r="AS425" s="31">
        <f>'mnt Data'!AE428</f>
        <v>0</v>
      </c>
      <c r="AT425" s="31">
        <f>'mnt Data'!AF428</f>
        <v>0</v>
      </c>
      <c r="AU425" s="31">
        <f>'mnt Data'!AG428</f>
        <v>0</v>
      </c>
      <c r="AV425" s="31">
        <f>'mnt Data'!AH428</f>
        <v>0</v>
      </c>
      <c r="AW425" s="31">
        <f>'mnt Data'!AI428</f>
        <v>0</v>
      </c>
      <c r="AX425" s="31">
        <f>'mnt Data'!AJ428</f>
        <v>0</v>
      </c>
      <c r="AY425" s="31">
        <f>'mnt Data'!AK428</f>
        <v>0</v>
      </c>
    </row>
    <row r="426" spans="1:51" x14ac:dyDescent="0.25">
      <c r="A426">
        <v>425</v>
      </c>
      <c r="B426" s="32">
        <f t="shared" si="84"/>
        <v>0</v>
      </c>
      <c r="C426" s="32">
        <f t="shared" si="85"/>
        <v>0</v>
      </c>
      <c r="D426" s="32" t="str">
        <f t="shared" si="77"/>
        <v>No Gs</v>
      </c>
      <c r="E426" s="32">
        <f t="shared" si="81"/>
        <v>0</v>
      </c>
      <c r="F426" s="32" t="str">
        <f t="shared" si="82"/>
        <v>No Gs</v>
      </c>
      <c r="G426" s="32" t="str">
        <f t="shared" si="83"/>
        <v>No Gs</v>
      </c>
      <c r="H426" s="32" t="str">
        <f t="shared" si="86"/>
        <v>Gs is needed</v>
      </c>
      <c r="I426" s="32" t="str">
        <f t="shared" si="87"/>
        <v>Gs is needed</v>
      </c>
      <c r="J426" s="32" t="str">
        <f t="shared" si="88"/>
        <v>Gs is needed</v>
      </c>
      <c r="K426" s="32" t="str">
        <f t="shared" si="78"/>
        <v>Need Max and Min</v>
      </c>
      <c r="L426" s="32" t="str">
        <f t="shared" si="79"/>
        <v>Need Max and Min</v>
      </c>
      <c r="M426" s="32" t="str">
        <f t="shared" si="80"/>
        <v>Fail</v>
      </c>
      <c r="N426" s="32"/>
      <c r="O426" s="31">
        <f>'mnt Data'!A429</f>
        <v>0</v>
      </c>
      <c r="P426" s="31">
        <f>'mnt Data'!B429</f>
        <v>0</v>
      </c>
      <c r="Q426" s="31">
        <f>'mnt Data'!C429</f>
        <v>0</v>
      </c>
      <c r="R426" s="31">
        <f>'mnt Data'!D429</f>
        <v>0</v>
      </c>
      <c r="S426" s="31">
        <f>'mnt Data'!E429</f>
        <v>0</v>
      </c>
      <c r="T426" s="31">
        <f>'mnt Data'!F429</f>
        <v>0</v>
      </c>
      <c r="U426" s="31">
        <f>'mnt Data'!G429</f>
        <v>0</v>
      </c>
      <c r="V426" s="31">
        <f>'mnt Data'!H429</f>
        <v>0</v>
      </c>
      <c r="W426" s="31">
        <f>'mnt Data'!I429</f>
        <v>0</v>
      </c>
      <c r="X426" s="31">
        <f>'mnt Data'!J429</f>
        <v>0</v>
      </c>
      <c r="Y426" s="31">
        <f>'mnt Data'!K429</f>
        <v>0</v>
      </c>
      <c r="Z426" s="31">
        <f>'mnt Data'!L429</f>
        <v>0</v>
      </c>
      <c r="AA426" s="31">
        <f>'mnt Data'!M429</f>
        <v>0</v>
      </c>
      <c r="AB426" s="31">
        <f>'mnt Data'!N429</f>
        <v>0</v>
      </c>
      <c r="AC426" s="31">
        <f>'mnt Data'!O429</f>
        <v>0</v>
      </c>
      <c r="AD426" s="31">
        <f>'mnt Data'!P429</f>
        <v>0</v>
      </c>
      <c r="AE426" s="31">
        <f>'mnt Data'!Q429</f>
        <v>0</v>
      </c>
      <c r="AF426" s="31">
        <f>'mnt Data'!R429</f>
        <v>0</v>
      </c>
      <c r="AG426" s="31">
        <f>'mnt Data'!S429</f>
        <v>0</v>
      </c>
      <c r="AH426" s="31">
        <f>'mnt Data'!T429</f>
        <v>0</v>
      </c>
      <c r="AI426" s="31">
        <f>'mnt Data'!U429</f>
        <v>0</v>
      </c>
      <c r="AJ426" s="31">
        <f>'mnt Data'!V429</f>
        <v>0</v>
      </c>
      <c r="AK426" s="31">
        <f>'mnt Data'!W429</f>
        <v>0</v>
      </c>
      <c r="AL426" s="31">
        <f>'mnt Data'!X429</f>
        <v>0</v>
      </c>
      <c r="AM426" s="31">
        <f>'mnt Data'!Y429</f>
        <v>0</v>
      </c>
      <c r="AN426" s="31">
        <f>'mnt Data'!Z429</f>
        <v>0</v>
      </c>
      <c r="AO426" s="31">
        <f>'mnt Data'!AA429</f>
        <v>0</v>
      </c>
      <c r="AP426" s="31">
        <f>'mnt Data'!AB429</f>
        <v>0</v>
      </c>
      <c r="AQ426" s="31">
        <f>'mnt Data'!AC429</f>
        <v>0</v>
      </c>
      <c r="AR426" s="31">
        <f>'mnt Data'!AD429</f>
        <v>0</v>
      </c>
      <c r="AS426" s="31">
        <f>'mnt Data'!AE429</f>
        <v>0</v>
      </c>
      <c r="AT426" s="31">
        <f>'mnt Data'!AF429</f>
        <v>0</v>
      </c>
      <c r="AU426" s="31">
        <f>'mnt Data'!AG429</f>
        <v>0</v>
      </c>
      <c r="AV426" s="31">
        <f>'mnt Data'!AH429</f>
        <v>0</v>
      </c>
      <c r="AW426" s="31">
        <f>'mnt Data'!AI429</f>
        <v>0</v>
      </c>
      <c r="AX426" s="31">
        <f>'mnt Data'!AJ429</f>
        <v>0</v>
      </c>
      <c r="AY426" s="31">
        <f>'mnt Data'!AK429</f>
        <v>0</v>
      </c>
    </row>
    <row r="427" spans="1:51" x14ac:dyDescent="0.25">
      <c r="A427">
        <v>426</v>
      </c>
      <c r="B427" s="32">
        <f t="shared" si="84"/>
        <v>0</v>
      </c>
      <c r="C427" s="32">
        <f t="shared" si="85"/>
        <v>0</v>
      </c>
      <c r="D427" s="32" t="str">
        <f t="shared" si="77"/>
        <v>No Gs</v>
      </c>
      <c r="E427" s="32">
        <f t="shared" si="81"/>
        <v>0</v>
      </c>
      <c r="F427" s="32" t="str">
        <f t="shared" si="82"/>
        <v>No Gs</v>
      </c>
      <c r="G427" s="32" t="str">
        <f t="shared" si="83"/>
        <v>No Gs</v>
      </c>
      <c r="H427" s="32" t="str">
        <f t="shared" si="86"/>
        <v>Gs is needed</v>
      </c>
      <c r="I427" s="32" t="str">
        <f t="shared" si="87"/>
        <v>Gs is needed</v>
      </c>
      <c r="J427" s="32" t="str">
        <f t="shared" si="88"/>
        <v>Gs is needed</v>
      </c>
      <c r="K427" s="32" t="str">
        <f t="shared" si="78"/>
        <v>Need Max and Min</v>
      </c>
      <c r="L427" s="32" t="str">
        <f t="shared" si="79"/>
        <v>Need Max and Min</v>
      </c>
      <c r="M427" s="32" t="str">
        <f t="shared" si="80"/>
        <v>Fail</v>
      </c>
      <c r="N427" s="32"/>
      <c r="O427" s="31">
        <f>'mnt Data'!A430</f>
        <v>0</v>
      </c>
      <c r="P427" s="31">
        <f>'mnt Data'!B430</f>
        <v>0</v>
      </c>
      <c r="Q427" s="31">
        <f>'mnt Data'!C430</f>
        <v>0</v>
      </c>
      <c r="R427" s="31">
        <f>'mnt Data'!D430</f>
        <v>0</v>
      </c>
      <c r="S427" s="31">
        <f>'mnt Data'!E430</f>
        <v>0</v>
      </c>
      <c r="T427" s="31">
        <f>'mnt Data'!F430</f>
        <v>0</v>
      </c>
      <c r="U427" s="31">
        <f>'mnt Data'!G430</f>
        <v>0</v>
      </c>
      <c r="V427" s="31">
        <f>'mnt Data'!H430</f>
        <v>0</v>
      </c>
      <c r="W427" s="31">
        <f>'mnt Data'!I430</f>
        <v>0</v>
      </c>
      <c r="X427" s="31">
        <f>'mnt Data'!J430</f>
        <v>0</v>
      </c>
      <c r="Y427" s="31">
        <f>'mnt Data'!K430</f>
        <v>0</v>
      </c>
      <c r="Z427" s="31">
        <f>'mnt Data'!L430</f>
        <v>0</v>
      </c>
      <c r="AA427" s="31">
        <f>'mnt Data'!M430</f>
        <v>0</v>
      </c>
      <c r="AB427" s="31">
        <f>'mnt Data'!N430</f>
        <v>0</v>
      </c>
      <c r="AC427" s="31">
        <f>'mnt Data'!O430</f>
        <v>0</v>
      </c>
      <c r="AD427" s="31">
        <f>'mnt Data'!P430</f>
        <v>0</v>
      </c>
      <c r="AE427" s="31">
        <f>'mnt Data'!Q430</f>
        <v>0</v>
      </c>
      <c r="AF427" s="31">
        <f>'mnt Data'!R430</f>
        <v>0</v>
      </c>
      <c r="AG427" s="31">
        <f>'mnt Data'!S430</f>
        <v>0</v>
      </c>
      <c r="AH427" s="31">
        <f>'mnt Data'!T430</f>
        <v>0</v>
      </c>
      <c r="AI427" s="31">
        <f>'mnt Data'!U430</f>
        <v>0</v>
      </c>
      <c r="AJ427" s="31">
        <f>'mnt Data'!V430</f>
        <v>0</v>
      </c>
      <c r="AK427" s="31">
        <f>'mnt Data'!W430</f>
        <v>0</v>
      </c>
      <c r="AL427" s="31">
        <f>'mnt Data'!X430</f>
        <v>0</v>
      </c>
      <c r="AM427" s="31">
        <f>'mnt Data'!Y430</f>
        <v>0</v>
      </c>
      <c r="AN427" s="31">
        <f>'mnt Data'!Z430</f>
        <v>0</v>
      </c>
      <c r="AO427" s="31">
        <f>'mnt Data'!AA430</f>
        <v>0</v>
      </c>
      <c r="AP427" s="31">
        <f>'mnt Data'!AB430</f>
        <v>0</v>
      </c>
      <c r="AQ427" s="31">
        <f>'mnt Data'!AC430</f>
        <v>0</v>
      </c>
      <c r="AR427" s="31">
        <f>'mnt Data'!AD430</f>
        <v>0</v>
      </c>
      <c r="AS427" s="31">
        <f>'mnt Data'!AE430</f>
        <v>0</v>
      </c>
      <c r="AT427" s="31">
        <f>'mnt Data'!AF430</f>
        <v>0</v>
      </c>
      <c r="AU427" s="31">
        <f>'mnt Data'!AG430</f>
        <v>0</v>
      </c>
      <c r="AV427" s="31">
        <f>'mnt Data'!AH430</f>
        <v>0</v>
      </c>
      <c r="AW427" s="31">
        <f>'mnt Data'!AI430</f>
        <v>0</v>
      </c>
      <c r="AX427" s="31">
        <f>'mnt Data'!AJ430</f>
        <v>0</v>
      </c>
      <c r="AY427" s="31">
        <f>'mnt Data'!AK430</f>
        <v>0</v>
      </c>
    </row>
    <row r="428" spans="1:51" x14ac:dyDescent="0.25">
      <c r="A428">
        <v>427</v>
      </c>
      <c r="B428" s="32">
        <f t="shared" si="84"/>
        <v>0</v>
      </c>
      <c r="C428" s="32">
        <f t="shared" si="85"/>
        <v>0</v>
      </c>
      <c r="D428" s="32" t="str">
        <f t="shared" si="77"/>
        <v>No Gs</v>
      </c>
      <c r="E428" s="32">
        <f t="shared" si="81"/>
        <v>0</v>
      </c>
      <c r="F428" s="32" t="str">
        <f t="shared" si="82"/>
        <v>No Gs</v>
      </c>
      <c r="G428" s="32" t="str">
        <f t="shared" si="83"/>
        <v>No Gs</v>
      </c>
      <c r="H428" s="32" t="str">
        <f t="shared" si="86"/>
        <v>Gs is needed</v>
      </c>
      <c r="I428" s="32" t="str">
        <f t="shared" si="87"/>
        <v>Gs is needed</v>
      </c>
      <c r="J428" s="32" t="str">
        <f t="shared" si="88"/>
        <v>Gs is needed</v>
      </c>
      <c r="K428" s="32" t="str">
        <f t="shared" si="78"/>
        <v>Need Max and Min</v>
      </c>
      <c r="L428" s="32" t="str">
        <f t="shared" si="79"/>
        <v>Need Max and Min</v>
      </c>
      <c r="M428" s="32" t="str">
        <f t="shared" si="80"/>
        <v>Fail</v>
      </c>
      <c r="N428" s="32"/>
      <c r="O428" s="31">
        <f>'mnt Data'!A431</f>
        <v>0</v>
      </c>
      <c r="P428" s="31">
        <f>'mnt Data'!B431</f>
        <v>0</v>
      </c>
      <c r="Q428" s="31">
        <f>'mnt Data'!C431</f>
        <v>0</v>
      </c>
      <c r="R428" s="31">
        <f>'mnt Data'!D431</f>
        <v>0</v>
      </c>
      <c r="S428" s="31">
        <f>'mnt Data'!E431</f>
        <v>0</v>
      </c>
      <c r="T428" s="31">
        <f>'mnt Data'!F431</f>
        <v>0</v>
      </c>
      <c r="U428" s="31">
        <f>'mnt Data'!G431</f>
        <v>0</v>
      </c>
      <c r="V428" s="31">
        <f>'mnt Data'!H431</f>
        <v>0</v>
      </c>
      <c r="W428" s="31">
        <f>'mnt Data'!I431</f>
        <v>0</v>
      </c>
      <c r="X428" s="31">
        <f>'mnt Data'!J431</f>
        <v>0</v>
      </c>
      <c r="Y428" s="31">
        <f>'mnt Data'!K431</f>
        <v>0</v>
      </c>
      <c r="Z428" s="31">
        <f>'mnt Data'!L431</f>
        <v>0</v>
      </c>
      <c r="AA428" s="31">
        <f>'mnt Data'!M431</f>
        <v>0</v>
      </c>
      <c r="AB428" s="31">
        <f>'mnt Data'!N431</f>
        <v>0</v>
      </c>
      <c r="AC428" s="31">
        <f>'mnt Data'!O431</f>
        <v>0</v>
      </c>
      <c r="AD428" s="31">
        <f>'mnt Data'!P431</f>
        <v>0</v>
      </c>
      <c r="AE428" s="31">
        <f>'mnt Data'!Q431</f>
        <v>0</v>
      </c>
      <c r="AF428" s="31">
        <f>'mnt Data'!R431</f>
        <v>0</v>
      </c>
      <c r="AG428" s="31">
        <f>'mnt Data'!S431</f>
        <v>0</v>
      </c>
      <c r="AH428" s="31">
        <f>'mnt Data'!T431</f>
        <v>0</v>
      </c>
      <c r="AI428" s="31">
        <f>'mnt Data'!U431</f>
        <v>0</v>
      </c>
      <c r="AJ428" s="31">
        <f>'mnt Data'!V431</f>
        <v>0</v>
      </c>
      <c r="AK428" s="31">
        <f>'mnt Data'!W431</f>
        <v>0</v>
      </c>
      <c r="AL428" s="31">
        <f>'mnt Data'!X431</f>
        <v>0</v>
      </c>
      <c r="AM428" s="31">
        <f>'mnt Data'!Y431</f>
        <v>0</v>
      </c>
      <c r="AN428" s="31">
        <f>'mnt Data'!Z431</f>
        <v>0</v>
      </c>
      <c r="AO428" s="31">
        <f>'mnt Data'!AA431</f>
        <v>0</v>
      </c>
      <c r="AP428" s="31">
        <f>'mnt Data'!AB431</f>
        <v>0</v>
      </c>
      <c r="AQ428" s="31">
        <f>'mnt Data'!AC431</f>
        <v>0</v>
      </c>
      <c r="AR428" s="31">
        <f>'mnt Data'!AD431</f>
        <v>0</v>
      </c>
      <c r="AS428" s="31">
        <f>'mnt Data'!AE431</f>
        <v>0</v>
      </c>
      <c r="AT428" s="31">
        <f>'mnt Data'!AF431</f>
        <v>0</v>
      </c>
      <c r="AU428" s="31">
        <f>'mnt Data'!AG431</f>
        <v>0</v>
      </c>
      <c r="AV428" s="31">
        <f>'mnt Data'!AH431</f>
        <v>0</v>
      </c>
      <c r="AW428" s="31">
        <f>'mnt Data'!AI431</f>
        <v>0</v>
      </c>
      <c r="AX428" s="31">
        <f>'mnt Data'!AJ431</f>
        <v>0</v>
      </c>
      <c r="AY428" s="31">
        <f>'mnt Data'!AK431</f>
        <v>0</v>
      </c>
    </row>
    <row r="429" spans="1:51" x14ac:dyDescent="0.25">
      <c r="A429">
        <v>428</v>
      </c>
      <c r="B429" s="32">
        <f t="shared" si="84"/>
        <v>0</v>
      </c>
      <c r="C429" s="32">
        <f t="shared" si="85"/>
        <v>0</v>
      </c>
      <c r="D429" s="32" t="str">
        <f t="shared" si="77"/>
        <v>No Gs</v>
      </c>
      <c r="E429" s="32">
        <f t="shared" si="81"/>
        <v>0</v>
      </c>
      <c r="F429" s="32" t="str">
        <f t="shared" si="82"/>
        <v>No Gs</v>
      </c>
      <c r="G429" s="32" t="str">
        <f t="shared" si="83"/>
        <v>No Gs</v>
      </c>
      <c r="H429" s="32" t="str">
        <f t="shared" si="86"/>
        <v>Gs is needed</v>
      </c>
      <c r="I429" s="32" t="str">
        <f t="shared" si="87"/>
        <v>Gs is needed</v>
      </c>
      <c r="J429" s="32" t="str">
        <f t="shared" si="88"/>
        <v>Gs is needed</v>
      </c>
      <c r="K429" s="32" t="str">
        <f t="shared" si="78"/>
        <v>Need Max and Min</v>
      </c>
      <c r="L429" s="32" t="str">
        <f t="shared" si="79"/>
        <v>Need Max and Min</v>
      </c>
      <c r="M429" s="32" t="str">
        <f t="shared" si="80"/>
        <v>Fail</v>
      </c>
      <c r="N429" s="32"/>
      <c r="O429" s="31">
        <f>'mnt Data'!A432</f>
        <v>0</v>
      </c>
      <c r="P429" s="31">
        <f>'mnt Data'!B432</f>
        <v>0</v>
      </c>
      <c r="Q429" s="31">
        <f>'mnt Data'!C432</f>
        <v>0</v>
      </c>
      <c r="R429" s="31">
        <f>'mnt Data'!D432</f>
        <v>0</v>
      </c>
      <c r="S429" s="31">
        <f>'mnt Data'!E432</f>
        <v>0</v>
      </c>
      <c r="T429" s="31">
        <f>'mnt Data'!F432</f>
        <v>0</v>
      </c>
      <c r="U429" s="31">
        <f>'mnt Data'!G432</f>
        <v>0</v>
      </c>
      <c r="V429" s="31">
        <f>'mnt Data'!H432</f>
        <v>0</v>
      </c>
      <c r="W429" s="31">
        <f>'mnt Data'!I432</f>
        <v>0</v>
      </c>
      <c r="X429" s="31">
        <f>'mnt Data'!J432</f>
        <v>0</v>
      </c>
      <c r="Y429" s="31">
        <f>'mnt Data'!K432</f>
        <v>0</v>
      </c>
      <c r="Z429" s="31">
        <f>'mnt Data'!L432</f>
        <v>0</v>
      </c>
      <c r="AA429" s="31">
        <f>'mnt Data'!M432</f>
        <v>0</v>
      </c>
      <c r="AB429" s="31">
        <f>'mnt Data'!N432</f>
        <v>0</v>
      </c>
      <c r="AC429" s="31">
        <f>'mnt Data'!O432</f>
        <v>0</v>
      </c>
      <c r="AD429" s="31">
        <f>'mnt Data'!P432</f>
        <v>0</v>
      </c>
      <c r="AE429" s="31">
        <f>'mnt Data'!Q432</f>
        <v>0</v>
      </c>
      <c r="AF429" s="31">
        <f>'mnt Data'!R432</f>
        <v>0</v>
      </c>
      <c r="AG429" s="31">
        <f>'mnt Data'!S432</f>
        <v>0</v>
      </c>
      <c r="AH429" s="31">
        <f>'mnt Data'!T432</f>
        <v>0</v>
      </c>
      <c r="AI429" s="31">
        <f>'mnt Data'!U432</f>
        <v>0</v>
      </c>
      <c r="AJ429" s="31">
        <f>'mnt Data'!V432</f>
        <v>0</v>
      </c>
      <c r="AK429" s="31">
        <f>'mnt Data'!W432</f>
        <v>0</v>
      </c>
      <c r="AL429" s="31">
        <f>'mnt Data'!X432</f>
        <v>0</v>
      </c>
      <c r="AM429" s="31">
        <f>'mnt Data'!Y432</f>
        <v>0</v>
      </c>
      <c r="AN429" s="31">
        <f>'mnt Data'!Z432</f>
        <v>0</v>
      </c>
      <c r="AO429" s="31">
        <f>'mnt Data'!AA432</f>
        <v>0</v>
      </c>
      <c r="AP429" s="31">
        <f>'mnt Data'!AB432</f>
        <v>0</v>
      </c>
      <c r="AQ429" s="31">
        <f>'mnt Data'!AC432</f>
        <v>0</v>
      </c>
      <c r="AR429" s="31">
        <f>'mnt Data'!AD432</f>
        <v>0</v>
      </c>
      <c r="AS429" s="31">
        <f>'mnt Data'!AE432</f>
        <v>0</v>
      </c>
      <c r="AT429" s="31">
        <f>'mnt Data'!AF432</f>
        <v>0</v>
      </c>
      <c r="AU429" s="31">
        <f>'mnt Data'!AG432</f>
        <v>0</v>
      </c>
      <c r="AV429" s="31">
        <f>'mnt Data'!AH432</f>
        <v>0</v>
      </c>
      <c r="AW429" s="31">
        <f>'mnt Data'!AI432</f>
        <v>0</v>
      </c>
      <c r="AX429" s="31">
        <f>'mnt Data'!AJ432</f>
        <v>0</v>
      </c>
      <c r="AY429" s="31">
        <f>'mnt Data'!AK432</f>
        <v>0</v>
      </c>
    </row>
    <row r="430" spans="1:51" x14ac:dyDescent="0.25">
      <c r="A430">
        <v>429</v>
      </c>
      <c r="B430" s="32">
        <f t="shared" si="84"/>
        <v>0</v>
      </c>
      <c r="C430" s="32">
        <f t="shared" si="85"/>
        <v>0</v>
      </c>
      <c r="D430" s="32" t="str">
        <f t="shared" si="77"/>
        <v>No Gs</v>
      </c>
      <c r="E430" s="32">
        <f t="shared" si="81"/>
        <v>0</v>
      </c>
      <c r="F430" s="32" t="str">
        <f t="shared" si="82"/>
        <v>No Gs</v>
      </c>
      <c r="G430" s="32" t="str">
        <f t="shared" si="83"/>
        <v>No Gs</v>
      </c>
      <c r="H430" s="32" t="str">
        <f t="shared" si="86"/>
        <v>Gs is needed</v>
      </c>
      <c r="I430" s="32" t="str">
        <f t="shared" si="87"/>
        <v>Gs is needed</v>
      </c>
      <c r="J430" s="32" t="str">
        <f t="shared" si="88"/>
        <v>Gs is needed</v>
      </c>
      <c r="K430" s="32" t="str">
        <f t="shared" si="78"/>
        <v>Need Max and Min</v>
      </c>
      <c r="L430" s="32" t="str">
        <f t="shared" si="79"/>
        <v>Need Max and Min</v>
      </c>
      <c r="M430" s="32" t="str">
        <f t="shared" si="80"/>
        <v>Fail</v>
      </c>
      <c r="N430" s="32"/>
      <c r="O430" s="31">
        <f>'mnt Data'!A433</f>
        <v>0</v>
      </c>
      <c r="P430" s="31">
        <f>'mnt Data'!B433</f>
        <v>0</v>
      </c>
      <c r="Q430" s="31">
        <f>'mnt Data'!C433</f>
        <v>0</v>
      </c>
      <c r="R430" s="31">
        <f>'mnt Data'!D433</f>
        <v>0</v>
      </c>
      <c r="S430" s="31">
        <f>'mnt Data'!E433</f>
        <v>0</v>
      </c>
      <c r="T430" s="31">
        <f>'mnt Data'!F433</f>
        <v>0</v>
      </c>
      <c r="U430" s="31">
        <f>'mnt Data'!G433</f>
        <v>0</v>
      </c>
      <c r="V430" s="31">
        <f>'mnt Data'!H433</f>
        <v>0</v>
      </c>
      <c r="W430" s="31">
        <f>'mnt Data'!I433</f>
        <v>0</v>
      </c>
      <c r="X430" s="31">
        <f>'mnt Data'!J433</f>
        <v>0</v>
      </c>
      <c r="Y430" s="31">
        <f>'mnt Data'!K433</f>
        <v>0</v>
      </c>
      <c r="Z430" s="31">
        <f>'mnt Data'!L433</f>
        <v>0</v>
      </c>
      <c r="AA430" s="31">
        <f>'mnt Data'!M433</f>
        <v>0</v>
      </c>
      <c r="AB430" s="31">
        <f>'mnt Data'!N433</f>
        <v>0</v>
      </c>
      <c r="AC430" s="31">
        <f>'mnt Data'!O433</f>
        <v>0</v>
      </c>
      <c r="AD430" s="31">
        <f>'mnt Data'!P433</f>
        <v>0</v>
      </c>
      <c r="AE430" s="31">
        <f>'mnt Data'!Q433</f>
        <v>0</v>
      </c>
      <c r="AF430" s="31">
        <f>'mnt Data'!R433</f>
        <v>0</v>
      </c>
      <c r="AG430" s="31">
        <f>'mnt Data'!S433</f>
        <v>0</v>
      </c>
      <c r="AH430" s="31">
        <f>'mnt Data'!T433</f>
        <v>0</v>
      </c>
      <c r="AI430" s="31">
        <f>'mnt Data'!U433</f>
        <v>0</v>
      </c>
      <c r="AJ430" s="31">
        <f>'mnt Data'!V433</f>
        <v>0</v>
      </c>
      <c r="AK430" s="31">
        <f>'mnt Data'!W433</f>
        <v>0</v>
      </c>
      <c r="AL430" s="31">
        <f>'mnt Data'!X433</f>
        <v>0</v>
      </c>
      <c r="AM430" s="31">
        <f>'mnt Data'!Y433</f>
        <v>0</v>
      </c>
      <c r="AN430" s="31">
        <f>'mnt Data'!Z433</f>
        <v>0</v>
      </c>
      <c r="AO430" s="31">
        <f>'mnt Data'!AA433</f>
        <v>0</v>
      </c>
      <c r="AP430" s="31">
        <f>'mnt Data'!AB433</f>
        <v>0</v>
      </c>
      <c r="AQ430" s="31">
        <f>'mnt Data'!AC433</f>
        <v>0</v>
      </c>
      <c r="AR430" s="31">
        <f>'mnt Data'!AD433</f>
        <v>0</v>
      </c>
      <c r="AS430" s="31">
        <f>'mnt Data'!AE433</f>
        <v>0</v>
      </c>
      <c r="AT430" s="31">
        <f>'mnt Data'!AF433</f>
        <v>0</v>
      </c>
      <c r="AU430" s="31">
        <f>'mnt Data'!AG433</f>
        <v>0</v>
      </c>
      <c r="AV430" s="31">
        <f>'mnt Data'!AH433</f>
        <v>0</v>
      </c>
      <c r="AW430" s="31">
        <f>'mnt Data'!AI433</f>
        <v>0</v>
      </c>
      <c r="AX430" s="31">
        <f>'mnt Data'!AJ433</f>
        <v>0</v>
      </c>
      <c r="AY430" s="31">
        <f>'mnt Data'!AK433</f>
        <v>0</v>
      </c>
    </row>
    <row r="431" spans="1:51" x14ac:dyDescent="0.25">
      <c r="A431">
        <v>430</v>
      </c>
      <c r="B431" s="32">
        <f t="shared" si="84"/>
        <v>0</v>
      </c>
      <c r="C431" s="32">
        <f t="shared" si="85"/>
        <v>0</v>
      </c>
      <c r="D431" s="32" t="str">
        <f t="shared" si="77"/>
        <v>No Gs</v>
      </c>
      <c r="E431" s="32">
        <f t="shared" si="81"/>
        <v>0</v>
      </c>
      <c r="F431" s="32" t="str">
        <f t="shared" si="82"/>
        <v>No Gs</v>
      </c>
      <c r="G431" s="32" t="str">
        <f t="shared" si="83"/>
        <v>No Gs</v>
      </c>
      <c r="H431" s="32" t="str">
        <f t="shared" si="86"/>
        <v>Gs is needed</v>
      </c>
      <c r="I431" s="32" t="str">
        <f t="shared" si="87"/>
        <v>Gs is needed</v>
      </c>
      <c r="J431" s="32" t="str">
        <f t="shared" si="88"/>
        <v>Gs is needed</v>
      </c>
      <c r="K431" s="32" t="str">
        <f t="shared" si="78"/>
        <v>Need Max and Min</v>
      </c>
      <c r="L431" s="32" t="str">
        <f t="shared" si="79"/>
        <v>Need Max and Min</v>
      </c>
      <c r="M431" s="32" t="str">
        <f t="shared" si="80"/>
        <v>Fail</v>
      </c>
      <c r="N431" s="32"/>
      <c r="O431" s="31">
        <f>'mnt Data'!A434</f>
        <v>0</v>
      </c>
      <c r="P431" s="31">
        <f>'mnt Data'!B434</f>
        <v>0</v>
      </c>
      <c r="Q431" s="31">
        <f>'mnt Data'!C434</f>
        <v>0</v>
      </c>
      <c r="R431" s="31">
        <f>'mnt Data'!D434</f>
        <v>0</v>
      </c>
      <c r="S431" s="31">
        <f>'mnt Data'!E434</f>
        <v>0</v>
      </c>
      <c r="T431" s="31">
        <f>'mnt Data'!F434</f>
        <v>0</v>
      </c>
      <c r="U431" s="31">
        <f>'mnt Data'!G434</f>
        <v>0</v>
      </c>
      <c r="V431" s="31">
        <f>'mnt Data'!H434</f>
        <v>0</v>
      </c>
      <c r="W431" s="31">
        <f>'mnt Data'!I434</f>
        <v>0</v>
      </c>
      <c r="X431" s="31">
        <f>'mnt Data'!J434</f>
        <v>0</v>
      </c>
      <c r="Y431" s="31">
        <f>'mnt Data'!K434</f>
        <v>0</v>
      </c>
      <c r="Z431" s="31">
        <f>'mnt Data'!L434</f>
        <v>0</v>
      </c>
      <c r="AA431" s="31">
        <f>'mnt Data'!M434</f>
        <v>0</v>
      </c>
      <c r="AB431" s="31">
        <f>'mnt Data'!N434</f>
        <v>0</v>
      </c>
      <c r="AC431" s="31">
        <f>'mnt Data'!O434</f>
        <v>0</v>
      </c>
      <c r="AD431" s="31">
        <f>'mnt Data'!P434</f>
        <v>0</v>
      </c>
      <c r="AE431" s="31">
        <f>'mnt Data'!Q434</f>
        <v>0</v>
      </c>
      <c r="AF431" s="31">
        <f>'mnt Data'!R434</f>
        <v>0</v>
      </c>
      <c r="AG431" s="31">
        <f>'mnt Data'!S434</f>
        <v>0</v>
      </c>
      <c r="AH431" s="31">
        <f>'mnt Data'!T434</f>
        <v>0</v>
      </c>
      <c r="AI431" s="31">
        <f>'mnt Data'!U434</f>
        <v>0</v>
      </c>
      <c r="AJ431" s="31">
        <f>'mnt Data'!V434</f>
        <v>0</v>
      </c>
      <c r="AK431" s="31">
        <f>'mnt Data'!W434</f>
        <v>0</v>
      </c>
      <c r="AL431" s="31">
        <f>'mnt Data'!X434</f>
        <v>0</v>
      </c>
      <c r="AM431" s="31">
        <f>'mnt Data'!Y434</f>
        <v>0</v>
      </c>
      <c r="AN431" s="31">
        <f>'mnt Data'!Z434</f>
        <v>0</v>
      </c>
      <c r="AO431" s="31">
        <f>'mnt Data'!AA434</f>
        <v>0</v>
      </c>
      <c r="AP431" s="31">
        <f>'mnt Data'!AB434</f>
        <v>0</v>
      </c>
      <c r="AQ431" s="31">
        <f>'mnt Data'!AC434</f>
        <v>0</v>
      </c>
      <c r="AR431" s="31">
        <f>'mnt Data'!AD434</f>
        <v>0</v>
      </c>
      <c r="AS431" s="31">
        <f>'mnt Data'!AE434</f>
        <v>0</v>
      </c>
      <c r="AT431" s="31">
        <f>'mnt Data'!AF434</f>
        <v>0</v>
      </c>
      <c r="AU431" s="31">
        <f>'mnt Data'!AG434</f>
        <v>0</v>
      </c>
      <c r="AV431" s="31">
        <f>'mnt Data'!AH434</f>
        <v>0</v>
      </c>
      <c r="AW431" s="31">
        <f>'mnt Data'!AI434</f>
        <v>0</v>
      </c>
      <c r="AX431" s="31">
        <f>'mnt Data'!AJ434</f>
        <v>0</v>
      </c>
      <c r="AY431" s="31">
        <f>'mnt Data'!AK434</f>
        <v>0</v>
      </c>
    </row>
    <row r="432" spans="1:51" x14ac:dyDescent="0.25">
      <c r="A432">
        <v>431</v>
      </c>
      <c r="B432" s="32">
        <f t="shared" si="84"/>
        <v>0</v>
      </c>
      <c r="C432" s="32">
        <f t="shared" si="85"/>
        <v>0</v>
      </c>
      <c r="D432" s="32" t="str">
        <f t="shared" si="77"/>
        <v>No Gs</v>
      </c>
      <c r="E432" s="32">
        <f t="shared" si="81"/>
        <v>0</v>
      </c>
      <c r="F432" s="32" t="str">
        <f t="shared" si="82"/>
        <v>No Gs</v>
      </c>
      <c r="G432" s="32" t="str">
        <f t="shared" si="83"/>
        <v>No Gs</v>
      </c>
      <c r="H432" s="32" t="str">
        <f t="shared" si="86"/>
        <v>Gs is needed</v>
      </c>
      <c r="I432" s="32" t="str">
        <f t="shared" si="87"/>
        <v>Gs is needed</v>
      </c>
      <c r="J432" s="32" t="str">
        <f t="shared" si="88"/>
        <v>Gs is needed</v>
      </c>
      <c r="K432" s="32" t="str">
        <f t="shared" si="78"/>
        <v>Need Max and Min</v>
      </c>
      <c r="L432" s="32" t="str">
        <f t="shared" si="79"/>
        <v>Need Max and Min</v>
      </c>
      <c r="M432" s="32" t="str">
        <f t="shared" si="80"/>
        <v>Fail</v>
      </c>
      <c r="N432" s="32"/>
      <c r="O432" s="31">
        <f>'mnt Data'!A435</f>
        <v>0</v>
      </c>
      <c r="P432" s="31">
        <f>'mnt Data'!B435</f>
        <v>0</v>
      </c>
      <c r="Q432" s="31">
        <f>'mnt Data'!C435</f>
        <v>0</v>
      </c>
      <c r="R432" s="31">
        <f>'mnt Data'!D435</f>
        <v>0</v>
      </c>
      <c r="S432" s="31">
        <f>'mnt Data'!E435</f>
        <v>0</v>
      </c>
      <c r="T432" s="31">
        <f>'mnt Data'!F435</f>
        <v>0</v>
      </c>
      <c r="U432" s="31">
        <f>'mnt Data'!G435</f>
        <v>0</v>
      </c>
      <c r="V432" s="31">
        <f>'mnt Data'!H435</f>
        <v>0</v>
      </c>
      <c r="W432" s="31">
        <f>'mnt Data'!I435</f>
        <v>0</v>
      </c>
      <c r="X432" s="31">
        <f>'mnt Data'!J435</f>
        <v>0</v>
      </c>
      <c r="Y432" s="31">
        <f>'mnt Data'!K435</f>
        <v>0</v>
      </c>
      <c r="Z432" s="31">
        <f>'mnt Data'!L435</f>
        <v>0</v>
      </c>
      <c r="AA432" s="31">
        <f>'mnt Data'!M435</f>
        <v>0</v>
      </c>
      <c r="AB432" s="31">
        <f>'mnt Data'!N435</f>
        <v>0</v>
      </c>
      <c r="AC432" s="31">
        <f>'mnt Data'!O435</f>
        <v>0</v>
      </c>
      <c r="AD432" s="31">
        <f>'mnt Data'!P435</f>
        <v>0</v>
      </c>
      <c r="AE432" s="31">
        <f>'mnt Data'!Q435</f>
        <v>0</v>
      </c>
      <c r="AF432" s="31">
        <f>'mnt Data'!R435</f>
        <v>0</v>
      </c>
      <c r="AG432" s="31">
        <f>'mnt Data'!S435</f>
        <v>0</v>
      </c>
      <c r="AH432" s="31">
        <f>'mnt Data'!T435</f>
        <v>0</v>
      </c>
      <c r="AI432" s="31">
        <f>'mnt Data'!U435</f>
        <v>0</v>
      </c>
      <c r="AJ432" s="31">
        <f>'mnt Data'!V435</f>
        <v>0</v>
      </c>
      <c r="AK432" s="31">
        <f>'mnt Data'!W435</f>
        <v>0</v>
      </c>
      <c r="AL432" s="31">
        <f>'mnt Data'!X435</f>
        <v>0</v>
      </c>
      <c r="AM432" s="31">
        <f>'mnt Data'!Y435</f>
        <v>0</v>
      </c>
      <c r="AN432" s="31">
        <f>'mnt Data'!Z435</f>
        <v>0</v>
      </c>
      <c r="AO432" s="31">
        <f>'mnt Data'!AA435</f>
        <v>0</v>
      </c>
      <c r="AP432" s="31">
        <f>'mnt Data'!AB435</f>
        <v>0</v>
      </c>
      <c r="AQ432" s="31">
        <f>'mnt Data'!AC435</f>
        <v>0</v>
      </c>
      <c r="AR432" s="31">
        <f>'mnt Data'!AD435</f>
        <v>0</v>
      </c>
      <c r="AS432" s="31">
        <f>'mnt Data'!AE435</f>
        <v>0</v>
      </c>
      <c r="AT432" s="31">
        <f>'mnt Data'!AF435</f>
        <v>0</v>
      </c>
      <c r="AU432" s="31">
        <f>'mnt Data'!AG435</f>
        <v>0</v>
      </c>
      <c r="AV432" s="31">
        <f>'mnt Data'!AH435</f>
        <v>0</v>
      </c>
      <c r="AW432" s="31">
        <f>'mnt Data'!AI435</f>
        <v>0</v>
      </c>
      <c r="AX432" s="31">
        <f>'mnt Data'!AJ435</f>
        <v>0</v>
      </c>
      <c r="AY432" s="31">
        <f>'mnt Data'!AK435</f>
        <v>0</v>
      </c>
    </row>
    <row r="433" spans="1:51" x14ac:dyDescent="0.25">
      <c r="A433">
        <v>432</v>
      </c>
      <c r="B433" s="32">
        <f t="shared" si="84"/>
        <v>0</v>
      </c>
      <c r="C433" s="32">
        <f t="shared" si="85"/>
        <v>0</v>
      </c>
      <c r="D433" s="32" t="str">
        <f t="shared" si="77"/>
        <v>No Gs</v>
      </c>
      <c r="E433" s="32">
        <f t="shared" si="81"/>
        <v>0</v>
      </c>
      <c r="F433" s="32" t="str">
        <f t="shared" si="82"/>
        <v>No Gs</v>
      </c>
      <c r="G433" s="32" t="str">
        <f t="shared" si="83"/>
        <v>No Gs</v>
      </c>
      <c r="H433" s="32" t="str">
        <f t="shared" si="86"/>
        <v>Gs is needed</v>
      </c>
      <c r="I433" s="32" t="str">
        <f t="shared" si="87"/>
        <v>Gs is needed</v>
      </c>
      <c r="J433" s="32" t="str">
        <f t="shared" si="88"/>
        <v>Gs is needed</v>
      </c>
      <c r="K433" s="32" t="str">
        <f t="shared" si="78"/>
        <v>Need Max and Min</v>
      </c>
      <c r="L433" s="32" t="str">
        <f t="shared" si="79"/>
        <v>Need Max and Min</v>
      </c>
      <c r="M433" s="32" t="str">
        <f t="shared" si="80"/>
        <v>Fail</v>
      </c>
      <c r="N433" s="32"/>
      <c r="O433" s="31">
        <f>'mnt Data'!A436</f>
        <v>0</v>
      </c>
      <c r="P433" s="31">
        <f>'mnt Data'!B436</f>
        <v>0</v>
      </c>
      <c r="Q433" s="31">
        <f>'mnt Data'!C436</f>
        <v>0</v>
      </c>
      <c r="R433" s="31">
        <f>'mnt Data'!D436</f>
        <v>0</v>
      </c>
      <c r="S433" s="31">
        <f>'mnt Data'!E436</f>
        <v>0</v>
      </c>
      <c r="T433" s="31">
        <f>'mnt Data'!F436</f>
        <v>0</v>
      </c>
      <c r="U433" s="31">
        <f>'mnt Data'!G436</f>
        <v>0</v>
      </c>
      <c r="V433" s="31">
        <f>'mnt Data'!H436</f>
        <v>0</v>
      </c>
      <c r="W433" s="31">
        <f>'mnt Data'!I436</f>
        <v>0</v>
      </c>
      <c r="X433" s="31">
        <f>'mnt Data'!J436</f>
        <v>0</v>
      </c>
      <c r="Y433" s="31">
        <f>'mnt Data'!K436</f>
        <v>0</v>
      </c>
      <c r="Z433" s="31">
        <f>'mnt Data'!L436</f>
        <v>0</v>
      </c>
      <c r="AA433" s="31">
        <f>'mnt Data'!M436</f>
        <v>0</v>
      </c>
      <c r="AB433" s="31">
        <f>'mnt Data'!N436</f>
        <v>0</v>
      </c>
      <c r="AC433" s="31">
        <f>'mnt Data'!O436</f>
        <v>0</v>
      </c>
      <c r="AD433" s="31">
        <f>'mnt Data'!P436</f>
        <v>0</v>
      </c>
      <c r="AE433" s="31">
        <f>'mnt Data'!Q436</f>
        <v>0</v>
      </c>
      <c r="AF433" s="31">
        <f>'mnt Data'!R436</f>
        <v>0</v>
      </c>
      <c r="AG433" s="31">
        <f>'mnt Data'!S436</f>
        <v>0</v>
      </c>
      <c r="AH433" s="31">
        <f>'mnt Data'!T436</f>
        <v>0</v>
      </c>
      <c r="AI433" s="31">
        <f>'mnt Data'!U436</f>
        <v>0</v>
      </c>
      <c r="AJ433" s="31">
        <f>'mnt Data'!V436</f>
        <v>0</v>
      </c>
      <c r="AK433" s="31">
        <f>'mnt Data'!W436</f>
        <v>0</v>
      </c>
      <c r="AL433" s="31">
        <f>'mnt Data'!X436</f>
        <v>0</v>
      </c>
      <c r="AM433" s="31">
        <f>'mnt Data'!Y436</f>
        <v>0</v>
      </c>
      <c r="AN433" s="31">
        <f>'mnt Data'!Z436</f>
        <v>0</v>
      </c>
      <c r="AO433" s="31">
        <f>'mnt Data'!AA436</f>
        <v>0</v>
      </c>
      <c r="AP433" s="31">
        <f>'mnt Data'!AB436</f>
        <v>0</v>
      </c>
      <c r="AQ433" s="31">
        <f>'mnt Data'!AC436</f>
        <v>0</v>
      </c>
      <c r="AR433" s="31">
        <f>'mnt Data'!AD436</f>
        <v>0</v>
      </c>
      <c r="AS433" s="31">
        <f>'mnt Data'!AE436</f>
        <v>0</v>
      </c>
      <c r="AT433" s="31">
        <f>'mnt Data'!AF436</f>
        <v>0</v>
      </c>
      <c r="AU433" s="31">
        <f>'mnt Data'!AG436</f>
        <v>0</v>
      </c>
      <c r="AV433" s="31">
        <f>'mnt Data'!AH436</f>
        <v>0</v>
      </c>
      <c r="AW433" s="31">
        <f>'mnt Data'!AI436</f>
        <v>0</v>
      </c>
      <c r="AX433" s="31">
        <f>'mnt Data'!AJ436</f>
        <v>0</v>
      </c>
      <c r="AY433" s="31">
        <f>'mnt Data'!AK436</f>
        <v>0</v>
      </c>
    </row>
    <row r="434" spans="1:51" x14ac:dyDescent="0.25">
      <c r="A434">
        <v>433</v>
      </c>
      <c r="B434" s="32">
        <f t="shared" si="84"/>
        <v>0</v>
      </c>
      <c r="C434" s="32">
        <f t="shared" si="85"/>
        <v>0</v>
      </c>
      <c r="D434" s="32" t="str">
        <f t="shared" si="77"/>
        <v>No Gs</v>
      </c>
      <c r="E434" s="32">
        <f t="shared" si="81"/>
        <v>0</v>
      </c>
      <c r="F434" s="32" t="str">
        <f t="shared" si="82"/>
        <v>No Gs</v>
      </c>
      <c r="G434" s="32" t="str">
        <f t="shared" si="83"/>
        <v>No Gs</v>
      </c>
      <c r="H434" s="32" t="str">
        <f t="shared" si="86"/>
        <v>Gs is needed</v>
      </c>
      <c r="I434" s="32" t="str">
        <f t="shared" si="87"/>
        <v>Gs is needed</v>
      </c>
      <c r="J434" s="32" t="str">
        <f t="shared" si="88"/>
        <v>Gs is needed</v>
      </c>
      <c r="K434" s="32" t="str">
        <f t="shared" si="78"/>
        <v>Need Max and Min</v>
      </c>
      <c r="L434" s="32" t="str">
        <f t="shared" si="79"/>
        <v>Need Max and Min</v>
      </c>
      <c r="M434" s="32" t="str">
        <f t="shared" si="80"/>
        <v>Fail</v>
      </c>
      <c r="N434" s="32"/>
      <c r="O434" s="31">
        <f>'mnt Data'!A437</f>
        <v>0</v>
      </c>
      <c r="P434" s="31">
        <f>'mnt Data'!B437</f>
        <v>0</v>
      </c>
      <c r="Q434" s="31">
        <f>'mnt Data'!C437</f>
        <v>0</v>
      </c>
      <c r="R434" s="31">
        <f>'mnt Data'!D437</f>
        <v>0</v>
      </c>
      <c r="S434" s="31">
        <f>'mnt Data'!E437</f>
        <v>0</v>
      </c>
      <c r="T434" s="31">
        <f>'mnt Data'!F437</f>
        <v>0</v>
      </c>
      <c r="U434" s="31">
        <f>'mnt Data'!G437</f>
        <v>0</v>
      </c>
      <c r="V434" s="31">
        <f>'mnt Data'!H437</f>
        <v>0</v>
      </c>
      <c r="W434" s="31">
        <f>'mnt Data'!I437</f>
        <v>0</v>
      </c>
      <c r="X434" s="31">
        <f>'mnt Data'!J437</f>
        <v>0</v>
      </c>
      <c r="Y434" s="31">
        <f>'mnt Data'!K437</f>
        <v>0</v>
      </c>
      <c r="Z434" s="31">
        <f>'mnt Data'!L437</f>
        <v>0</v>
      </c>
      <c r="AA434" s="31">
        <f>'mnt Data'!M437</f>
        <v>0</v>
      </c>
      <c r="AB434" s="31">
        <f>'mnt Data'!N437</f>
        <v>0</v>
      </c>
      <c r="AC434" s="31">
        <f>'mnt Data'!O437</f>
        <v>0</v>
      </c>
      <c r="AD434" s="31">
        <f>'mnt Data'!P437</f>
        <v>0</v>
      </c>
      <c r="AE434" s="31">
        <f>'mnt Data'!Q437</f>
        <v>0</v>
      </c>
      <c r="AF434" s="31">
        <f>'mnt Data'!R437</f>
        <v>0</v>
      </c>
      <c r="AG434" s="31">
        <f>'mnt Data'!S437</f>
        <v>0</v>
      </c>
      <c r="AH434" s="31">
        <f>'mnt Data'!T437</f>
        <v>0</v>
      </c>
      <c r="AI434" s="31">
        <f>'mnt Data'!U437</f>
        <v>0</v>
      </c>
      <c r="AJ434" s="31">
        <f>'mnt Data'!V437</f>
        <v>0</v>
      </c>
      <c r="AK434" s="31">
        <f>'mnt Data'!W437</f>
        <v>0</v>
      </c>
      <c r="AL434" s="31">
        <f>'mnt Data'!X437</f>
        <v>0</v>
      </c>
      <c r="AM434" s="31">
        <f>'mnt Data'!Y437</f>
        <v>0</v>
      </c>
      <c r="AN434" s="31">
        <f>'mnt Data'!Z437</f>
        <v>0</v>
      </c>
      <c r="AO434" s="31">
        <f>'mnt Data'!AA437</f>
        <v>0</v>
      </c>
      <c r="AP434" s="31">
        <f>'mnt Data'!AB437</f>
        <v>0</v>
      </c>
      <c r="AQ434" s="31">
        <f>'mnt Data'!AC437</f>
        <v>0</v>
      </c>
      <c r="AR434" s="31">
        <f>'mnt Data'!AD437</f>
        <v>0</v>
      </c>
      <c r="AS434" s="31">
        <f>'mnt Data'!AE437</f>
        <v>0</v>
      </c>
      <c r="AT434" s="31">
        <f>'mnt Data'!AF437</f>
        <v>0</v>
      </c>
      <c r="AU434" s="31">
        <f>'mnt Data'!AG437</f>
        <v>0</v>
      </c>
      <c r="AV434" s="31">
        <f>'mnt Data'!AH437</f>
        <v>0</v>
      </c>
      <c r="AW434" s="31">
        <f>'mnt Data'!AI437</f>
        <v>0</v>
      </c>
      <c r="AX434" s="31">
        <f>'mnt Data'!AJ437</f>
        <v>0</v>
      </c>
      <c r="AY434" s="31">
        <f>'mnt Data'!AK437</f>
        <v>0</v>
      </c>
    </row>
    <row r="435" spans="1:51" x14ac:dyDescent="0.25">
      <c r="A435">
        <v>434</v>
      </c>
      <c r="B435" s="32">
        <f t="shared" si="84"/>
        <v>0</v>
      </c>
      <c r="C435" s="32">
        <f t="shared" si="85"/>
        <v>0</v>
      </c>
      <c r="D435" s="32" t="str">
        <f t="shared" si="77"/>
        <v>No Gs</v>
      </c>
      <c r="E435" s="32">
        <f t="shared" si="81"/>
        <v>0</v>
      </c>
      <c r="F435" s="32" t="str">
        <f t="shared" si="82"/>
        <v>No Gs</v>
      </c>
      <c r="G435" s="32" t="str">
        <f t="shared" si="83"/>
        <v>No Gs</v>
      </c>
      <c r="H435" s="32" t="str">
        <f t="shared" si="86"/>
        <v>Gs is needed</v>
      </c>
      <c r="I435" s="32" t="str">
        <f t="shared" si="87"/>
        <v>Gs is needed</v>
      </c>
      <c r="J435" s="32" t="str">
        <f t="shared" si="88"/>
        <v>Gs is needed</v>
      </c>
      <c r="K435" s="32" t="str">
        <f t="shared" si="78"/>
        <v>Need Max and Min</v>
      </c>
      <c r="L435" s="32" t="str">
        <f t="shared" si="79"/>
        <v>Need Max and Min</v>
      </c>
      <c r="M435" s="32" t="str">
        <f t="shared" si="80"/>
        <v>Fail</v>
      </c>
      <c r="N435" s="32"/>
      <c r="O435" s="31">
        <f>'mnt Data'!A438</f>
        <v>0</v>
      </c>
      <c r="P435" s="31">
        <f>'mnt Data'!B438</f>
        <v>0</v>
      </c>
      <c r="Q435" s="31">
        <f>'mnt Data'!C438</f>
        <v>0</v>
      </c>
      <c r="R435" s="31">
        <f>'mnt Data'!D438</f>
        <v>0</v>
      </c>
      <c r="S435" s="31">
        <f>'mnt Data'!E438</f>
        <v>0</v>
      </c>
      <c r="T435" s="31">
        <f>'mnt Data'!F438</f>
        <v>0</v>
      </c>
      <c r="U435" s="31">
        <f>'mnt Data'!G438</f>
        <v>0</v>
      </c>
      <c r="V435" s="31">
        <f>'mnt Data'!H438</f>
        <v>0</v>
      </c>
      <c r="W435" s="31">
        <f>'mnt Data'!I438</f>
        <v>0</v>
      </c>
      <c r="X435" s="31">
        <f>'mnt Data'!J438</f>
        <v>0</v>
      </c>
      <c r="Y435" s="31">
        <f>'mnt Data'!K438</f>
        <v>0</v>
      </c>
      <c r="Z435" s="31">
        <f>'mnt Data'!L438</f>
        <v>0</v>
      </c>
      <c r="AA435" s="31">
        <f>'mnt Data'!M438</f>
        <v>0</v>
      </c>
      <c r="AB435" s="31">
        <f>'mnt Data'!N438</f>
        <v>0</v>
      </c>
      <c r="AC435" s="31">
        <f>'mnt Data'!O438</f>
        <v>0</v>
      </c>
      <c r="AD435" s="31">
        <f>'mnt Data'!P438</f>
        <v>0</v>
      </c>
      <c r="AE435" s="31">
        <f>'mnt Data'!Q438</f>
        <v>0</v>
      </c>
      <c r="AF435" s="31">
        <f>'mnt Data'!R438</f>
        <v>0</v>
      </c>
      <c r="AG435" s="31">
        <f>'mnt Data'!S438</f>
        <v>0</v>
      </c>
      <c r="AH435" s="31">
        <f>'mnt Data'!T438</f>
        <v>0</v>
      </c>
      <c r="AI435" s="31">
        <f>'mnt Data'!U438</f>
        <v>0</v>
      </c>
      <c r="AJ435" s="31">
        <f>'mnt Data'!V438</f>
        <v>0</v>
      </c>
      <c r="AK435" s="31">
        <f>'mnt Data'!W438</f>
        <v>0</v>
      </c>
      <c r="AL435" s="31">
        <f>'mnt Data'!X438</f>
        <v>0</v>
      </c>
      <c r="AM435" s="31">
        <f>'mnt Data'!Y438</f>
        <v>0</v>
      </c>
      <c r="AN435" s="31">
        <f>'mnt Data'!Z438</f>
        <v>0</v>
      </c>
      <c r="AO435" s="31">
        <f>'mnt Data'!AA438</f>
        <v>0</v>
      </c>
      <c r="AP435" s="31">
        <f>'mnt Data'!AB438</f>
        <v>0</v>
      </c>
      <c r="AQ435" s="31">
        <f>'mnt Data'!AC438</f>
        <v>0</v>
      </c>
      <c r="AR435" s="31">
        <f>'mnt Data'!AD438</f>
        <v>0</v>
      </c>
      <c r="AS435" s="31">
        <f>'mnt Data'!AE438</f>
        <v>0</v>
      </c>
      <c r="AT435" s="31">
        <f>'mnt Data'!AF438</f>
        <v>0</v>
      </c>
      <c r="AU435" s="31">
        <f>'mnt Data'!AG438</f>
        <v>0</v>
      </c>
      <c r="AV435" s="31">
        <f>'mnt Data'!AH438</f>
        <v>0</v>
      </c>
      <c r="AW435" s="31">
        <f>'mnt Data'!AI438</f>
        <v>0</v>
      </c>
      <c r="AX435" s="31">
        <f>'mnt Data'!AJ438</f>
        <v>0</v>
      </c>
      <c r="AY435" s="31">
        <f>'mnt Data'!AK438</f>
        <v>0</v>
      </c>
    </row>
    <row r="436" spans="1:51" x14ac:dyDescent="0.25">
      <c r="A436">
        <v>435</v>
      </c>
      <c r="B436" s="32">
        <f t="shared" si="84"/>
        <v>0</v>
      </c>
      <c r="C436" s="32">
        <f t="shared" si="85"/>
        <v>0</v>
      </c>
      <c r="D436" s="32" t="str">
        <f t="shared" si="77"/>
        <v>No Gs</v>
      </c>
      <c r="E436" s="32">
        <f t="shared" si="81"/>
        <v>0</v>
      </c>
      <c r="F436" s="32" t="str">
        <f t="shared" si="82"/>
        <v>No Gs</v>
      </c>
      <c r="G436" s="32" t="str">
        <f t="shared" si="83"/>
        <v>No Gs</v>
      </c>
      <c r="H436" s="32" t="str">
        <f t="shared" si="86"/>
        <v>Gs is needed</v>
      </c>
      <c r="I436" s="32" t="str">
        <f t="shared" si="87"/>
        <v>Gs is needed</v>
      </c>
      <c r="J436" s="32" t="str">
        <f t="shared" si="88"/>
        <v>Gs is needed</v>
      </c>
      <c r="K436" s="32" t="str">
        <f t="shared" si="78"/>
        <v>Need Max and Min</v>
      </c>
      <c r="L436" s="32" t="str">
        <f t="shared" si="79"/>
        <v>Need Max and Min</v>
      </c>
      <c r="M436" s="32" t="str">
        <f t="shared" si="80"/>
        <v>Fail</v>
      </c>
      <c r="N436" s="32"/>
      <c r="O436" s="31">
        <f>'mnt Data'!A439</f>
        <v>0</v>
      </c>
      <c r="P436" s="31">
        <f>'mnt Data'!B439</f>
        <v>0</v>
      </c>
      <c r="Q436" s="31">
        <f>'mnt Data'!C439</f>
        <v>0</v>
      </c>
      <c r="R436" s="31">
        <f>'mnt Data'!D439</f>
        <v>0</v>
      </c>
      <c r="S436" s="31">
        <f>'mnt Data'!E439</f>
        <v>0</v>
      </c>
      <c r="T436" s="31">
        <f>'mnt Data'!F439</f>
        <v>0</v>
      </c>
      <c r="U436" s="31">
        <f>'mnt Data'!G439</f>
        <v>0</v>
      </c>
      <c r="V436" s="31">
        <f>'mnt Data'!H439</f>
        <v>0</v>
      </c>
      <c r="W436" s="31">
        <f>'mnt Data'!I439</f>
        <v>0</v>
      </c>
      <c r="X436" s="31">
        <f>'mnt Data'!J439</f>
        <v>0</v>
      </c>
      <c r="Y436" s="31">
        <f>'mnt Data'!K439</f>
        <v>0</v>
      </c>
      <c r="Z436" s="31">
        <f>'mnt Data'!L439</f>
        <v>0</v>
      </c>
      <c r="AA436" s="31">
        <f>'mnt Data'!M439</f>
        <v>0</v>
      </c>
      <c r="AB436" s="31">
        <f>'mnt Data'!N439</f>
        <v>0</v>
      </c>
      <c r="AC436" s="31">
        <f>'mnt Data'!O439</f>
        <v>0</v>
      </c>
      <c r="AD436" s="31">
        <f>'mnt Data'!P439</f>
        <v>0</v>
      </c>
      <c r="AE436" s="31">
        <f>'mnt Data'!Q439</f>
        <v>0</v>
      </c>
      <c r="AF436" s="31">
        <f>'mnt Data'!R439</f>
        <v>0</v>
      </c>
      <c r="AG436" s="31">
        <f>'mnt Data'!S439</f>
        <v>0</v>
      </c>
      <c r="AH436" s="31">
        <f>'mnt Data'!T439</f>
        <v>0</v>
      </c>
      <c r="AI436" s="31">
        <f>'mnt Data'!U439</f>
        <v>0</v>
      </c>
      <c r="AJ436" s="31">
        <f>'mnt Data'!V439</f>
        <v>0</v>
      </c>
      <c r="AK436" s="31">
        <f>'mnt Data'!W439</f>
        <v>0</v>
      </c>
      <c r="AL436" s="31">
        <f>'mnt Data'!X439</f>
        <v>0</v>
      </c>
      <c r="AM436" s="31">
        <f>'mnt Data'!Y439</f>
        <v>0</v>
      </c>
      <c r="AN436" s="31">
        <f>'mnt Data'!Z439</f>
        <v>0</v>
      </c>
      <c r="AO436" s="31">
        <f>'mnt Data'!AA439</f>
        <v>0</v>
      </c>
      <c r="AP436" s="31">
        <f>'mnt Data'!AB439</f>
        <v>0</v>
      </c>
      <c r="AQ436" s="31">
        <f>'mnt Data'!AC439</f>
        <v>0</v>
      </c>
      <c r="AR436" s="31">
        <f>'mnt Data'!AD439</f>
        <v>0</v>
      </c>
      <c r="AS436" s="31">
        <f>'mnt Data'!AE439</f>
        <v>0</v>
      </c>
      <c r="AT436" s="31">
        <f>'mnt Data'!AF439</f>
        <v>0</v>
      </c>
      <c r="AU436" s="31">
        <f>'mnt Data'!AG439</f>
        <v>0</v>
      </c>
      <c r="AV436" s="31">
        <f>'mnt Data'!AH439</f>
        <v>0</v>
      </c>
      <c r="AW436" s="31">
        <f>'mnt Data'!AI439</f>
        <v>0</v>
      </c>
      <c r="AX436" s="31">
        <f>'mnt Data'!AJ439</f>
        <v>0</v>
      </c>
      <c r="AY436" s="31">
        <f>'mnt Data'!AK439</f>
        <v>0</v>
      </c>
    </row>
    <row r="437" spans="1:51" x14ac:dyDescent="0.25">
      <c r="A437">
        <v>436</v>
      </c>
      <c r="B437" s="32">
        <f t="shared" si="84"/>
        <v>0</v>
      </c>
      <c r="C437" s="32">
        <f t="shared" si="85"/>
        <v>0</v>
      </c>
      <c r="D437" s="32" t="str">
        <f t="shared" si="77"/>
        <v>No Gs</v>
      </c>
      <c r="E437" s="32">
        <f t="shared" si="81"/>
        <v>0</v>
      </c>
      <c r="F437" s="32" t="str">
        <f t="shared" si="82"/>
        <v>No Gs</v>
      </c>
      <c r="G437" s="32" t="str">
        <f t="shared" si="83"/>
        <v>No Gs</v>
      </c>
      <c r="H437" s="32" t="str">
        <f t="shared" si="86"/>
        <v>Gs is needed</v>
      </c>
      <c r="I437" s="32" t="str">
        <f t="shared" si="87"/>
        <v>Gs is needed</v>
      </c>
      <c r="J437" s="32" t="str">
        <f t="shared" si="88"/>
        <v>Gs is needed</v>
      </c>
      <c r="K437" s="32" t="str">
        <f t="shared" si="78"/>
        <v>Need Max and Min</v>
      </c>
      <c r="L437" s="32" t="str">
        <f t="shared" si="79"/>
        <v>Need Max and Min</v>
      </c>
      <c r="M437" s="32" t="str">
        <f t="shared" si="80"/>
        <v>Fail</v>
      </c>
      <c r="N437" s="32"/>
      <c r="O437" s="31">
        <f>'mnt Data'!A440</f>
        <v>0</v>
      </c>
      <c r="P437" s="31">
        <f>'mnt Data'!B440</f>
        <v>0</v>
      </c>
      <c r="Q437" s="31">
        <f>'mnt Data'!C440</f>
        <v>0</v>
      </c>
      <c r="R437" s="31">
        <f>'mnt Data'!D440</f>
        <v>0</v>
      </c>
      <c r="S437" s="31">
        <f>'mnt Data'!E440</f>
        <v>0</v>
      </c>
      <c r="T437" s="31">
        <f>'mnt Data'!F440</f>
        <v>0</v>
      </c>
      <c r="U437" s="31">
        <f>'mnt Data'!G440</f>
        <v>0</v>
      </c>
      <c r="V437" s="31">
        <f>'mnt Data'!H440</f>
        <v>0</v>
      </c>
      <c r="W437" s="31">
        <f>'mnt Data'!I440</f>
        <v>0</v>
      </c>
      <c r="X437" s="31">
        <f>'mnt Data'!J440</f>
        <v>0</v>
      </c>
      <c r="Y437" s="31">
        <f>'mnt Data'!K440</f>
        <v>0</v>
      </c>
      <c r="Z437" s="31">
        <f>'mnt Data'!L440</f>
        <v>0</v>
      </c>
      <c r="AA437" s="31">
        <f>'mnt Data'!M440</f>
        <v>0</v>
      </c>
      <c r="AB437" s="31">
        <f>'mnt Data'!N440</f>
        <v>0</v>
      </c>
      <c r="AC437" s="31">
        <f>'mnt Data'!O440</f>
        <v>0</v>
      </c>
      <c r="AD437" s="31">
        <f>'mnt Data'!P440</f>
        <v>0</v>
      </c>
      <c r="AE437" s="31">
        <f>'mnt Data'!Q440</f>
        <v>0</v>
      </c>
      <c r="AF437" s="31">
        <f>'mnt Data'!R440</f>
        <v>0</v>
      </c>
      <c r="AG437" s="31">
        <f>'mnt Data'!S440</f>
        <v>0</v>
      </c>
      <c r="AH437" s="31">
        <f>'mnt Data'!T440</f>
        <v>0</v>
      </c>
      <c r="AI437" s="31">
        <f>'mnt Data'!U440</f>
        <v>0</v>
      </c>
      <c r="AJ437" s="31">
        <f>'mnt Data'!V440</f>
        <v>0</v>
      </c>
      <c r="AK437" s="31">
        <f>'mnt Data'!W440</f>
        <v>0</v>
      </c>
      <c r="AL437" s="31">
        <f>'mnt Data'!X440</f>
        <v>0</v>
      </c>
      <c r="AM437" s="31">
        <f>'mnt Data'!Y440</f>
        <v>0</v>
      </c>
      <c r="AN437" s="31">
        <f>'mnt Data'!Z440</f>
        <v>0</v>
      </c>
      <c r="AO437" s="31">
        <f>'mnt Data'!AA440</f>
        <v>0</v>
      </c>
      <c r="AP437" s="31">
        <f>'mnt Data'!AB440</f>
        <v>0</v>
      </c>
      <c r="AQ437" s="31">
        <f>'mnt Data'!AC440</f>
        <v>0</v>
      </c>
      <c r="AR437" s="31">
        <f>'mnt Data'!AD440</f>
        <v>0</v>
      </c>
      <c r="AS437" s="31">
        <f>'mnt Data'!AE440</f>
        <v>0</v>
      </c>
      <c r="AT437" s="31">
        <f>'mnt Data'!AF440</f>
        <v>0</v>
      </c>
      <c r="AU437" s="31">
        <f>'mnt Data'!AG440</f>
        <v>0</v>
      </c>
      <c r="AV437" s="31">
        <f>'mnt Data'!AH440</f>
        <v>0</v>
      </c>
      <c r="AW437" s="31">
        <f>'mnt Data'!AI440</f>
        <v>0</v>
      </c>
      <c r="AX437" s="31">
        <f>'mnt Data'!AJ440</f>
        <v>0</v>
      </c>
      <c r="AY437" s="31">
        <f>'mnt Data'!AK440</f>
        <v>0</v>
      </c>
    </row>
    <row r="438" spans="1:51" x14ac:dyDescent="0.25">
      <c r="A438">
        <v>437</v>
      </c>
      <c r="B438" s="32">
        <f t="shared" si="84"/>
        <v>0</v>
      </c>
      <c r="C438" s="32">
        <f t="shared" si="85"/>
        <v>0</v>
      </c>
      <c r="D438" s="32" t="str">
        <f t="shared" si="77"/>
        <v>No Gs</v>
      </c>
      <c r="E438" s="32">
        <f t="shared" si="81"/>
        <v>0</v>
      </c>
      <c r="F438" s="32" t="str">
        <f t="shared" si="82"/>
        <v>No Gs</v>
      </c>
      <c r="G438" s="32" t="str">
        <f t="shared" si="83"/>
        <v>No Gs</v>
      </c>
      <c r="H438" s="32" t="str">
        <f t="shared" si="86"/>
        <v>Gs is needed</v>
      </c>
      <c r="I438" s="32" t="str">
        <f t="shared" si="87"/>
        <v>Gs is needed</v>
      </c>
      <c r="J438" s="32" t="str">
        <f t="shared" si="88"/>
        <v>Gs is needed</v>
      </c>
      <c r="K438" s="32" t="str">
        <f t="shared" si="78"/>
        <v>Need Max and Min</v>
      </c>
      <c r="L438" s="32" t="str">
        <f t="shared" si="79"/>
        <v>Need Max and Min</v>
      </c>
      <c r="M438" s="32" t="str">
        <f t="shared" si="80"/>
        <v>Fail</v>
      </c>
      <c r="N438" s="32"/>
      <c r="O438" s="31">
        <f>'mnt Data'!A441</f>
        <v>0</v>
      </c>
      <c r="P438" s="31">
        <f>'mnt Data'!B441</f>
        <v>0</v>
      </c>
      <c r="Q438" s="31">
        <f>'mnt Data'!C441</f>
        <v>0</v>
      </c>
      <c r="R438" s="31">
        <f>'mnt Data'!D441</f>
        <v>0</v>
      </c>
      <c r="S438" s="31">
        <f>'mnt Data'!E441</f>
        <v>0</v>
      </c>
      <c r="T438" s="31">
        <f>'mnt Data'!F441</f>
        <v>0</v>
      </c>
      <c r="U438" s="31">
        <f>'mnt Data'!G441</f>
        <v>0</v>
      </c>
      <c r="V438" s="31">
        <f>'mnt Data'!H441</f>
        <v>0</v>
      </c>
      <c r="W438" s="31">
        <f>'mnt Data'!I441</f>
        <v>0</v>
      </c>
      <c r="X438" s="31">
        <f>'mnt Data'!J441</f>
        <v>0</v>
      </c>
      <c r="Y438" s="31">
        <f>'mnt Data'!K441</f>
        <v>0</v>
      </c>
      <c r="Z438" s="31">
        <f>'mnt Data'!L441</f>
        <v>0</v>
      </c>
      <c r="AA438" s="31">
        <f>'mnt Data'!M441</f>
        <v>0</v>
      </c>
      <c r="AB438" s="31">
        <f>'mnt Data'!N441</f>
        <v>0</v>
      </c>
      <c r="AC438" s="31">
        <f>'mnt Data'!O441</f>
        <v>0</v>
      </c>
      <c r="AD438" s="31">
        <f>'mnt Data'!P441</f>
        <v>0</v>
      </c>
      <c r="AE438" s="31">
        <f>'mnt Data'!Q441</f>
        <v>0</v>
      </c>
      <c r="AF438" s="31">
        <f>'mnt Data'!R441</f>
        <v>0</v>
      </c>
      <c r="AG438" s="31">
        <f>'mnt Data'!S441</f>
        <v>0</v>
      </c>
      <c r="AH438" s="31">
        <f>'mnt Data'!T441</f>
        <v>0</v>
      </c>
      <c r="AI438" s="31">
        <f>'mnt Data'!U441</f>
        <v>0</v>
      </c>
      <c r="AJ438" s="31">
        <f>'mnt Data'!V441</f>
        <v>0</v>
      </c>
      <c r="AK438" s="31">
        <f>'mnt Data'!W441</f>
        <v>0</v>
      </c>
      <c r="AL438" s="31">
        <f>'mnt Data'!X441</f>
        <v>0</v>
      </c>
      <c r="AM438" s="31">
        <f>'mnt Data'!Y441</f>
        <v>0</v>
      </c>
      <c r="AN438" s="31">
        <f>'mnt Data'!Z441</f>
        <v>0</v>
      </c>
      <c r="AO438" s="31">
        <f>'mnt Data'!AA441</f>
        <v>0</v>
      </c>
      <c r="AP438" s="31">
        <f>'mnt Data'!AB441</f>
        <v>0</v>
      </c>
      <c r="AQ438" s="31">
        <f>'mnt Data'!AC441</f>
        <v>0</v>
      </c>
      <c r="AR438" s="31">
        <f>'mnt Data'!AD441</f>
        <v>0</v>
      </c>
      <c r="AS438" s="31">
        <f>'mnt Data'!AE441</f>
        <v>0</v>
      </c>
      <c r="AT438" s="31">
        <f>'mnt Data'!AF441</f>
        <v>0</v>
      </c>
      <c r="AU438" s="31">
        <f>'mnt Data'!AG441</f>
        <v>0</v>
      </c>
      <c r="AV438" s="31">
        <f>'mnt Data'!AH441</f>
        <v>0</v>
      </c>
      <c r="AW438" s="31">
        <f>'mnt Data'!AI441</f>
        <v>0</v>
      </c>
      <c r="AX438" s="31">
        <f>'mnt Data'!AJ441</f>
        <v>0</v>
      </c>
      <c r="AY438" s="31">
        <f>'mnt Data'!AK441</f>
        <v>0</v>
      </c>
    </row>
    <row r="439" spans="1:51" x14ac:dyDescent="0.25">
      <c r="A439">
        <v>438</v>
      </c>
      <c r="B439" s="32">
        <f t="shared" si="84"/>
        <v>0</v>
      </c>
      <c r="C439" s="32">
        <f t="shared" si="85"/>
        <v>0</v>
      </c>
      <c r="D439" s="32" t="str">
        <f t="shared" si="77"/>
        <v>No Gs</v>
      </c>
      <c r="E439" s="32">
        <f t="shared" si="81"/>
        <v>0</v>
      </c>
      <c r="F439" s="32" t="str">
        <f t="shared" si="82"/>
        <v>No Gs</v>
      </c>
      <c r="G439" s="32" t="str">
        <f t="shared" si="83"/>
        <v>No Gs</v>
      </c>
      <c r="H439" s="32" t="str">
        <f t="shared" si="86"/>
        <v>Gs is needed</v>
      </c>
      <c r="I439" s="32" t="str">
        <f t="shared" si="87"/>
        <v>Gs is needed</v>
      </c>
      <c r="J439" s="32" t="str">
        <f t="shared" si="88"/>
        <v>Gs is needed</v>
      </c>
      <c r="K439" s="32" t="str">
        <f t="shared" si="78"/>
        <v>Need Max and Min</v>
      </c>
      <c r="L439" s="32" t="str">
        <f t="shared" si="79"/>
        <v>Need Max and Min</v>
      </c>
      <c r="M439" s="32" t="str">
        <f t="shared" si="80"/>
        <v>Fail</v>
      </c>
      <c r="N439" s="32"/>
      <c r="O439" s="31">
        <f>'mnt Data'!A442</f>
        <v>0</v>
      </c>
      <c r="P439" s="31">
        <f>'mnt Data'!B442</f>
        <v>0</v>
      </c>
      <c r="Q439" s="31">
        <f>'mnt Data'!C442</f>
        <v>0</v>
      </c>
      <c r="R439" s="31">
        <f>'mnt Data'!D442</f>
        <v>0</v>
      </c>
      <c r="S439" s="31">
        <f>'mnt Data'!E442</f>
        <v>0</v>
      </c>
      <c r="T439" s="31">
        <f>'mnt Data'!F442</f>
        <v>0</v>
      </c>
      <c r="U439" s="31">
        <f>'mnt Data'!G442</f>
        <v>0</v>
      </c>
      <c r="V439" s="31">
        <f>'mnt Data'!H442</f>
        <v>0</v>
      </c>
      <c r="W439" s="31">
        <f>'mnt Data'!I442</f>
        <v>0</v>
      </c>
      <c r="X439" s="31">
        <f>'mnt Data'!J442</f>
        <v>0</v>
      </c>
      <c r="Y439" s="31">
        <f>'mnt Data'!K442</f>
        <v>0</v>
      </c>
      <c r="Z439" s="31">
        <f>'mnt Data'!L442</f>
        <v>0</v>
      </c>
      <c r="AA439" s="31">
        <f>'mnt Data'!M442</f>
        <v>0</v>
      </c>
      <c r="AB439" s="31">
        <f>'mnt Data'!N442</f>
        <v>0</v>
      </c>
      <c r="AC439" s="31">
        <f>'mnt Data'!O442</f>
        <v>0</v>
      </c>
      <c r="AD439" s="31">
        <f>'mnt Data'!P442</f>
        <v>0</v>
      </c>
      <c r="AE439" s="31">
        <f>'mnt Data'!Q442</f>
        <v>0</v>
      </c>
      <c r="AF439" s="31">
        <f>'mnt Data'!R442</f>
        <v>0</v>
      </c>
      <c r="AG439" s="31">
        <f>'mnt Data'!S442</f>
        <v>0</v>
      </c>
      <c r="AH439" s="31">
        <f>'mnt Data'!T442</f>
        <v>0</v>
      </c>
      <c r="AI439" s="31">
        <f>'mnt Data'!U442</f>
        <v>0</v>
      </c>
      <c r="AJ439" s="31">
        <f>'mnt Data'!V442</f>
        <v>0</v>
      </c>
      <c r="AK439" s="31">
        <f>'mnt Data'!W442</f>
        <v>0</v>
      </c>
      <c r="AL439" s="31">
        <f>'mnt Data'!X442</f>
        <v>0</v>
      </c>
      <c r="AM439" s="31">
        <f>'mnt Data'!Y442</f>
        <v>0</v>
      </c>
      <c r="AN439" s="31">
        <f>'mnt Data'!Z442</f>
        <v>0</v>
      </c>
      <c r="AO439" s="31">
        <f>'mnt Data'!AA442</f>
        <v>0</v>
      </c>
      <c r="AP439" s="31">
        <f>'mnt Data'!AB442</f>
        <v>0</v>
      </c>
      <c r="AQ439" s="31">
        <f>'mnt Data'!AC442</f>
        <v>0</v>
      </c>
      <c r="AR439" s="31">
        <f>'mnt Data'!AD442</f>
        <v>0</v>
      </c>
      <c r="AS439" s="31">
        <f>'mnt Data'!AE442</f>
        <v>0</v>
      </c>
      <c r="AT439" s="31">
        <f>'mnt Data'!AF442</f>
        <v>0</v>
      </c>
      <c r="AU439" s="31">
        <f>'mnt Data'!AG442</f>
        <v>0</v>
      </c>
      <c r="AV439" s="31">
        <f>'mnt Data'!AH442</f>
        <v>0</v>
      </c>
      <c r="AW439" s="31">
        <f>'mnt Data'!AI442</f>
        <v>0</v>
      </c>
      <c r="AX439" s="31">
        <f>'mnt Data'!AJ442</f>
        <v>0</v>
      </c>
      <c r="AY439" s="31">
        <f>'mnt Data'!AK442</f>
        <v>0</v>
      </c>
    </row>
    <row r="440" spans="1:51" x14ac:dyDescent="0.25">
      <c r="A440">
        <v>439</v>
      </c>
      <c r="B440" s="32">
        <f t="shared" si="84"/>
        <v>0</v>
      </c>
      <c r="C440" s="32">
        <f t="shared" si="85"/>
        <v>0</v>
      </c>
      <c r="D440" s="32" t="str">
        <f t="shared" si="77"/>
        <v>No Gs</v>
      </c>
      <c r="E440" s="32">
        <f t="shared" si="81"/>
        <v>0</v>
      </c>
      <c r="F440" s="32" t="str">
        <f t="shared" si="82"/>
        <v>No Gs</v>
      </c>
      <c r="G440" s="32" t="str">
        <f t="shared" si="83"/>
        <v>No Gs</v>
      </c>
      <c r="H440" s="32" t="str">
        <f t="shared" si="86"/>
        <v>Gs is needed</v>
      </c>
      <c r="I440" s="32" t="str">
        <f t="shared" si="87"/>
        <v>Gs is needed</v>
      </c>
      <c r="J440" s="32" t="str">
        <f t="shared" si="88"/>
        <v>Gs is needed</v>
      </c>
      <c r="K440" s="32" t="str">
        <f t="shared" si="78"/>
        <v>Need Max and Min</v>
      </c>
      <c r="L440" s="32" t="str">
        <f t="shared" si="79"/>
        <v>Need Max and Min</v>
      </c>
      <c r="M440" s="32" t="str">
        <f t="shared" si="80"/>
        <v>Fail</v>
      </c>
      <c r="N440" s="32"/>
      <c r="O440" s="31">
        <f>'mnt Data'!A443</f>
        <v>0</v>
      </c>
      <c r="P440" s="31">
        <f>'mnt Data'!B443</f>
        <v>0</v>
      </c>
      <c r="Q440" s="31">
        <f>'mnt Data'!C443</f>
        <v>0</v>
      </c>
      <c r="R440" s="31">
        <f>'mnt Data'!D443</f>
        <v>0</v>
      </c>
      <c r="S440" s="31">
        <f>'mnt Data'!E443</f>
        <v>0</v>
      </c>
      <c r="T440" s="31">
        <f>'mnt Data'!F443</f>
        <v>0</v>
      </c>
      <c r="U440" s="31">
        <f>'mnt Data'!G443</f>
        <v>0</v>
      </c>
      <c r="V440" s="31">
        <f>'mnt Data'!H443</f>
        <v>0</v>
      </c>
      <c r="W440" s="31">
        <f>'mnt Data'!I443</f>
        <v>0</v>
      </c>
      <c r="X440" s="31">
        <f>'mnt Data'!J443</f>
        <v>0</v>
      </c>
      <c r="Y440" s="31">
        <f>'mnt Data'!K443</f>
        <v>0</v>
      </c>
      <c r="Z440" s="31">
        <f>'mnt Data'!L443</f>
        <v>0</v>
      </c>
      <c r="AA440" s="31">
        <f>'mnt Data'!M443</f>
        <v>0</v>
      </c>
      <c r="AB440" s="31">
        <f>'mnt Data'!N443</f>
        <v>0</v>
      </c>
      <c r="AC440" s="31">
        <f>'mnt Data'!O443</f>
        <v>0</v>
      </c>
      <c r="AD440" s="31">
        <f>'mnt Data'!P443</f>
        <v>0</v>
      </c>
      <c r="AE440" s="31">
        <f>'mnt Data'!Q443</f>
        <v>0</v>
      </c>
      <c r="AF440" s="31">
        <f>'mnt Data'!R443</f>
        <v>0</v>
      </c>
      <c r="AG440" s="31">
        <f>'mnt Data'!S443</f>
        <v>0</v>
      </c>
      <c r="AH440" s="31">
        <f>'mnt Data'!T443</f>
        <v>0</v>
      </c>
      <c r="AI440" s="31">
        <f>'mnt Data'!U443</f>
        <v>0</v>
      </c>
      <c r="AJ440" s="31">
        <f>'mnt Data'!V443</f>
        <v>0</v>
      </c>
      <c r="AK440" s="31">
        <f>'mnt Data'!W443</f>
        <v>0</v>
      </c>
      <c r="AL440" s="31">
        <f>'mnt Data'!X443</f>
        <v>0</v>
      </c>
      <c r="AM440" s="31">
        <f>'mnt Data'!Y443</f>
        <v>0</v>
      </c>
      <c r="AN440" s="31">
        <f>'mnt Data'!Z443</f>
        <v>0</v>
      </c>
      <c r="AO440" s="31">
        <f>'mnt Data'!AA443</f>
        <v>0</v>
      </c>
      <c r="AP440" s="31">
        <f>'mnt Data'!AB443</f>
        <v>0</v>
      </c>
      <c r="AQ440" s="31">
        <f>'mnt Data'!AC443</f>
        <v>0</v>
      </c>
      <c r="AR440" s="31">
        <f>'mnt Data'!AD443</f>
        <v>0</v>
      </c>
      <c r="AS440" s="31">
        <f>'mnt Data'!AE443</f>
        <v>0</v>
      </c>
      <c r="AT440" s="31">
        <f>'mnt Data'!AF443</f>
        <v>0</v>
      </c>
      <c r="AU440" s="31">
        <f>'mnt Data'!AG443</f>
        <v>0</v>
      </c>
      <c r="AV440" s="31">
        <f>'mnt Data'!AH443</f>
        <v>0</v>
      </c>
      <c r="AW440" s="31">
        <f>'mnt Data'!AI443</f>
        <v>0</v>
      </c>
      <c r="AX440" s="31">
        <f>'mnt Data'!AJ443</f>
        <v>0</v>
      </c>
      <c r="AY440" s="31">
        <f>'mnt Data'!AK443</f>
        <v>0</v>
      </c>
    </row>
    <row r="441" spans="1:51" x14ac:dyDescent="0.25">
      <c r="A441">
        <v>440</v>
      </c>
      <c r="B441" s="32">
        <f t="shared" si="84"/>
        <v>0</v>
      </c>
      <c r="C441" s="32">
        <f t="shared" si="85"/>
        <v>0</v>
      </c>
      <c r="D441" s="32" t="str">
        <f t="shared" si="77"/>
        <v>No Gs</v>
      </c>
      <c r="E441" s="32">
        <f t="shared" si="81"/>
        <v>0</v>
      </c>
      <c r="F441" s="32" t="str">
        <f t="shared" si="82"/>
        <v>No Gs</v>
      </c>
      <c r="G441" s="32" t="str">
        <f t="shared" si="83"/>
        <v>No Gs</v>
      </c>
      <c r="H441" s="32" t="str">
        <f t="shared" si="86"/>
        <v>Gs is needed</v>
      </c>
      <c r="I441" s="32" t="str">
        <f t="shared" si="87"/>
        <v>Gs is needed</v>
      </c>
      <c r="J441" s="32" t="str">
        <f t="shared" si="88"/>
        <v>Gs is needed</v>
      </c>
      <c r="K441" s="32" t="str">
        <f t="shared" si="78"/>
        <v>Need Max and Min</v>
      </c>
      <c r="L441" s="32" t="str">
        <f t="shared" si="79"/>
        <v>Need Max and Min</v>
      </c>
      <c r="M441" s="32" t="str">
        <f t="shared" si="80"/>
        <v>Fail</v>
      </c>
      <c r="N441" s="32"/>
      <c r="O441" s="31">
        <f>'mnt Data'!A444</f>
        <v>0</v>
      </c>
      <c r="P441" s="31">
        <f>'mnt Data'!B444</f>
        <v>0</v>
      </c>
      <c r="Q441" s="31">
        <f>'mnt Data'!C444</f>
        <v>0</v>
      </c>
      <c r="R441" s="31">
        <f>'mnt Data'!D444</f>
        <v>0</v>
      </c>
      <c r="S441" s="31">
        <f>'mnt Data'!E444</f>
        <v>0</v>
      </c>
      <c r="T441" s="31">
        <f>'mnt Data'!F444</f>
        <v>0</v>
      </c>
      <c r="U441" s="31">
        <f>'mnt Data'!G444</f>
        <v>0</v>
      </c>
      <c r="V441" s="31">
        <f>'mnt Data'!H444</f>
        <v>0</v>
      </c>
      <c r="W441" s="31">
        <f>'mnt Data'!I444</f>
        <v>0</v>
      </c>
      <c r="X441" s="31">
        <f>'mnt Data'!J444</f>
        <v>0</v>
      </c>
      <c r="Y441" s="31">
        <f>'mnt Data'!K444</f>
        <v>0</v>
      </c>
      <c r="Z441" s="31">
        <f>'mnt Data'!L444</f>
        <v>0</v>
      </c>
      <c r="AA441" s="31">
        <f>'mnt Data'!M444</f>
        <v>0</v>
      </c>
      <c r="AB441" s="31">
        <f>'mnt Data'!N444</f>
        <v>0</v>
      </c>
      <c r="AC441" s="31">
        <f>'mnt Data'!O444</f>
        <v>0</v>
      </c>
      <c r="AD441" s="31">
        <f>'mnt Data'!P444</f>
        <v>0</v>
      </c>
      <c r="AE441" s="31">
        <f>'mnt Data'!Q444</f>
        <v>0</v>
      </c>
      <c r="AF441" s="31">
        <f>'mnt Data'!R444</f>
        <v>0</v>
      </c>
      <c r="AG441" s="31">
        <f>'mnt Data'!S444</f>
        <v>0</v>
      </c>
      <c r="AH441" s="31">
        <f>'mnt Data'!T444</f>
        <v>0</v>
      </c>
      <c r="AI441" s="31">
        <f>'mnt Data'!U444</f>
        <v>0</v>
      </c>
      <c r="AJ441" s="31">
        <f>'mnt Data'!V444</f>
        <v>0</v>
      </c>
      <c r="AK441" s="31">
        <f>'mnt Data'!W444</f>
        <v>0</v>
      </c>
      <c r="AL441" s="31">
        <f>'mnt Data'!X444</f>
        <v>0</v>
      </c>
      <c r="AM441" s="31">
        <f>'mnt Data'!Y444</f>
        <v>0</v>
      </c>
      <c r="AN441" s="31">
        <f>'mnt Data'!Z444</f>
        <v>0</v>
      </c>
      <c r="AO441" s="31">
        <f>'mnt Data'!AA444</f>
        <v>0</v>
      </c>
      <c r="AP441" s="31">
        <f>'mnt Data'!AB444</f>
        <v>0</v>
      </c>
      <c r="AQ441" s="31">
        <f>'mnt Data'!AC444</f>
        <v>0</v>
      </c>
      <c r="AR441" s="31">
        <f>'mnt Data'!AD444</f>
        <v>0</v>
      </c>
      <c r="AS441" s="31">
        <f>'mnt Data'!AE444</f>
        <v>0</v>
      </c>
      <c r="AT441" s="31">
        <f>'mnt Data'!AF444</f>
        <v>0</v>
      </c>
      <c r="AU441" s="31">
        <f>'mnt Data'!AG444</f>
        <v>0</v>
      </c>
      <c r="AV441" s="31">
        <f>'mnt Data'!AH444</f>
        <v>0</v>
      </c>
      <c r="AW441" s="31">
        <f>'mnt Data'!AI444</f>
        <v>0</v>
      </c>
      <c r="AX441" s="31">
        <f>'mnt Data'!AJ444</f>
        <v>0</v>
      </c>
      <c r="AY441" s="31">
        <f>'mnt Data'!AK444</f>
        <v>0</v>
      </c>
    </row>
    <row r="442" spans="1:51" x14ac:dyDescent="0.25">
      <c r="A442">
        <v>441</v>
      </c>
      <c r="B442" s="32">
        <f t="shared" si="84"/>
        <v>0</v>
      </c>
      <c r="C442" s="32">
        <f t="shared" si="85"/>
        <v>0</v>
      </c>
      <c r="D442" s="32" t="str">
        <f t="shared" si="77"/>
        <v>No Gs</v>
      </c>
      <c r="E442" s="32">
        <f t="shared" si="81"/>
        <v>0</v>
      </c>
      <c r="F442" s="32" t="str">
        <f t="shared" si="82"/>
        <v>No Gs</v>
      </c>
      <c r="G442" s="32" t="str">
        <f t="shared" si="83"/>
        <v>No Gs</v>
      </c>
      <c r="H442" s="32" t="str">
        <f t="shared" si="86"/>
        <v>Gs is needed</v>
      </c>
      <c r="I442" s="32" t="str">
        <f t="shared" si="87"/>
        <v>Gs is needed</v>
      </c>
      <c r="J442" s="32" t="str">
        <f t="shared" si="88"/>
        <v>Gs is needed</v>
      </c>
      <c r="K442" s="32" t="str">
        <f t="shared" si="78"/>
        <v>Need Max and Min</v>
      </c>
      <c r="L442" s="32" t="str">
        <f t="shared" si="79"/>
        <v>Need Max and Min</v>
      </c>
      <c r="M442" s="32" t="str">
        <f t="shared" si="80"/>
        <v>Fail</v>
      </c>
      <c r="N442" s="32"/>
      <c r="O442" s="31">
        <f>'mnt Data'!A445</f>
        <v>0</v>
      </c>
      <c r="P442" s="31">
        <f>'mnt Data'!B445</f>
        <v>0</v>
      </c>
      <c r="Q442" s="31">
        <f>'mnt Data'!C445</f>
        <v>0</v>
      </c>
      <c r="R442" s="31">
        <f>'mnt Data'!D445</f>
        <v>0</v>
      </c>
      <c r="S442" s="31">
        <f>'mnt Data'!E445</f>
        <v>0</v>
      </c>
      <c r="T442" s="31">
        <f>'mnt Data'!F445</f>
        <v>0</v>
      </c>
      <c r="U442" s="31">
        <f>'mnt Data'!G445</f>
        <v>0</v>
      </c>
      <c r="V442" s="31">
        <f>'mnt Data'!H445</f>
        <v>0</v>
      </c>
      <c r="W442" s="31">
        <f>'mnt Data'!I445</f>
        <v>0</v>
      </c>
      <c r="X442" s="31">
        <f>'mnt Data'!J445</f>
        <v>0</v>
      </c>
      <c r="Y442" s="31">
        <f>'mnt Data'!K445</f>
        <v>0</v>
      </c>
      <c r="Z442" s="31">
        <f>'mnt Data'!L445</f>
        <v>0</v>
      </c>
      <c r="AA442" s="31">
        <f>'mnt Data'!M445</f>
        <v>0</v>
      </c>
      <c r="AB442" s="31">
        <f>'mnt Data'!N445</f>
        <v>0</v>
      </c>
      <c r="AC442" s="31">
        <f>'mnt Data'!O445</f>
        <v>0</v>
      </c>
      <c r="AD442" s="31">
        <f>'mnt Data'!P445</f>
        <v>0</v>
      </c>
      <c r="AE442" s="31">
        <f>'mnt Data'!Q445</f>
        <v>0</v>
      </c>
      <c r="AF442" s="31">
        <f>'mnt Data'!R445</f>
        <v>0</v>
      </c>
      <c r="AG442" s="31">
        <f>'mnt Data'!S445</f>
        <v>0</v>
      </c>
      <c r="AH442" s="31">
        <f>'mnt Data'!T445</f>
        <v>0</v>
      </c>
      <c r="AI442" s="31">
        <f>'mnt Data'!U445</f>
        <v>0</v>
      </c>
      <c r="AJ442" s="31">
        <f>'mnt Data'!V445</f>
        <v>0</v>
      </c>
      <c r="AK442" s="31">
        <f>'mnt Data'!W445</f>
        <v>0</v>
      </c>
      <c r="AL442" s="31">
        <f>'mnt Data'!X445</f>
        <v>0</v>
      </c>
      <c r="AM442" s="31">
        <f>'mnt Data'!Y445</f>
        <v>0</v>
      </c>
      <c r="AN442" s="31">
        <f>'mnt Data'!Z445</f>
        <v>0</v>
      </c>
      <c r="AO442" s="31">
        <f>'mnt Data'!AA445</f>
        <v>0</v>
      </c>
      <c r="AP442" s="31">
        <f>'mnt Data'!AB445</f>
        <v>0</v>
      </c>
      <c r="AQ442" s="31">
        <f>'mnt Data'!AC445</f>
        <v>0</v>
      </c>
      <c r="AR442" s="31">
        <f>'mnt Data'!AD445</f>
        <v>0</v>
      </c>
      <c r="AS442" s="31">
        <f>'mnt Data'!AE445</f>
        <v>0</v>
      </c>
      <c r="AT442" s="31">
        <f>'mnt Data'!AF445</f>
        <v>0</v>
      </c>
      <c r="AU442" s="31">
        <f>'mnt Data'!AG445</f>
        <v>0</v>
      </c>
      <c r="AV442" s="31">
        <f>'mnt Data'!AH445</f>
        <v>0</v>
      </c>
      <c r="AW442" s="31">
        <f>'mnt Data'!AI445</f>
        <v>0</v>
      </c>
      <c r="AX442" s="31">
        <f>'mnt Data'!AJ445</f>
        <v>0</v>
      </c>
      <c r="AY442" s="31">
        <f>'mnt Data'!AK445</f>
        <v>0</v>
      </c>
    </row>
    <row r="443" spans="1:51" x14ac:dyDescent="0.25">
      <c r="A443">
        <v>442</v>
      </c>
      <c r="B443" s="32">
        <f t="shared" si="84"/>
        <v>0</v>
      </c>
      <c r="C443" s="32">
        <f t="shared" si="85"/>
        <v>0</v>
      </c>
      <c r="D443" s="32" t="str">
        <f t="shared" si="77"/>
        <v>No Gs</v>
      </c>
      <c r="E443" s="32">
        <f t="shared" si="81"/>
        <v>0</v>
      </c>
      <c r="F443" s="32" t="str">
        <f t="shared" si="82"/>
        <v>No Gs</v>
      </c>
      <c r="G443" s="32" t="str">
        <f t="shared" si="83"/>
        <v>No Gs</v>
      </c>
      <c r="H443" s="32" t="str">
        <f t="shared" si="86"/>
        <v>Gs is needed</v>
      </c>
      <c r="I443" s="32" t="str">
        <f t="shared" si="87"/>
        <v>Gs is needed</v>
      </c>
      <c r="J443" s="32" t="str">
        <f t="shared" si="88"/>
        <v>Gs is needed</v>
      </c>
      <c r="K443" s="32" t="str">
        <f t="shared" si="78"/>
        <v>Need Max and Min</v>
      </c>
      <c r="L443" s="32" t="str">
        <f t="shared" si="79"/>
        <v>Need Max and Min</v>
      </c>
      <c r="M443" s="32" t="str">
        <f t="shared" si="80"/>
        <v>Fail</v>
      </c>
      <c r="N443" s="32"/>
      <c r="O443" s="31">
        <f>'mnt Data'!A446</f>
        <v>0</v>
      </c>
      <c r="P443" s="31">
        <f>'mnt Data'!B446</f>
        <v>0</v>
      </c>
      <c r="Q443" s="31">
        <f>'mnt Data'!C446</f>
        <v>0</v>
      </c>
      <c r="R443" s="31">
        <f>'mnt Data'!D446</f>
        <v>0</v>
      </c>
      <c r="S443" s="31">
        <f>'mnt Data'!E446</f>
        <v>0</v>
      </c>
      <c r="T443" s="31">
        <f>'mnt Data'!F446</f>
        <v>0</v>
      </c>
      <c r="U443" s="31">
        <f>'mnt Data'!G446</f>
        <v>0</v>
      </c>
      <c r="V443" s="31">
        <f>'mnt Data'!H446</f>
        <v>0</v>
      </c>
      <c r="W443" s="31">
        <f>'mnt Data'!I446</f>
        <v>0</v>
      </c>
      <c r="X443" s="31">
        <f>'mnt Data'!J446</f>
        <v>0</v>
      </c>
      <c r="Y443" s="31">
        <f>'mnt Data'!K446</f>
        <v>0</v>
      </c>
      <c r="Z443" s="31">
        <f>'mnt Data'!L446</f>
        <v>0</v>
      </c>
      <c r="AA443" s="31">
        <f>'mnt Data'!M446</f>
        <v>0</v>
      </c>
      <c r="AB443" s="31">
        <f>'mnt Data'!N446</f>
        <v>0</v>
      </c>
      <c r="AC443" s="31">
        <f>'mnt Data'!O446</f>
        <v>0</v>
      </c>
      <c r="AD443" s="31">
        <f>'mnt Data'!P446</f>
        <v>0</v>
      </c>
      <c r="AE443" s="31">
        <f>'mnt Data'!Q446</f>
        <v>0</v>
      </c>
      <c r="AF443" s="31">
        <f>'mnt Data'!R446</f>
        <v>0</v>
      </c>
      <c r="AG443" s="31">
        <f>'mnt Data'!S446</f>
        <v>0</v>
      </c>
      <c r="AH443" s="31">
        <f>'mnt Data'!T446</f>
        <v>0</v>
      </c>
      <c r="AI443" s="31">
        <f>'mnt Data'!U446</f>
        <v>0</v>
      </c>
      <c r="AJ443" s="31">
        <f>'mnt Data'!V446</f>
        <v>0</v>
      </c>
      <c r="AK443" s="31">
        <f>'mnt Data'!W446</f>
        <v>0</v>
      </c>
      <c r="AL443" s="31">
        <f>'mnt Data'!X446</f>
        <v>0</v>
      </c>
      <c r="AM443" s="31">
        <f>'mnt Data'!Y446</f>
        <v>0</v>
      </c>
      <c r="AN443" s="31">
        <f>'mnt Data'!Z446</f>
        <v>0</v>
      </c>
      <c r="AO443" s="31">
        <f>'mnt Data'!AA446</f>
        <v>0</v>
      </c>
      <c r="AP443" s="31">
        <f>'mnt Data'!AB446</f>
        <v>0</v>
      </c>
      <c r="AQ443" s="31">
        <f>'mnt Data'!AC446</f>
        <v>0</v>
      </c>
      <c r="AR443" s="31">
        <f>'mnt Data'!AD446</f>
        <v>0</v>
      </c>
      <c r="AS443" s="31">
        <f>'mnt Data'!AE446</f>
        <v>0</v>
      </c>
      <c r="AT443" s="31">
        <f>'mnt Data'!AF446</f>
        <v>0</v>
      </c>
      <c r="AU443" s="31">
        <f>'mnt Data'!AG446</f>
        <v>0</v>
      </c>
      <c r="AV443" s="31">
        <f>'mnt Data'!AH446</f>
        <v>0</v>
      </c>
      <c r="AW443" s="31">
        <f>'mnt Data'!AI446</f>
        <v>0</v>
      </c>
      <c r="AX443" s="31">
        <f>'mnt Data'!AJ446</f>
        <v>0</v>
      </c>
      <c r="AY443" s="31">
        <f>'mnt Data'!AK446</f>
        <v>0</v>
      </c>
    </row>
    <row r="444" spans="1:51" x14ac:dyDescent="0.25">
      <c r="A444">
        <v>443</v>
      </c>
      <c r="B444" s="32">
        <f t="shared" si="84"/>
        <v>0</v>
      </c>
      <c r="C444" s="32">
        <f t="shared" si="85"/>
        <v>0</v>
      </c>
      <c r="D444" s="32" t="str">
        <f t="shared" si="77"/>
        <v>No Gs</v>
      </c>
      <c r="E444" s="32">
        <f t="shared" si="81"/>
        <v>0</v>
      </c>
      <c r="F444" s="32" t="str">
        <f t="shared" si="82"/>
        <v>No Gs</v>
      </c>
      <c r="G444" s="32" t="str">
        <f t="shared" si="83"/>
        <v>No Gs</v>
      </c>
      <c r="H444" s="32" t="str">
        <f t="shared" si="86"/>
        <v>Gs is needed</v>
      </c>
      <c r="I444" s="32" t="str">
        <f t="shared" si="87"/>
        <v>Gs is needed</v>
      </c>
      <c r="J444" s="32" t="str">
        <f t="shared" si="88"/>
        <v>Gs is needed</v>
      </c>
      <c r="K444" s="32" t="str">
        <f t="shared" si="78"/>
        <v>Need Max and Min</v>
      </c>
      <c r="L444" s="32" t="str">
        <f t="shared" si="79"/>
        <v>Need Max and Min</v>
      </c>
      <c r="M444" s="32" t="str">
        <f t="shared" si="80"/>
        <v>Fail</v>
      </c>
      <c r="N444" s="32"/>
      <c r="O444" s="31">
        <f>'mnt Data'!A447</f>
        <v>0</v>
      </c>
      <c r="P444" s="31">
        <f>'mnt Data'!B447</f>
        <v>0</v>
      </c>
      <c r="Q444" s="31">
        <f>'mnt Data'!C447</f>
        <v>0</v>
      </c>
      <c r="R444" s="31">
        <f>'mnt Data'!D447</f>
        <v>0</v>
      </c>
      <c r="S444" s="31">
        <f>'mnt Data'!E447</f>
        <v>0</v>
      </c>
      <c r="T444" s="31">
        <f>'mnt Data'!F447</f>
        <v>0</v>
      </c>
      <c r="U444" s="31">
        <f>'mnt Data'!G447</f>
        <v>0</v>
      </c>
      <c r="V444" s="31">
        <f>'mnt Data'!H447</f>
        <v>0</v>
      </c>
      <c r="W444" s="31">
        <f>'mnt Data'!I447</f>
        <v>0</v>
      </c>
      <c r="X444" s="31">
        <f>'mnt Data'!J447</f>
        <v>0</v>
      </c>
      <c r="Y444" s="31">
        <f>'mnt Data'!K447</f>
        <v>0</v>
      </c>
      <c r="Z444" s="31">
        <f>'mnt Data'!L447</f>
        <v>0</v>
      </c>
      <c r="AA444" s="31">
        <f>'mnt Data'!M447</f>
        <v>0</v>
      </c>
      <c r="AB444" s="31">
        <f>'mnt Data'!N447</f>
        <v>0</v>
      </c>
      <c r="AC444" s="31">
        <f>'mnt Data'!O447</f>
        <v>0</v>
      </c>
      <c r="AD444" s="31">
        <f>'mnt Data'!P447</f>
        <v>0</v>
      </c>
      <c r="AE444" s="31">
        <f>'mnt Data'!Q447</f>
        <v>0</v>
      </c>
      <c r="AF444" s="31">
        <f>'mnt Data'!R447</f>
        <v>0</v>
      </c>
      <c r="AG444" s="31">
        <f>'mnt Data'!S447</f>
        <v>0</v>
      </c>
      <c r="AH444" s="31">
        <f>'mnt Data'!T447</f>
        <v>0</v>
      </c>
      <c r="AI444" s="31">
        <f>'mnt Data'!U447</f>
        <v>0</v>
      </c>
      <c r="AJ444" s="31">
        <f>'mnt Data'!V447</f>
        <v>0</v>
      </c>
      <c r="AK444" s="31">
        <f>'mnt Data'!W447</f>
        <v>0</v>
      </c>
      <c r="AL444" s="31">
        <f>'mnt Data'!X447</f>
        <v>0</v>
      </c>
      <c r="AM444" s="31">
        <f>'mnt Data'!Y447</f>
        <v>0</v>
      </c>
      <c r="AN444" s="31">
        <f>'mnt Data'!Z447</f>
        <v>0</v>
      </c>
      <c r="AO444" s="31">
        <f>'mnt Data'!AA447</f>
        <v>0</v>
      </c>
      <c r="AP444" s="31">
        <f>'mnt Data'!AB447</f>
        <v>0</v>
      </c>
      <c r="AQ444" s="31">
        <f>'mnt Data'!AC447</f>
        <v>0</v>
      </c>
      <c r="AR444" s="31">
        <f>'mnt Data'!AD447</f>
        <v>0</v>
      </c>
      <c r="AS444" s="31">
        <f>'mnt Data'!AE447</f>
        <v>0</v>
      </c>
      <c r="AT444" s="31">
        <f>'mnt Data'!AF447</f>
        <v>0</v>
      </c>
      <c r="AU444" s="31">
        <f>'mnt Data'!AG447</f>
        <v>0</v>
      </c>
      <c r="AV444" s="31">
        <f>'mnt Data'!AH447</f>
        <v>0</v>
      </c>
      <c r="AW444" s="31">
        <f>'mnt Data'!AI447</f>
        <v>0</v>
      </c>
      <c r="AX444" s="31">
        <f>'mnt Data'!AJ447</f>
        <v>0</v>
      </c>
      <c r="AY444" s="31">
        <f>'mnt Data'!AK447</f>
        <v>0</v>
      </c>
    </row>
    <row r="445" spans="1:51" x14ac:dyDescent="0.25">
      <c r="A445">
        <v>444</v>
      </c>
      <c r="B445" s="32">
        <f t="shared" si="84"/>
        <v>0</v>
      </c>
      <c r="C445" s="32">
        <f t="shared" si="85"/>
        <v>0</v>
      </c>
      <c r="D445" s="32" t="str">
        <f t="shared" si="77"/>
        <v>No Gs</v>
      </c>
      <c r="E445" s="32">
        <f t="shared" si="81"/>
        <v>0</v>
      </c>
      <c r="F445" s="32" t="str">
        <f t="shared" si="82"/>
        <v>No Gs</v>
      </c>
      <c r="G445" s="32" t="str">
        <f t="shared" si="83"/>
        <v>No Gs</v>
      </c>
      <c r="H445" s="32" t="str">
        <f t="shared" si="86"/>
        <v>Gs is needed</v>
      </c>
      <c r="I445" s="32" t="str">
        <f t="shared" si="87"/>
        <v>Gs is needed</v>
      </c>
      <c r="J445" s="32" t="str">
        <f t="shared" si="88"/>
        <v>Gs is needed</v>
      </c>
      <c r="K445" s="32" t="str">
        <f t="shared" si="78"/>
        <v>Need Max and Min</v>
      </c>
      <c r="L445" s="32" t="str">
        <f t="shared" si="79"/>
        <v>Need Max and Min</v>
      </c>
      <c r="M445" s="32" t="str">
        <f t="shared" si="80"/>
        <v>Fail</v>
      </c>
      <c r="N445" s="32"/>
      <c r="O445" s="31">
        <f>'mnt Data'!A448</f>
        <v>0</v>
      </c>
      <c r="P445" s="31">
        <f>'mnt Data'!B448</f>
        <v>0</v>
      </c>
      <c r="Q445" s="31">
        <f>'mnt Data'!C448</f>
        <v>0</v>
      </c>
      <c r="R445" s="31">
        <f>'mnt Data'!D448</f>
        <v>0</v>
      </c>
      <c r="S445" s="31">
        <f>'mnt Data'!E448</f>
        <v>0</v>
      </c>
      <c r="T445" s="31">
        <f>'mnt Data'!F448</f>
        <v>0</v>
      </c>
      <c r="U445" s="31">
        <f>'mnt Data'!G448</f>
        <v>0</v>
      </c>
      <c r="V445" s="31">
        <f>'mnt Data'!H448</f>
        <v>0</v>
      </c>
      <c r="W445" s="31">
        <f>'mnt Data'!I448</f>
        <v>0</v>
      </c>
      <c r="X445" s="31">
        <f>'mnt Data'!J448</f>
        <v>0</v>
      </c>
      <c r="Y445" s="31">
        <f>'mnt Data'!K448</f>
        <v>0</v>
      </c>
      <c r="Z445" s="31">
        <f>'mnt Data'!L448</f>
        <v>0</v>
      </c>
      <c r="AA445" s="31">
        <f>'mnt Data'!M448</f>
        <v>0</v>
      </c>
      <c r="AB445" s="31">
        <f>'mnt Data'!N448</f>
        <v>0</v>
      </c>
      <c r="AC445" s="31">
        <f>'mnt Data'!O448</f>
        <v>0</v>
      </c>
      <c r="AD445" s="31">
        <f>'mnt Data'!P448</f>
        <v>0</v>
      </c>
      <c r="AE445" s="31">
        <f>'mnt Data'!Q448</f>
        <v>0</v>
      </c>
      <c r="AF445" s="31">
        <f>'mnt Data'!R448</f>
        <v>0</v>
      </c>
      <c r="AG445" s="31">
        <f>'mnt Data'!S448</f>
        <v>0</v>
      </c>
      <c r="AH445" s="31">
        <f>'mnt Data'!T448</f>
        <v>0</v>
      </c>
      <c r="AI445" s="31">
        <f>'mnt Data'!U448</f>
        <v>0</v>
      </c>
      <c r="AJ445" s="31">
        <f>'mnt Data'!V448</f>
        <v>0</v>
      </c>
      <c r="AK445" s="31">
        <f>'mnt Data'!W448</f>
        <v>0</v>
      </c>
      <c r="AL445" s="31">
        <f>'mnt Data'!X448</f>
        <v>0</v>
      </c>
      <c r="AM445" s="31">
        <f>'mnt Data'!Y448</f>
        <v>0</v>
      </c>
      <c r="AN445" s="31">
        <f>'mnt Data'!Z448</f>
        <v>0</v>
      </c>
      <c r="AO445" s="31">
        <f>'mnt Data'!AA448</f>
        <v>0</v>
      </c>
      <c r="AP445" s="31">
        <f>'mnt Data'!AB448</f>
        <v>0</v>
      </c>
      <c r="AQ445" s="31">
        <f>'mnt Data'!AC448</f>
        <v>0</v>
      </c>
      <c r="AR445" s="31">
        <f>'mnt Data'!AD448</f>
        <v>0</v>
      </c>
      <c r="AS445" s="31">
        <f>'mnt Data'!AE448</f>
        <v>0</v>
      </c>
      <c r="AT445" s="31">
        <f>'mnt Data'!AF448</f>
        <v>0</v>
      </c>
      <c r="AU445" s="31">
        <f>'mnt Data'!AG448</f>
        <v>0</v>
      </c>
      <c r="AV445" s="31">
        <f>'mnt Data'!AH448</f>
        <v>0</v>
      </c>
      <c r="AW445" s="31">
        <f>'mnt Data'!AI448</f>
        <v>0</v>
      </c>
      <c r="AX445" s="31">
        <f>'mnt Data'!AJ448</f>
        <v>0</v>
      </c>
      <c r="AY445" s="31">
        <f>'mnt Data'!AK448</f>
        <v>0</v>
      </c>
    </row>
    <row r="446" spans="1:51" x14ac:dyDescent="0.25">
      <c r="A446">
        <v>445</v>
      </c>
      <c r="B446" s="32">
        <f t="shared" si="84"/>
        <v>0</v>
      </c>
      <c r="C446" s="32">
        <f t="shared" si="85"/>
        <v>0</v>
      </c>
      <c r="D446" s="32" t="str">
        <f t="shared" si="77"/>
        <v>No Gs</v>
      </c>
      <c r="E446" s="32">
        <f t="shared" si="81"/>
        <v>0</v>
      </c>
      <c r="F446" s="32" t="str">
        <f t="shared" si="82"/>
        <v>No Gs</v>
      </c>
      <c r="G446" s="32" t="str">
        <f t="shared" si="83"/>
        <v>No Gs</v>
      </c>
      <c r="H446" s="32" t="str">
        <f t="shared" si="86"/>
        <v>Gs is needed</v>
      </c>
      <c r="I446" s="32" t="str">
        <f t="shared" si="87"/>
        <v>Gs is needed</v>
      </c>
      <c r="J446" s="32" t="str">
        <f t="shared" si="88"/>
        <v>Gs is needed</v>
      </c>
      <c r="K446" s="32" t="str">
        <f t="shared" si="78"/>
        <v>Need Max and Min</v>
      </c>
      <c r="L446" s="32" t="str">
        <f t="shared" si="79"/>
        <v>Need Max and Min</v>
      </c>
      <c r="M446" s="32" t="str">
        <f t="shared" si="80"/>
        <v>Fail</v>
      </c>
      <c r="N446" s="32"/>
      <c r="O446" s="31">
        <f>'mnt Data'!A449</f>
        <v>0</v>
      </c>
      <c r="P446" s="31">
        <f>'mnt Data'!B449</f>
        <v>0</v>
      </c>
      <c r="Q446" s="31">
        <f>'mnt Data'!C449</f>
        <v>0</v>
      </c>
      <c r="R446" s="31">
        <f>'mnt Data'!D449</f>
        <v>0</v>
      </c>
      <c r="S446" s="31">
        <f>'mnt Data'!E449</f>
        <v>0</v>
      </c>
      <c r="T446" s="31">
        <f>'mnt Data'!F449</f>
        <v>0</v>
      </c>
      <c r="U446" s="31">
        <f>'mnt Data'!G449</f>
        <v>0</v>
      </c>
      <c r="V446" s="31">
        <f>'mnt Data'!H449</f>
        <v>0</v>
      </c>
      <c r="W446" s="31">
        <f>'mnt Data'!I449</f>
        <v>0</v>
      </c>
      <c r="X446" s="31">
        <f>'mnt Data'!J449</f>
        <v>0</v>
      </c>
      <c r="Y446" s="31">
        <f>'mnt Data'!K449</f>
        <v>0</v>
      </c>
      <c r="Z446" s="31">
        <f>'mnt Data'!L449</f>
        <v>0</v>
      </c>
      <c r="AA446" s="31">
        <f>'mnt Data'!M449</f>
        <v>0</v>
      </c>
      <c r="AB446" s="31">
        <f>'mnt Data'!N449</f>
        <v>0</v>
      </c>
      <c r="AC446" s="31">
        <f>'mnt Data'!O449</f>
        <v>0</v>
      </c>
      <c r="AD446" s="31">
        <f>'mnt Data'!P449</f>
        <v>0</v>
      </c>
      <c r="AE446" s="31">
        <f>'mnt Data'!Q449</f>
        <v>0</v>
      </c>
      <c r="AF446" s="31">
        <f>'mnt Data'!R449</f>
        <v>0</v>
      </c>
      <c r="AG446" s="31">
        <f>'mnt Data'!S449</f>
        <v>0</v>
      </c>
      <c r="AH446" s="31">
        <f>'mnt Data'!T449</f>
        <v>0</v>
      </c>
      <c r="AI446" s="31">
        <f>'mnt Data'!U449</f>
        <v>0</v>
      </c>
      <c r="AJ446" s="31">
        <f>'mnt Data'!V449</f>
        <v>0</v>
      </c>
      <c r="AK446" s="31">
        <f>'mnt Data'!W449</f>
        <v>0</v>
      </c>
      <c r="AL446" s="31">
        <f>'mnt Data'!X449</f>
        <v>0</v>
      </c>
      <c r="AM446" s="31">
        <f>'mnt Data'!Y449</f>
        <v>0</v>
      </c>
      <c r="AN446" s="31">
        <f>'mnt Data'!Z449</f>
        <v>0</v>
      </c>
      <c r="AO446" s="31">
        <f>'mnt Data'!AA449</f>
        <v>0</v>
      </c>
      <c r="AP446" s="31">
        <f>'mnt Data'!AB449</f>
        <v>0</v>
      </c>
      <c r="AQ446" s="31">
        <f>'mnt Data'!AC449</f>
        <v>0</v>
      </c>
      <c r="AR446" s="31">
        <f>'mnt Data'!AD449</f>
        <v>0</v>
      </c>
      <c r="AS446" s="31">
        <f>'mnt Data'!AE449</f>
        <v>0</v>
      </c>
      <c r="AT446" s="31">
        <f>'mnt Data'!AF449</f>
        <v>0</v>
      </c>
      <c r="AU446" s="31">
        <f>'mnt Data'!AG449</f>
        <v>0</v>
      </c>
      <c r="AV446" s="31">
        <f>'mnt Data'!AH449</f>
        <v>0</v>
      </c>
      <c r="AW446" s="31">
        <f>'mnt Data'!AI449</f>
        <v>0</v>
      </c>
      <c r="AX446" s="31">
        <f>'mnt Data'!AJ449</f>
        <v>0</v>
      </c>
      <c r="AY446" s="31">
        <f>'mnt Data'!AK449</f>
        <v>0</v>
      </c>
    </row>
    <row r="447" spans="1:51" x14ac:dyDescent="0.25">
      <c r="A447">
        <v>446</v>
      </c>
      <c r="B447" s="32">
        <f t="shared" si="84"/>
        <v>0</v>
      </c>
      <c r="C447" s="32">
        <f t="shared" si="85"/>
        <v>0</v>
      </c>
      <c r="D447" s="32" t="str">
        <f t="shared" si="77"/>
        <v>No Gs</v>
      </c>
      <c r="E447" s="32">
        <f t="shared" si="81"/>
        <v>0</v>
      </c>
      <c r="F447" s="32" t="str">
        <f t="shared" si="82"/>
        <v>No Gs</v>
      </c>
      <c r="G447" s="32" t="str">
        <f t="shared" si="83"/>
        <v>No Gs</v>
      </c>
      <c r="H447" s="32" t="str">
        <f t="shared" si="86"/>
        <v>Gs is needed</v>
      </c>
      <c r="I447" s="32" t="str">
        <f t="shared" si="87"/>
        <v>Gs is needed</v>
      </c>
      <c r="J447" s="32" t="str">
        <f t="shared" si="88"/>
        <v>Gs is needed</v>
      </c>
      <c r="K447" s="32" t="str">
        <f t="shared" si="78"/>
        <v>Need Max and Min</v>
      </c>
      <c r="L447" s="32" t="str">
        <f t="shared" si="79"/>
        <v>Need Max and Min</v>
      </c>
      <c r="M447" s="32" t="str">
        <f t="shared" si="80"/>
        <v>Fail</v>
      </c>
      <c r="N447" s="32"/>
      <c r="O447" s="31">
        <f>'mnt Data'!A450</f>
        <v>0</v>
      </c>
      <c r="P447" s="31">
        <f>'mnt Data'!B450</f>
        <v>0</v>
      </c>
      <c r="Q447" s="31">
        <f>'mnt Data'!C450</f>
        <v>0</v>
      </c>
      <c r="R447" s="31">
        <f>'mnt Data'!D450</f>
        <v>0</v>
      </c>
      <c r="S447" s="31">
        <f>'mnt Data'!E450</f>
        <v>0</v>
      </c>
      <c r="T447" s="31">
        <f>'mnt Data'!F450</f>
        <v>0</v>
      </c>
      <c r="U447" s="31">
        <f>'mnt Data'!G450</f>
        <v>0</v>
      </c>
      <c r="V447" s="31">
        <f>'mnt Data'!H450</f>
        <v>0</v>
      </c>
      <c r="W447" s="31">
        <f>'mnt Data'!I450</f>
        <v>0</v>
      </c>
      <c r="X447" s="31">
        <f>'mnt Data'!J450</f>
        <v>0</v>
      </c>
      <c r="Y447" s="31">
        <f>'mnt Data'!K450</f>
        <v>0</v>
      </c>
      <c r="Z447" s="31">
        <f>'mnt Data'!L450</f>
        <v>0</v>
      </c>
      <c r="AA447" s="31">
        <f>'mnt Data'!M450</f>
        <v>0</v>
      </c>
      <c r="AB447" s="31">
        <f>'mnt Data'!N450</f>
        <v>0</v>
      </c>
      <c r="AC447" s="31">
        <f>'mnt Data'!O450</f>
        <v>0</v>
      </c>
      <c r="AD447" s="31">
        <f>'mnt Data'!P450</f>
        <v>0</v>
      </c>
      <c r="AE447" s="31">
        <f>'mnt Data'!Q450</f>
        <v>0</v>
      </c>
      <c r="AF447" s="31">
        <f>'mnt Data'!R450</f>
        <v>0</v>
      </c>
      <c r="AG447" s="31">
        <f>'mnt Data'!S450</f>
        <v>0</v>
      </c>
      <c r="AH447" s="31">
        <f>'mnt Data'!T450</f>
        <v>0</v>
      </c>
      <c r="AI447" s="31">
        <f>'mnt Data'!U450</f>
        <v>0</v>
      </c>
      <c r="AJ447" s="31">
        <f>'mnt Data'!V450</f>
        <v>0</v>
      </c>
      <c r="AK447" s="31">
        <f>'mnt Data'!W450</f>
        <v>0</v>
      </c>
      <c r="AL447" s="31">
        <f>'mnt Data'!X450</f>
        <v>0</v>
      </c>
      <c r="AM447" s="31">
        <f>'mnt Data'!Y450</f>
        <v>0</v>
      </c>
      <c r="AN447" s="31">
        <f>'mnt Data'!Z450</f>
        <v>0</v>
      </c>
      <c r="AO447" s="31">
        <f>'mnt Data'!AA450</f>
        <v>0</v>
      </c>
      <c r="AP447" s="31">
        <f>'mnt Data'!AB450</f>
        <v>0</v>
      </c>
      <c r="AQ447" s="31">
        <f>'mnt Data'!AC450</f>
        <v>0</v>
      </c>
      <c r="AR447" s="31">
        <f>'mnt Data'!AD450</f>
        <v>0</v>
      </c>
      <c r="AS447" s="31">
        <f>'mnt Data'!AE450</f>
        <v>0</v>
      </c>
      <c r="AT447" s="31">
        <f>'mnt Data'!AF450</f>
        <v>0</v>
      </c>
      <c r="AU447" s="31">
        <f>'mnt Data'!AG450</f>
        <v>0</v>
      </c>
      <c r="AV447" s="31">
        <f>'mnt Data'!AH450</f>
        <v>0</v>
      </c>
      <c r="AW447" s="31">
        <f>'mnt Data'!AI450</f>
        <v>0</v>
      </c>
      <c r="AX447" s="31">
        <f>'mnt Data'!AJ450</f>
        <v>0</v>
      </c>
      <c r="AY447" s="31">
        <f>'mnt Data'!AK450</f>
        <v>0</v>
      </c>
    </row>
    <row r="448" spans="1:51" x14ac:dyDescent="0.25">
      <c r="A448">
        <v>447</v>
      </c>
      <c r="B448" s="32">
        <f t="shared" si="84"/>
        <v>0</v>
      </c>
      <c r="C448" s="32">
        <f t="shared" si="85"/>
        <v>0</v>
      </c>
      <c r="D448" s="32" t="str">
        <f t="shared" si="77"/>
        <v>No Gs</v>
      </c>
      <c r="E448" s="32">
        <f t="shared" si="81"/>
        <v>0</v>
      </c>
      <c r="F448" s="32" t="str">
        <f t="shared" si="82"/>
        <v>No Gs</v>
      </c>
      <c r="G448" s="32" t="str">
        <f t="shared" si="83"/>
        <v>No Gs</v>
      </c>
      <c r="H448" s="32" t="str">
        <f t="shared" si="86"/>
        <v>Gs is needed</v>
      </c>
      <c r="I448" s="32" t="str">
        <f t="shared" si="87"/>
        <v>Gs is needed</v>
      </c>
      <c r="J448" s="32" t="str">
        <f t="shared" si="88"/>
        <v>Gs is needed</v>
      </c>
      <c r="K448" s="32" t="str">
        <f t="shared" si="78"/>
        <v>Need Max and Min</v>
      </c>
      <c r="L448" s="32" t="str">
        <f t="shared" si="79"/>
        <v>Need Max and Min</v>
      </c>
      <c r="M448" s="32" t="str">
        <f t="shared" si="80"/>
        <v>Fail</v>
      </c>
      <c r="N448" s="32"/>
      <c r="O448" s="31">
        <f>'mnt Data'!A451</f>
        <v>0</v>
      </c>
      <c r="P448" s="31">
        <f>'mnt Data'!B451</f>
        <v>0</v>
      </c>
      <c r="Q448" s="31">
        <f>'mnt Data'!C451</f>
        <v>0</v>
      </c>
      <c r="R448" s="31">
        <f>'mnt Data'!D451</f>
        <v>0</v>
      </c>
      <c r="S448" s="31">
        <f>'mnt Data'!E451</f>
        <v>0</v>
      </c>
      <c r="T448" s="31">
        <f>'mnt Data'!F451</f>
        <v>0</v>
      </c>
      <c r="U448" s="31">
        <f>'mnt Data'!G451</f>
        <v>0</v>
      </c>
      <c r="V448" s="31">
        <f>'mnt Data'!H451</f>
        <v>0</v>
      </c>
      <c r="W448" s="31">
        <f>'mnt Data'!I451</f>
        <v>0</v>
      </c>
      <c r="X448" s="31">
        <f>'mnt Data'!J451</f>
        <v>0</v>
      </c>
      <c r="Y448" s="31">
        <f>'mnt Data'!K451</f>
        <v>0</v>
      </c>
      <c r="Z448" s="31">
        <f>'mnt Data'!L451</f>
        <v>0</v>
      </c>
      <c r="AA448" s="31">
        <f>'mnt Data'!M451</f>
        <v>0</v>
      </c>
      <c r="AB448" s="31">
        <f>'mnt Data'!N451</f>
        <v>0</v>
      </c>
      <c r="AC448" s="31">
        <f>'mnt Data'!O451</f>
        <v>0</v>
      </c>
      <c r="AD448" s="31">
        <f>'mnt Data'!P451</f>
        <v>0</v>
      </c>
      <c r="AE448" s="31">
        <f>'mnt Data'!Q451</f>
        <v>0</v>
      </c>
      <c r="AF448" s="31">
        <f>'mnt Data'!R451</f>
        <v>0</v>
      </c>
      <c r="AG448" s="31">
        <f>'mnt Data'!S451</f>
        <v>0</v>
      </c>
      <c r="AH448" s="31">
        <f>'mnt Data'!T451</f>
        <v>0</v>
      </c>
      <c r="AI448" s="31">
        <f>'mnt Data'!U451</f>
        <v>0</v>
      </c>
      <c r="AJ448" s="31">
        <f>'mnt Data'!V451</f>
        <v>0</v>
      </c>
      <c r="AK448" s="31">
        <f>'mnt Data'!W451</f>
        <v>0</v>
      </c>
      <c r="AL448" s="31">
        <f>'mnt Data'!X451</f>
        <v>0</v>
      </c>
      <c r="AM448" s="31">
        <f>'mnt Data'!Y451</f>
        <v>0</v>
      </c>
      <c r="AN448" s="31">
        <f>'mnt Data'!Z451</f>
        <v>0</v>
      </c>
      <c r="AO448" s="31">
        <f>'mnt Data'!AA451</f>
        <v>0</v>
      </c>
      <c r="AP448" s="31">
        <f>'mnt Data'!AB451</f>
        <v>0</v>
      </c>
      <c r="AQ448" s="31">
        <f>'mnt Data'!AC451</f>
        <v>0</v>
      </c>
      <c r="AR448" s="31">
        <f>'mnt Data'!AD451</f>
        <v>0</v>
      </c>
      <c r="AS448" s="31">
        <f>'mnt Data'!AE451</f>
        <v>0</v>
      </c>
      <c r="AT448" s="31">
        <f>'mnt Data'!AF451</f>
        <v>0</v>
      </c>
      <c r="AU448" s="31">
        <f>'mnt Data'!AG451</f>
        <v>0</v>
      </c>
      <c r="AV448" s="31">
        <f>'mnt Data'!AH451</f>
        <v>0</v>
      </c>
      <c r="AW448" s="31">
        <f>'mnt Data'!AI451</f>
        <v>0</v>
      </c>
      <c r="AX448" s="31">
        <f>'mnt Data'!AJ451</f>
        <v>0</v>
      </c>
      <c r="AY448" s="31">
        <f>'mnt Data'!AK451</f>
        <v>0</v>
      </c>
    </row>
    <row r="449" spans="1:51" x14ac:dyDescent="0.25">
      <c r="A449">
        <v>448</v>
      </c>
      <c r="B449" s="32">
        <f t="shared" si="84"/>
        <v>0</v>
      </c>
      <c r="C449" s="32">
        <f t="shared" si="85"/>
        <v>0</v>
      </c>
      <c r="D449" s="32" t="str">
        <f t="shared" si="77"/>
        <v>No Gs</v>
      </c>
      <c r="E449" s="32">
        <f t="shared" si="81"/>
        <v>0</v>
      </c>
      <c r="F449" s="32" t="str">
        <f t="shared" si="82"/>
        <v>No Gs</v>
      </c>
      <c r="G449" s="32" t="str">
        <f t="shared" si="83"/>
        <v>No Gs</v>
      </c>
      <c r="H449" s="32" t="str">
        <f t="shared" si="86"/>
        <v>Gs is needed</v>
      </c>
      <c r="I449" s="32" t="str">
        <f t="shared" si="87"/>
        <v>Gs is needed</v>
      </c>
      <c r="J449" s="32" t="str">
        <f t="shared" si="88"/>
        <v>Gs is needed</v>
      </c>
      <c r="K449" s="32" t="str">
        <f t="shared" si="78"/>
        <v>Need Max and Min</v>
      </c>
      <c r="L449" s="32" t="str">
        <f t="shared" si="79"/>
        <v>Need Max and Min</v>
      </c>
      <c r="M449" s="32" t="str">
        <f t="shared" si="80"/>
        <v>Fail</v>
      </c>
      <c r="N449" s="32"/>
      <c r="O449" s="31">
        <f>'mnt Data'!A452</f>
        <v>0</v>
      </c>
      <c r="P449" s="31">
        <f>'mnt Data'!B452</f>
        <v>0</v>
      </c>
      <c r="Q449" s="31">
        <f>'mnt Data'!C452</f>
        <v>0</v>
      </c>
      <c r="R449" s="31">
        <f>'mnt Data'!D452</f>
        <v>0</v>
      </c>
      <c r="S449" s="31">
        <f>'mnt Data'!E452</f>
        <v>0</v>
      </c>
      <c r="T449" s="31">
        <f>'mnt Data'!F452</f>
        <v>0</v>
      </c>
      <c r="U449" s="31">
        <f>'mnt Data'!G452</f>
        <v>0</v>
      </c>
      <c r="V449" s="31">
        <f>'mnt Data'!H452</f>
        <v>0</v>
      </c>
      <c r="W449" s="31">
        <f>'mnt Data'!I452</f>
        <v>0</v>
      </c>
      <c r="X449" s="31">
        <f>'mnt Data'!J452</f>
        <v>0</v>
      </c>
      <c r="Y449" s="31">
        <f>'mnt Data'!K452</f>
        <v>0</v>
      </c>
      <c r="Z449" s="31">
        <f>'mnt Data'!L452</f>
        <v>0</v>
      </c>
      <c r="AA449" s="31">
        <f>'mnt Data'!M452</f>
        <v>0</v>
      </c>
      <c r="AB449" s="31">
        <f>'mnt Data'!N452</f>
        <v>0</v>
      </c>
      <c r="AC449" s="31">
        <f>'mnt Data'!O452</f>
        <v>0</v>
      </c>
      <c r="AD449" s="31">
        <f>'mnt Data'!P452</f>
        <v>0</v>
      </c>
      <c r="AE449" s="31">
        <f>'mnt Data'!Q452</f>
        <v>0</v>
      </c>
      <c r="AF449" s="31">
        <f>'mnt Data'!R452</f>
        <v>0</v>
      </c>
      <c r="AG449" s="31">
        <f>'mnt Data'!S452</f>
        <v>0</v>
      </c>
      <c r="AH449" s="31">
        <f>'mnt Data'!T452</f>
        <v>0</v>
      </c>
      <c r="AI449" s="31">
        <f>'mnt Data'!U452</f>
        <v>0</v>
      </c>
      <c r="AJ449" s="31">
        <f>'mnt Data'!V452</f>
        <v>0</v>
      </c>
      <c r="AK449" s="31">
        <f>'mnt Data'!W452</f>
        <v>0</v>
      </c>
      <c r="AL449" s="31">
        <f>'mnt Data'!X452</f>
        <v>0</v>
      </c>
      <c r="AM449" s="31">
        <f>'mnt Data'!Y452</f>
        <v>0</v>
      </c>
      <c r="AN449" s="31">
        <f>'mnt Data'!Z452</f>
        <v>0</v>
      </c>
      <c r="AO449" s="31">
        <f>'mnt Data'!AA452</f>
        <v>0</v>
      </c>
      <c r="AP449" s="31">
        <f>'mnt Data'!AB452</f>
        <v>0</v>
      </c>
      <c r="AQ449" s="31">
        <f>'mnt Data'!AC452</f>
        <v>0</v>
      </c>
      <c r="AR449" s="31">
        <f>'mnt Data'!AD452</f>
        <v>0</v>
      </c>
      <c r="AS449" s="31">
        <f>'mnt Data'!AE452</f>
        <v>0</v>
      </c>
      <c r="AT449" s="31">
        <f>'mnt Data'!AF452</f>
        <v>0</v>
      </c>
      <c r="AU449" s="31">
        <f>'mnt Data'!AG452</f>
        <v>0</v>
      </c>
      <c r="AV449" s="31">
        <f>'mnt Data'!AH452</f>
        <v>0</v>
      </c>
      <c r="AW449" s="31">
        <f>'mnt Data'!AI452</f>
        <v>0</v>
      </c>
      <c r="AX449" s="31">
        <f>'mnt Data'!AJ452</f>
        <v>0</v>
      </c>
      <c r="AY449" s="31">
        <f>'mnt Data'!AK452</f>
        <v>0</v>
      </c>
    </row>
    <row r="450" spans="1:51" x14ac:dyDescent="0.25">
      <c r="A450">
        <v>449</v>
      </c>
      <c r="B450" s="32">
        <f t="shared" si="84"/>
        <v>0</v>
      </c>
      <c r="C450" s="32">
        <f t="shared" si="85"/>
        <v>0</v>
      </c>
      <c r="D450" s="32" t="str">
        <f t="shared" ref="D450:D502" si="89">IFERROR(B450/(Gs*(IF(O450&gt;1000,998,62.4))),"No Gs")</f>
        <v>No Gs</v>
      </c>
      <c r="E450" s="32">
        <f t="shared" si="81"/>
        <v>0</v>
      </c>
      <c r="F450" s="32" t="str">
        <f t="shared" si="82"/>
        <v>No Gs</v>
      </c>
      <c r="G450" s="32" t="str">
        <f t="shared" si="83"/>
        <v>No Gs</v>
      </c>
      <c r="H450" s="32" t="str">
        <f t="shared" si="86"/>
        <v>Gs is needed</v>
      </c>
      <c r="I450" s="32" t="str">
        <f t="shared" si="87"/>
        <v>Gs is needed</v>
      </c>
      <c r="J450" s="32" t="str">
        <f t="shared" si="88"/>
        <v>Gs is needed</v>
      </c>
      <c r="K450" s="32" t="str">
        <f t="shared" ref="K450:K502" si="90">IFERROR((100*(DMax*(O450-DMin))/(O450*(DMax-DMin))),"Need Max and Min")</f>
        <v>Need Max and Min</v>
      </c>
      <c r="L450" s="32" t="str">
        <f t="shared" ref="L450:L502" si="91">IF(K450="Need Max and Min",K450,(100*((O450-DMin)/(DMax-DMin))))</f>
        <v>Need Max and Min</v>
      </c>
      <c r="M450" s="32" t="str">
        <f t="shared" ref="M450:M502" si="92">IF((Min+Max)=0,"Need Max and Min Density",IF(AND(S450&gt;Min,S450&lt;Max),"Pass","Fail"))</f>
        <v>Fail</v>
      </c>
      <c r="N450" s="32"/>
      <c r="O450" s="31">
        <f>'mnt Data'!A453</f>
        <v>0</v>
      </c>
      <c r="P450" s="31">
        <f>'mnt Data'!B453</f>
        <v>0</v>
      </c>
      <c r="Q450" s="31">
        <f>'mnt Data'!C453</f>
        <v>0</v>
      </c>
      <c r="R450" s="31">
        <f>'mnt Data'!D453</f>
        <v>0</v>
      </c>
      <c r="S450" s="31">
        <f>'mnt Data'!E453</f>
        <v>0</v>
      </c>
      <c r="T450" s="31">
        <f>'mnt Data'!F453</f>
        <v>0</v>
      </c>
      <c r="U450" s="31">
        <f>'mnt Data'!G453</f>
        <v>0</v>
      </c>
      <c r="V450" s="31">
        <f>'mnt Data'!H453</f>
        <v>0</v>
      </c>
      <c r="W450" s="31">
        <f>'mnt Data'!I453</f>
        <v>0</v>
      </c>
      <c r="X450" s="31">
        <f>'mnt Data'!J453</f>
        <v>0</v>
      </c>
      <c r="Y450" s="31">
        <f>'mnt Data'!K453</f>
        <v>0</v>
      </c>
      <c r="Z450" s="31">
        <f>'mnt Data'!L453</f>
        <v>0</v>
      </c>
      <c r="AA450" s="31">
        <f>'mnt Data'!M453</f>
        <v>0</v>
      </c>
      <c r="AB450" s="31">
        <f>'mnt Data'!N453</f>
        <v>0</v>
      </c>
      <c r="AC450" s="31">
        <f>'mnt Data'!O453</f>
        <v>0</v>
      </c>
      <c r="AD450" s="31">
        <f>'mnt Data'!P453</f>
        <v>0</v>
      </c>
      <c r="AE450" s="31">
        <f>'mnt Data'!Q453</f>
        <v>0</v>
      </c>
      <c r="AF450" s="31">
        <f>'mnt Data'!R453</f>
        <v>0</v>
      </c>
      <c r="AG450" s="31">
        <f>'mnt Data'!S453</f>
        <v>0</v>
      </c>
      <c r="AH450" s="31">
        <f>'mnt Data'!T453</f>
        <v>0</v>
      </c>
      <c r="AI450" s="31">
        <f>'mnt Data'!U453</f>
        <v>0</v>
      </c>
      <c r="AJ450" s="31">
        <f>'mnt Data'!V453</f>
        <v>0</v>
      </c>
      <c r="AK450" s="31">
        <f>'mnt Data'!W453</f>
        <v>0</v>
      </c>
      <c r="AL450" s="31">
        <f>'mnt Data'!X453</f>
        <v>0</v>
      </c>
      <c r="AM450" s="31">
        <f>'mnt Data'!Y453</f>
        <v>0</v>
      </c>
      <c r="AN450" s="31">
        <f>'mnt Data'!Z453</f>
        <v>0</v>
      </c>
      <c r="AO450" s="31">
        <f>'mnt Data'!AA453</f>
        <v>0</v>
      </c>
      <c r="AP450" s="31">
        <f>'mnt Data'!AB453</f>
        <v>0</v>
      </c>
      <c r="AQ450" s="31">
        <f>'mnt Data'!AC453</f>
        <v>0</v>
      </c>
      <c r="AR450" s="31">
        <f>'mnt Data'!AD453</f>
        <v>0</v>
      </c>
      <c r="AS450" s="31">
        <f>'mnt Data'!AE453</f>
        <v>0</v>
      </c>
      <c r="AT450" s="31">
        <f>'mnt Data'!AF453</f>
        <v>0</v>
      </c>
      <c r="AU450" s="31">
        <f>'mnt Data'!AG453</f>
        <v>0</v>
      </c>
      <c r="AV450" s="31">
        <f>'mnt Data'!AH453</f>
        <v>0</v>
      </c>
      <c r="AW450" s="31">
        <f>'mnt Data'!AI453</f>
        <v>0</v>
      </c>
      <c r="AX450" s="31">
        <f>'mnt Data'!AJ453</f>
        <v>0</v>
      </c>
      <c r="AY450" s="31">
        <f>'mnt Data'!AK453</f>
        <v>0</v>
      </c>
    </row>
    <row r="451" spans="1:51" x14ac:dyDescent="0.25">
      <c r="A451">
        <v>450</v>
      </c>
      <c r="B451" s="32">
        <f t="shared" si="84"/>
        <v>0</v>
      </c>
      <c r="C451" s="32">
        <f t="shared" si="85"/>
        <v>0</v>
      </c>
      <c r="D451" s="32" t="str">
        <f t="shared" si="89"/>
        <v>No Gs</v>
      </c>
      <c r="E451" s="32">
        <f t="shared" ref="E451:E502" si="93">C451/(IF(O451&gt;1000,998,62.4))</f>
        <v>0</v>
      </c>
      <c r="F451" s="32" t="str">
        <f t="shared" ref="F451:F502" si="94">IFERROR(1-D451-E451,"No Gs")</f>
        <v>No Gs</v>
      </c>
      <c r="G451" s="32" t="str">
        <f t="shared" ref="G451:G502" si="95">IFERROR(E451+F451,"No Gs")</f>
        <v>No Gs</v>
      </c>
      <c r="H451" s="32" t="str">
        <f t="shared" si="86"/>
        <v>Gs is needed</v>
      </c>
      <c r="I451" s="32" t="str">
        <f t="shared" si="87"/>
        <v>Gs is needed</v>
      </c>
      <c r="J451" s="32" t="str">
        <f t="shared" si="88"/>
        <v>Gs is needed</v>
      </c>
      <c r="K451" s="32" t="str">
        <f t="shared" si="90"/>
        <v>Need Max and Min</v>
      </c>
      <c r="L451" s="32" t="str">
        <f t="shared" si="91"/>
        <v>Need Max and Min</v>
      </c>
      <c r="M451" s="32" t="str">
        <f t="shared" si="92"/>
        <v>Fail</v>
      </c>
      <c r="N451" s="32"/>
      <c r="O451" s="31">
        <f>'mnt Data'!A454</f>
        <v>0</v>
      </c>
      <c r="P451" s="31">
        <f>'mnt Data'!B454</f>
        <v>0</v>
      </c>
      <c r="Q451" s="31">
        <f>'mnt Data'!C454</f>
        <v>0</v>
      </c>
      <c r="R451" s="31">
        <f>'mnt Data'!D454</f>
        <v>0</v>
      </c>
      <c r="S451" s="31">
        <f>'mnt Data'!E454</f>
        <v>0</v>
      </c>
      <c r="T451" s="31">
        <f>'mnt Data'!F454</f>
        <v>0</v>
      </c>
      <c r="U451" s="31">
        <f>'mnt Data'!G454</f>
        <v>0</v>
      </c>
      <c r="V451" s="31">
        <f>'mnt Data'!H454</f>
        <v>0</v>
      </c>
      <c r="W451" s="31">
        <f>'mnt Data'!I454</f>
        <v>0</v>
      </c>
      <c r="X451" s="31">
        <f>'mnt Data'!J454</f>
        <v>0</v>
      </c>
      <c r="Y451" s="31">
        <f>'mnt Data'!K454</f>
        <v>0</v>
      </c>
      <c r="Z451" s="31">
        <f>'mnt Data'!L454</f>
        <v>0</v>
      </c>
      <c r="AA451" s="31">
        <f>'mnt Data'!M454</f>
        <v>0</v>
      </c>
      <c r="AB451" s="31">
        <f>'mnt Data'!N454</f>
        <v>0</v>
      </c>
      <c r="AC451" s="31">
        <f>'mnt Data'!O454</f>
        <v>0</v>
      </c>
      <c r="AD451" s="31">
        <f>'mnt Data'!P454</f>
        <v>0</v>
      </c>
      <c r="AE451" s="31">
        <f>'mnt Data'!Q454</f>
        <v>0</v>
      </c>
      <c r="AF451" s="31">
        <f>'mnt Data'!R454</f>
        <v>0</v>
      </c>
      <c r="AG451" s="31">
        <f>'mnt Data'!S454</f>
        <v>0</v>
      </c>
      <c r="AH451" s="31">
        <f>'mnt Data'!T454</f>
        <v>0</v>
      </c>
      <c r="AI451" s="31">
        <f>'mnt Data'!U454</f>
        <v>0</v>
      </c>
      <c r="AJ451" s="31">
        <f>'mnt Data'!V454</f>
        <v>0</v>
      </c>
      <c r="AK451" s="31">
        <f>'mnt Data'!W454</f>
        <v>0</v>
      </c>
      <c r="AL451" s="31">
        <f>'mnt Data'!X454</f>
        <v>0</v>
      </c>
      <c r="AM451" s="31">
        <f>'mnt Data'!Y454</f>
        <v>0</v>
      </c>
      <c r="AN451" s="31">
        <f>'mnt Data'!Z454</f>
        <v>0</v>
      </c>
      <c r="AO451" s="31">
        <f>'mnt Data'!AA454</f>
        <v>0</v>
      </c>
      <c r="AP451" s="31">
        <f>'mnt Data'!AB454</f>
        <v>0</v>
      </c>
      <c r="AQ451" s="31">
        <f>'mnt Data'!AC454</f>
        <v>0</v>
      </c>
      <c r="AR451" s="31">
        <f>'mnt Data'!AD454</f>
        <v>0</v>
      </c>
      <c r="AS451" s="31">
        <f>'mnt Data'!AE454</f>
        <v>0</v>
      </c>
      <c r="AT451" s="31">
        <f>'mnt Data'!AF454</f>
        <v>0</v>
      </c>
      <c r="AU451" s="31">
        <f>'mnt Data'!AG454</f>
        <v>0</v>
      </c>
      <c r="AV451" s="31">
        <f>'mnt Data'!AH454</f>
        <v>0</v>
      </c>
      <c r="AW451" s="31">
        <f>'mnt Data'!AI454</f>
        <v>0</v>
      </c>
      <c r="AX451" s="31">
        <f>'mnt Data'!AJ454</f>
        <v>0</v>
      </c>
      <c r="AY451" s="31">
        <f>'mnt Data'!AK454</f>
        <v>0</v>
      </c>
    </row>
    <row r="452" spans="1:51" x14ac:dyDescent="0.25">
      <c r="A452">
        <v>451</v>
      </c>
      <c r="B452" s="32">
        <f t="shared" si="84"/>
        <v>0</v>
      </c>
      <c r="C452" s="32">
        <f t="shared" si="85"/>
        <v>0</v>
      </c>
      <c r="D452" s="32" t="str">
        <f t="shared" si="89"/>
        <v>No Gs</v>
      </c>
      <c r="E452" s="32">
        <f t="shared" si="93"/>
        <v>0</v>
      </c>
      <c r="F452" s="32" t="str">
        <f t="shared" si="94"/>
        <v>No Gs</v>
      </c>
      <c r="G452" s="32" t="str">
        <f t="shared" si="95"/>
        <v>No Gs</v>
      </c>
      <c r="H452" s="32" t="str">
        <f t="shared" si="86"/>
        <v>Gs is needed</v>
      </c>
      <c r="I452" s="32" t="str">
        <f t="shared" si="87"/>
        <v>Gs is needed</v>
      </c>
      <c r="J452" s="32" t="str">
        <f t="shared" si="88"/>
        <v>Gs is needed</v>
      </c>
      <c r="K452" s="32" t="str">
        <f t="shared" si="90"/>
        <v>Need Max and Min</v>
      </c>
      <c r="L452" s="32" t="str">
        <f t="shared" si="91"/>
        <v>Need Max and Min</v>
      </c>
      <c r="M452" s="32" t="str">
        <f t="shared" si="92"/>
        <v>Fail</v>
      </c>
      <c r="N452" s="32"/>
      <c r="O452" s="31">
        <f>'mnt Data'!A455</f>
        <v>0</v>
      </c>
      <c r="P452" s="31">
        <f>'mnt Data'!B455</f>
        <v>0</v>
      </c>
      <c r="Q452" s="31">
        <f>'mnt Data'!C455</f>
        <v>0</v>
      </c>
      <c r="R452" s="31">
        <f>'mnt Data'!D455</f>
        <v>0</v>
      </c>
      <c r="S452" s="31">
        <f>'mnt Data'!E455</f>
        <v>0</v>
      </c>
      <c r="T452" s="31">
        <f>'mnt Data'!F455</f>
        <v>0</v>
      </c>
      <c r="U452" s="31">
        <f>'mnt Data'!G455</f>
        <v>0</v>
      </c>
      <c r="V452" s="31">
        <f>'mnt Data'!H455</f>
        <v>0</v>
      </c>
      <c r="W452" s="31">
        <f>'mnt Data'!I455</f>
        <v>0</v>
      </c>
      <c r="X452" s="31">
        <f>'mnt Data'!J455</f>
        <v>0</v>
      </c>
      <c r="Y452" s="31">
        <f>'mnt Data'!K455</f>
        <v>0</v>
      </c>
      <c r="Z452" s="31">
        <f>'mnt Data'!L455</f>
        <v>0</v>
      </c>
      <c r="AA452" s="31">
        <f>'mnt Data'!M455</f>
        <v>0</v>
      </c>
      <c r="AB452" s="31">
        <f>'mnt Data'!N455</f>
        <v>0</v>
      </c>
      <c r="AC452" s="31">
        <f>'mnt Data'!O455</f>
        <v>0</v>
      </c>
      <c r="AD452" s="31">
        <f>'mnt Data'!P455</f>
        <v>0</v>
      </c>
      <c r="AE452" s="31">
        <f>'mnt Data'!Q455</f>
        <v>0</v>
      </c>
      <c r="AF452" s="31">
        <f>'mnt Data'!R455</f>
        <v>0</v>
      </c>
      <c r="AG452" s="31">
        <f>'mnt Data'!S455</f>
        <v>0</v>
      </c>
      <c r="AH452" s="31">
        <f>'mnt Data'!T455</f>
        <v>0</v>
      </c>
      <c r="AI452" s="31">
        <f>'mnt Data'!U455</f>
        <v>0</v>
      </c>
      <c r="AJ452" s="31">
        <f>'mnt Data'!V455</f>
        <v>0</v>
      </c>
      <c r="AK452" s="31">
        <f>'mnt Data'!W455</f>
        <v>0</v>
      </c>
      <c r="AL452" s="31">
        <f>'mnt Data'!X455</f>
        <v>0</v>
      </c>
      <c r="AM452" s="31">
        <f>'mnt Data'!Y455</f>
        <v>0</v>
      </c>
      <c r="AN452" s="31">
        <f>'mnt Data'!Z455</f>
        <v>0</v>
      </c>
      <c r="AO452" s="31">
        <f>'mnt Data'!AA455</f>
        <v>0</v>
      </c>
      <c r="AP452" s="31">
        <f>'mnt Data'!AB455</f>
        <v>0</v>
      </c>
      <c r="AQ452" s="31">
        <f>'mnt Data'!AC455</f>
        <v>0</v>
      </c>
      <c r="AR452" s="31">
        <f>'mnt Data'!AD455</f>
        <v>0</v>
      </c>
      <c r="AS452" s="31">
        <f>'mnt Data'!AE455</f>
        <v>0</v>
      </c>
      <c r="AT452" s="31">
        <f>'mnt Data'!AF455</f>
        <v>0</v>
      </c>
      <c r="AU452" s="31">
        <f>'mnt Data'!AG455</f>
        <v>0</v>
      </c>
      <c r="AV452" s="31">
        <f>'mnt Data'!AH455</f>
        <v>0</v>
      </c>
      <c r="AW452" s="31">
        <f>'mnt Data'!AI455</f>
        <v>0</v>
      </c>
      <c r="AX452" s="31">
        <f>'mnt Data'!AJ455</f>
        <v>0</v>
      </c>
      <c r="AY452" s="31">
        <f>'mnt Data'!AK455</f>
        <v>0</v>
      </c>
    </row>
    <row r="453" spans="1:51" x14ac:dyDescent="0.25">
      <c r="A453">
        <v>452</v>
      </c>
      <c r="B453" s="32">
        <f t="shared" si="84"/>
        <v>0</v>
      </c>
      <c r="C453" s="32">
        <f t="shared" si="85"/>
        <v>0</v>
      </c>
      <c r="D453" s="32" t="str">
        <f t="shared" si="89"/>
        <v>No Gs</v>
      </c>
      <c r="E453" s="32">
        <f t="shared" si="93"/>
        <v>0</v>
      </c>
      <c r="F453" s="32" t="str">
        <f t="shared" si="94"/>
        <v>No Gs</v>
      </c>
      <c r="G453" s="32" t="str">
        <f t="shared" si="95"/>
        <v>No Gs</v>
      </c>
      <c r="H453" s="32" t="str">
        <f t="shared" si="86"/>
        <v>Gs is needed</v>
      </c>
      <c r="I453" s="32" t="str">
        <f t="shared" si="87"/>
        <v>Gs is needed</v>
      </c>
      <c r="J453" s="32" t="str">
        <f t="shared" si="88"/>
        <v>Gs is needed</v>
      </c>
      <c r="K453" s="32" t="str">
        <f t="shared" si="90"/>
        <v>Need Max and Min</v>
      </c>
      <c r="L453" s="32" t="str">
        <f t="shared" si="91"/>
        <v>Need Max and Min</v>
      </c>
      <c r="M453" s="32" t="str">
        <f t="shared" si="92"/>
        <v>Fail</v>
      </c>
      <c r="N453" s="32"/>
      <c r="O453" s="31">
        <f>'mnt Data'!A456</f>
        <v>0</v>
      </c>
      <c r="P453" s="31">
        <f>'mnt Data'!B456</f>
        <v>0</v>
      </c>
      <c r="Q453" s="31">
        <f>'mnt Data'!C456</f>
        <v>0</v>
      </c>
      <c r="R453" s="31">
        <f>'mnt Data'!D456</f>
        <v>0</v>
      </c>
      <c r="S453" s="31">
        <f>'mnt Data'!E456</f>
        <v>0</v>
      </c>
      <c r="T453" s="31">
        <f>'mnt Data'!F456</f>
        <v>0</v>
      </c>
      <c r="U453" s="31">
        <f>'mnt Data'!G456</f>
        <v>0</v>
      </c>
      <c r="V453" s="31">
        <f>'mnt Data'!H456</f>
        <v>0</v>
      </c>
      <c r="W453" s="31">
        <f>'mnt Data'!I456</f>
        <v>0</v>
      </c>
      <c r="X453" s="31">
        <f>'mnt Data'!J456</f>
        <v>0</v>
      </c>
      <c r="Y453" s="31">
        <f>'mnt Data'!K456</f>
        <v>0</v>
      </c>
      <c r="Z453" s="31">
        <f>'mnt Data'!L456</f>
        <v>0</v>
      </c>
      <c r="AA453" s="31">
        <f>'mnt Data'!M456</f>
        <v>0</v>
      </c>
      <c r="AB453" s="31">
        <f>'mnt Data'!N456</f>
        <v>0</v>
      </c>
      <c r="AC453" s="31">
        <f>'mnt Data'!O456</f>
        <v>0</v>
      </c>
      <c r="AD453" s="31">
        <f>'mnt Data'!P456</f>
        <v>0</v>
      </c>
      <c r="AE453" s="31">
        <f>'mnt Data'!Q456</f>
        <v>0</v>
      </c>
      <c r="AF453" s="31">
        <f>'mnt Data'!R456</f>
        <v>0</v>
      </c>
      <c r="AG453" s="31">
        <f>'mnt Data'!S456</f>
        <v>0</v>
      </c>
      <c r="AH453" s="31">
        <f>'mnt Data'!T456</f>
        <v>0</v>
      </c>
      <c r="AI453" s="31">
        <f>'mnt Data'!U456</f>
        <v>0</v>
      </c>
      <c r="AJ453" s="31">
        <f>'mnt Data'!V456</f>
        <v>0</v>
      </c>
      <c r="AK453" s="31">
        <f>'mnt Data'!W456</f>
        <v>0</v>
      </c>
      <c r="AL453" s="31">
        <f>'mnt Data'!X456</f>
        <v>0</v>
      </c>
      <c r="AM453" s="31">
        <f>'mnt Data'!Y456</f>
        <v>0</v>
      </c>
      <c r="AN453" s="31">
        <f>'mnt Data'!Z456</f>
        <v>0</v>
      </c>
      <c r="AO453" s="31">
        <f>'mnt Data'!AA456</f>
        <v>0</v>
      </c>
      <c r="AP453" s="31">
        <f>'mnt Data'!AB456</f>
        <v>0</v>
      </c>
      <c r="AQ453" s="31">
        <f>'mnt Data'!AC456</f>
        <v>0</v>
      </c>
      <c r="AR453" s="31">
        <f>'mnt Data'!AD456</f>
        <v>0</v>
      </c>
      <c r="AS453" s="31">
        <f>'mnt Data'!AE456</f>
        <v>0</v>
      </c>
      <c r="AT453" s="31">
        <f>'mnt Data'!AF456</f>
        <v>0</v>
      </c>
      <c r="AU453" s="31">
        <f>'mnt Data'!AG456</f>
        <v>0</v>
      </c>
      <c r="AV453" s="31">
        <f>'mnt Data'!AH456</f>
        <v>0</v>
      </c>
      <c r="AW453" s="31">
        <f>'mnt Data'!AI456</f>
        <v>0</v>
      </c>
      <c r="AX453" s="31">
        <f>'mnt Data'!AJ456</f>
        <v>0</v>
      </c>
      <c r="AY453" s="31">
        <f>'mnt Data'!AK456</f>
        <v>0</v>
      </c>
    </row>
    <row r="454" spans="1:51" x14ac:dyDescent="0.25">
      <c r="A454">
        <v>453</v>
      </c>
      <c r="B454" s="32">
        <f t="shared" si="84"/>
        <v>0</v>
      </c>
      <c r="C454" s="32">
        <f t="shared" si="85"/>
        <v>0</v>
      </c>
      <c r="D454" s="32" t="str">
        <f t="shared" si="89"/>
        <v>No Gs</v>
      </c>
      <c r="E454" s="32">
        <f t="shared" si="93"/>
        <v>0</v>
      </c>
      <c r="F454" s="32" t="str">
        <f t="shared" si="94"/>
        <v>No Gs</v>
      </c>
      <c r="G454" s="32" t="str">
        <f t="shared" si="95"/>
        <v>No Gs</v>
      </c>
      <c r="H454" s="32" t="str">
        <f t="shared" si="86"/>
        <v>Gs is needed</v>
      </c>
      <c r="I454" s="32" t="str">
        <f t="shared" si="87"/>
        <v>Gs is needed</v>
      </c>
      <c r="J454" s="32" t="str">
        <f t="shared" si="88"/>
        <v>Gs is needed</v>
      </c>
      <c r="K454" s="32" t="str">
        <f t="shared" si="90"/>
        <v>Need Max and Min</v>
      </c>
      <c r="L454" s="32" t="str">
        <f t="shared" si="91"/>
        <v>Need Max and Min</v>
      </c>
      <c r="M454" s="32" t="str">
        <f t="shared" si="92"/>
        <v>Fail</v>
      </c>
      <c r="N454" s="32"/>
      <c r="O454" s="31">
        <f>'mnt Data'!A457</f>
        <v>0</v>
      </c>
      <c r="P454" s="31">
        <f>'mnt Data'!B457</f>
        <v>0</v>
      </c>
      <c r="Q454" s="31">
        <f>'mnt Data'!C457</f>
        <v>0</v>
      </c>
      <c r="R454" s="31">
        <f>'mnt Data'!D457</f>
        <v>0</v>
      </c>
      <c r="S454" s="31">
        <f>'mnt Data'!E457</f>
        <v>0</v>
      </c>
      <c r="T454" s="31">
        <f>'mnt Data'!F457</f>
        <v>0</v>
      </c>
      <c r="U454" s="31">
        <f>'mnt Data'!G457</f>
        <v>0</v>
      </c>
      <c r="V454" s="31">
        <f>'mnt Data'!H457</f>
        <v>0</v>
      </c>
      <c r="W454" s="31">
        <f>'mnt Data'!I457</f>
        <v>0</v>
      </c>
      <c r="X454" s="31">
        <f>'mnt Data'!J457</f>
        <v>0</v>
      </c>
      <c r="Y454" s="31">
        <f>'mnt Data'!K457</f>
        <v>0</v>
      </c>
      <c r="Z454" s="31">
        <f>'mnt Data'!L457</f>
        <v>0</v>
      </c>
      <c r="AA454" s="31">
        <f>'mnt Data'!M457</f>
        <v>0</v>
      </c>
      <c r="AB454" s="31">
        <f>'mnt Data'!N457</f>
        <v>0</v>
      </c>
      <c r="AC454" s="31">
        <f>'mnt Data'!O457</f>
        <v>0</v>
      </c>
      <c r="AD454" s="31">
        <f>'mnt Data'!P457</f>
        <v>0</v>
      </c>
      <c r="AE454" s="31">
        <f>'mnt Data'!Q457</f>
        <v>0</v>
      </c>
      <c r="AF454" s="31">
        <f>'mnt Data'!R457</f>
        <v>0</v>
      </c>
      <c r="AG454" s="31">
        <f>'mnt Data'!S457</f>
        <v>0</v>
      </c>
      <c r="AH454" s="31">
        <f>'mnt Data'!T457</f>
        <v>0</v>
      </c>
      <c r="AI454" s="31">
        <f>'mnt Data'!U457</f>
        <v>0</v>
      </c>
      <c r="AJ454" s="31">
        <f>'mnt Data'!V457</f>
        <v>0</v>
      </c>
      <c r="AK454" s="31">
        <f>'mnt Data'!W457</f>
        <v>0</v>
      </c>
      <c r="AL454" s="31">
        <f>'mnt Data'!X457</f>
        <v>0</v>
      </c>
      <c r="AM454" s="31">
        <f>'mnt Data'!Y457</f>
        <v>0</v>
      </c>
      <c r="AN454" s="31">
        <f>'mnt Data'!Z457</f>
        <v>0</v>
      </c>
      <c r="AO454" s="31">
        <f>'mnt Data'!AA457</f>
        <v>0</v>
      </c>
      <c r="AP454" s="31">
        <f>'mnt Data'!AB457</f>
        <v>0</v>
      </c>
      <c r="AQ454" s="31">
        <f>'mnt Data'!AC457</f>
        <v>0</v>
      </c>
      <c r="AR454" s="31">
        <f>'mnt Data'!AD457</f>
        <v>0</v>
      </c>
      <c r="AS454" s="31">
        <f>'mnt Data'!AE457</f>
        <v>0</v>
      </c>
      <c r="AT454" s="31">
        <f>'mnt Data'!AF457</f>
        <v>0</v>
      </c>
      <c r="AU454" s="31">
        <f>'mnt Data'!AG457</f>
        <v>0</v>
      </c>
      <c r="AV454" s="31">
        <f>'mnt Data'!AH457</f>
        <v>0</v>
      </c>
      <c r="AW454" s="31">
        <f>'mnt Data'!AI457</f>
        <v>0</v>
      </c>
      <c r="AX454" s="31">
        <f>'mnt Data'!AJ457</f>
        <v>0</v>
      </c>
      <c r="AY454" s="31">
        <f>'mnt Data'!AK457</f>
        <v>0</v>
      </c>
    </row>
    <row r="455" spans="1:51" x14ac:dyDescent="0.25">
      <c r="A455">
        <v>454</v>
      </c>
      <c r="B455" s="32">
        <f t="shared" si="84"/>
        <v>0</v>
      </c>
      <c r="C455" s="32">
        <f t="shared" si="85"/>
        <v>0</v>
      </c>
      <c r="D455" s="32" t="str">
        <f t="shared" si="89"/>
        <v>No Gs</v>
      </c>
      <c r="E455" s="32">
        <f t="shared" si="93"/>
        <v>0</v>
      </c>
      <c r="F455" s="32" t="str">
        <f t="shared" si="94"/>
        <v>No Gs</v>
      </c>
      <c r="G455" s="32" t="str">
        <f t="shared" si="95"/>
        <v>No Gs</v>
      </c>
      <c r="H455" s="32" t="str">
        <f t="shared" si="86"/>
        <v>Gs is needed</v>
      </c>
      <c r="I455" s="32" t="str">
        <f t="shared" si="87"/>
        <v>Gs is needed</v>
      </c>
      <c r="J455" s="32" t="str">
        <f t="shared" si="88"/>
        <v>Gs is needed</v>
      </c>
      <c r="K455" s="32" t="str">
        <f t="shared" si="90"/>
        <v>Need Max and Min</v>
      </c>
      <c r="L455" s="32" t="str">
        <f t="shared" si="91"/>
        <v>Need Max and Min</v>
      </c>
      <c r="M455" s="32" t="str">
        <f t="shared" si="92"/>
        <v>Fail</v>
      </c>
      <c r="N455" s="32"/>
      <c r="O455" s="31">
        <f>'mnt Data'!A458</f>
        <v>0</v>
      </c>
      <c r="P455" s="31">
        <f>'mnt Data'!B458</f>
        <v>0</v>
      </c>
      <c r="Q455" s="31">
        <f>'mnt Data'!C458</f>
        <v>0</v>
      </c>
      <c r="R455" s="31">
        <f>'mnt Data'!D458</f>
        <v>0</v>
      </c>
      <c r="S455" s="31">
        <f>'mnt Data'!E458</f>
        <v>0</v>
      </c>
      <c r="T455" s="31">
        <f>'mnt Data'!F458</f>
        <v>0</v>
      </c>
      <c r="U455" s="31">
        <f>'mnt Data'!G458</f>
        <v>0</v>
      </c>
      <c r="V455" s="31">
        <f>'mnt Data'!H458</f>
        <v>0</v>
      </c>
      <c r="W455" s="31">
        <f>'mnt Data'!I458</f>
        <v>0</v>
      </c>
      <c r="X455" s="31">
        <f>'mnt Data'!J458</f>
        <v>0</v>
      </c>
      <c r="Y455" s="31">
        <f>'mnt Data'!K458</f>
        <v>0</v>
      </c>
      <c r="Z455" s="31">
        <f>'mnt Data'!L458</f>
        <v>0</v>
      </c>
      <c r="AA455" s="31">
        <f>'mnt Data'!M458</f>
        <v>0</v>
      </c>
      <c r="AB455" s="31">
        <f>'mnt Data'!N458</f>
        <v>0</v>
      </c>
      <c r="AC455" s="31">
        <f>'mnt Data'!O458</f>
        <v>0</v>
      </c>
      <c r="AD455" s="31">
        <f>'mnt Data'!P458</f>
        <v>0</v>
      </c>
      <c r="AE455" s="31">
        <f>'mnt Data'!Q458</f>
        <v>0</v>
      </c>
      <c r="AF455" s="31">
        <f>'mnt Data'!R458</f>
        <v>0</v>
      </c>
      <c r="AG455" s="31">
        <f>'mnt Data'!S458</f>
        <v>0</v>
      </c>
      <c r="AH455" s="31">
        <f>'mnt Data'!T458</f>
        <v>0</v>
      </c>
      <c r="AI455" s="31">
        <f>'mnt Data'!U458</f>
        <v>0</v>
      </c>
      <c r="AJ455" s="31">
        <f>'mnt Data'!V458</f>
        <v>0</v>
      </c>
      <c r="AK455" s="31">
        <f>'mnt Data'!W458</f>
        <v>0</v>
      </c>
      <c r="AL455" s="31">
        <f>'mnt Data'!X458</f>
        <v>0</v>
      </c>
      <c r="AM455" s="31">
        <f>'mnt Data'!Y458</f>
        <v>0</v>
      </c>
      <c r="AN455" s="31">
        <f>'mnt Data'!Z458</f>
        <v>0</v>
      </c>
      <c r="AO455" s="31">
        <f>'mnt Data'!AA458</f>
        <v>0</v>
      </c>
      <c r="AP455" s="31">
        <f>'mnt Data'!AB458</f>
        <v>0</v>
      </c>
      <c r="AQ455" s="31">
        <f>'mnt Data'!AC458</f>
        <v>0</v>
      </c>
      <c r="AR455" s="31">
        <f>'mnt Data'!AD458</f>
        <v>0</v>
      </c>
      <c r="AS455" s="31">
        <f>'mnt Data'!AE458</f>
        <v>0</v>
      </c>
      <c r="AT455" s="31">
        <f>'mnt Data'!AF458</f>
        <v>0</v>
      </c>
      <c r="AU455" s="31">
        <f>'mnt Data'!AG458</f>
        <v>0</v>
      </c>
      <c r="AV455" s="31">
        <f>'mnt Data'!AH458</f>
        <v>0</v>
      </c>
      <c r="AW455" s="31">
        <f>'mnt Data'!AI458</f>
        <v>0</v>
      </c>
      <c r="AX455" s="31">
        <f>'mnt Data'!AJ458</f>
        <v>0</v>
      </c>
      <c r="AY455" s="31">
        <f>'mnt Data'!AK458</f>
        <v>0</v>
      </c>
    </row>
    <row r="456" spans="1:51" x14ac:dyDescent="0.25">
      <c r="A456">
        <v>455</v>
      </c>
      <c r="B456" s="32">
        <f t="shared" si="84"/>
        <v>0</v>
      </c>
      <c r="C456" s="32">
        <f t="shared" si="85"/>
        <v>0</v>
      </c>
      <c r="D456" s="32" t="str">
        <f t="shared" si="89"/>
        <v>No Gs</v>
      </c>
      <c r="E456" s="32">
        <f t="shared" si="93"/>
        <v>0</v>
      </c>
      <c r="F456" s="32" t="str">
        <f t="shared" si="94"/>
        <v>No Gs</v>
      </c>
      <c r="G456" s="32" t="str">
        <f t="shared" si="95"/>
        <v>No Gs</v>
      </c>
      <c r="H456" s="32" t="str">
        <f t="shared" si="86"/>
        <v>Gs is needed</v>
      </c>
      <c r="I456" s="32" t="str">
        <f t="shared" si="87"/>
        <v>Gs is needed</v>
      </c>
      <c r="J456" s="32" t="str">
        <f t="shared" si="88"/>
        <v>Gs is needed</v>
      </c>
      <c r="K456" s="32" t="str">
        <f t="shared" si="90"/>
        <v>Need Max and Min</v>
      </c>
      <c r="L456" s="32" t="str">
        <f t="shared" si="91"/>
        <v>Need Max and Min</v>
      </c>
      <c r="M456" s="32" t="str">
        <f t="shared" si="92"/>
        <v>Fail</v>
      </c>
      <c r="N456" s="32"/>
      <c r="O456" s="31">
        <f>'mnt Data'!A459</f>
        <v>0</v>
      </c>
      <c r="P456" s="31">
        <f>'mnt Data'!B459</f>
        <v>0</v>
      </c>
      <c r="Q456" s="31">
        <f>'mnt Data'!C459</f>
        <v>0</v>
      </c>
      <c r="R456" s="31">
        <f>'mnt Data'!D459</f>
        <v>0</v>
      </c>
      <c r="S456" s="31">
        <f>'mnt Data'!E459</f>
        <v>0</v>
      </c>
      <c r="T456" s="31">
        <f>'mnt Data'!F459</f>
        <v>0</v>
      </c>
      <c r="U456" s="31">
        <f>'mnt Data'!G459</f>
        <v>0</v>
      </c>
      <c r="V456" s="31">
        <f>'mnt Data'!H459</f>
        <v>0</v>
      </c>
      <c r="W456" s="31">
        <f>'mnt Data'!I459</f>
        <v>0</v>
      </c>
      <c r="X456" s="31">
        <f>'mnt Data'!J459</f>
        <v>0</v>
      </c>
      <c r="Y456" s="31">
        <f>'mnt Data'!K459</f>
        <v>0</v>
      </c>
      <c r="Z456" s="31">
        <f>'mnt Data'!L459</f>
        <v>0</v>
      </c>
      <c r="AA456" s="31">
        <f>'mnt Data'!M459</f>
        <v>0</v>
      </c>
      <c r="AB456" s="31">
        <f>'mnt Data'!N459</f>
        <v>0</v>
      </c>
      <c r="AC456" s="31">
        <f>'mnt Data'!O459</f>
        <v>0</v>
      </c>
      <c r="AD456" s="31">
        <f>'mnt Data'!P459</f>
        <v>0</v>
      </c>
      <c r="AE456" s="31">
        <f>'mnt Data'!Q459</f>
        <v>0</v>
      </c>
      <c r="AF456" s="31">
        <f>'mnt Data'!R459</f>
        <v>0</v>
      </c>
      <c r="AG456" s="31">
        <f>'mnt Data'!S459</f>
        <v>0</v>
      </c>
      <c r="AH456" s="31">
        <f>'mnt Data'!T459</f>
        <v>0</v>
      </c>
      <c r="AI456" s="31">
        <f>'mnt Data'!U459</f>
        <v>0</v>
      </c>
      <c r="AJ456" s="31">
        <f>'mnt Data'!V459</f>
        <v>0</v>
      </c>
      <c r="AK456" s="31">
        <f>'mnt Data'!W459</f>
        <v>0</v>
      </c>
      <c r="AL456" s="31">
        <f>'mnt Data'!X459</f>
        <v>0</v>
      </c>
      <c r="AM456" s="31">
        <f>'mnt Data'!Y459</f>
        <v>0</v>
      </c>
      <c r="AN456" s="31">
        <f>'mnt Data'!Z459</f>
        <v>0</v>
      </c>
      <c r="AO456" s="31">
        <f>'mnt Data'!AA459</f>
        <v>0</v>
      </c>
      <c r="AP456" s="31">
        <f>'mnt Data'!AB459</f>
        <v>0</v>
      </c>
      <c r="AQ456" s="31">
        <f>'mnt Data'!AC459</f>
        <v>0</v>
      </c>
      <c r="AR456" s="31">
        <f>'mnt Data'!AD459</f>
        <v>0</v>
      </c>
      <c r="AS456" s="31">
        <f>'mnt Data'!AE459</f>
        <v>0</v>
      </c>
      <c r="AT456" s="31">
        <f>'mnt Data'!AF459</f>
        <v>0</v>
      </c>
      <c r="AU456" s="31">
        <f>'mnt Data'!AG459</f>
        <v>0</v>
      </c>
      <c r="AV456" s="31">
        <f>'mnt Data'!AH459</f>
        <v>0</v>
      </c>
      <c r="AW456" s="31">
        <f>'mnt Data'!AI459</f>
        <v>0</v>
      </c>
      <c r="AX456" s="31">
        <f>'mnt Data'!AJ459</f>
        <v>0</v>
      </c>
      <c r="AY456" s="31">
        <f>'mnt Data'!AK459</f>
        <v>0</v>
      </c>
    </row>
    <row r="457" spans="1:51" x14ac:dyDescent="0.25">
      <c r="A457">
        <v>456</v>
      </c>
      <c r="B457" s="32">
        <f t="shared" si="84"/>
        <v>0</v>
      </c>
      <c r="C457" s="32">
        <f t="shared" si="85"/>
        <v>0</v>
      </c>
      <c r="D457" s="32" t="str">
        <f t="shared" si="89"/>
        <v>No Gs</v>
      </c>
      <c r="E457" s="32">
        <f t="shared" si="93"/>
        <v>0</v>
      </c>
      <c r="F457" s="32" t="str">
        <f t="shared" si="94"/>
        <v>No Gs</v>
      </c>
      <c r="G457" s="32" t="str">
        <f t="shared" si="95"/>
        <v>No Gs</v>
      </c>
      <c r="H457" s="32" t="str">
        <f t="shared" si="86"/>
        <v>Gs is needed</v>
      </c>
      <c r="I457" s="32" t="str">
        <f t="shared" si="87"/>
        <v>Gs is needed</v>
      </c>
      <c r="J457" s="32" t="str">
        <f t="shared" si="88"/>
        <v>Gs is needed</v>
      </c>
      <c r="K457" s="32" t="str">
        <f t="shared" si="90"/>
        <v>Need Max and Min</v>
      </c>
      <c r="L457" s="32" t="str">
        <f t="shared" si="91"/>
        <v>Need Max and Min</v>
      </c>
      <c r="M457" s="32" t="str">
        <f t="shared" si="92"/>
        <v>Fail</v>
      </c>
      <c r="N457" s="32"/>
      <c r="O457" s="31">
        <f>'mnt Data'!A460</f>
        <v>0</v>
      </c>
      <c r="P457" s="31">
        <f>'mnt Data'!B460</f>
        <v>0</v>
      </c>
      <c r="Q457" s="31">
        <f>'mnt Data'!C460</f>
        <v>0</v>
      </c>
      <c r="R457" s="31">
        <f>'mnt Data'!D460</f>
        <v>0</v>
      </c>
      <c r="S457" s="31">
        <f>'mnt Data'!E460</f>
        <v>0</v>
      </c>
      <c r="T457" s="31">
        <f>'mnt Data'!F460</f>
        <v>0</v>
      </c>
      <c r="U457" s="31">
        <f>'mnt Data'!G460</f>
        <v>0</v>
      </c>
      <c r="V457" s="31">
        <f>'mnt Data'!H460</f>
        <v>0</v>
      </c>
      <c r="W457" s="31">
        <f>'mnt Data'!I460</f>
        <v>0</v>
      </c>
      <c r="X457" s="31">
        <f>'mnt Data'!J460</f>
        <v>0</v>
      </c>
      <c r="Y457" s="31">
        <f>'mnt Data'!K460</f>
        <v>0</v>
      </c>
      <c r="Z457" s="31">
        <f>'mnt Data'!L460</f>
        <v>0</v>
      </c>
      <c r="AA457" s="31">
        <f>'mnt Data'!M460</f>
        <v>0</v>
      </c>
      <c r="AB457" s="31">
        <f>'mnt Data'!N460</f>
        <v>0</v>
      </c>
      <c r="AC457" s="31">
        <f>'mnt Data'!O460</f>
        <v>0</v>
      </c>
      <c r="AD457" s="31">
        <f>'mnt Data'!P460</f>
        <v>0</v>
      </c>
      <c r="AE457" s="31">
        <f>'mnt Data'!Q460</f>
        <v>0</v>
      </c>
      <c r="AF457" s="31">
        <f>'mnt Data'!R460</f>
        <v>0</v>
      </c>
      <c r="AG457" s="31">
        <f>'mnt Data'!S460</f>
        <v>0</v>
      </c>
      <c r="AH457" s="31">
        <f>'mnt Data'!T460</f>
        <v>0</v>
      </c>
      <c r="AI457" s="31">
        <f>'mnt Data'!U460</f>
        <v>0</v>
      </c>
      <c r="AJ457" s="31">
        <f>'mnt Data'!V460</f>
        <v>0</v>
      </c>
      <c r="AK457" s="31">
        <f>'mnt Data'!W460</f>
        <v>0</v>
      </c>
      <c r="AL457" s="31">
        <f>'mnt Data'!X460</f>
        <v>0</v>
      </c>
      <c r="AM457" s="31">
        <f>'mnt Data'!Y460</f>
        <v>0</v>
      </c>
      <c r="AN457" s="31">
        <f>'mnt Data'!Z460</f>
        <v>0</v>
      </c>
      <c r="AO457" s="31">
        <f>'mnt Data'!AA460</f>
        <v>0</v>
      </c>
      <c r="AP457" s="31">
        <f>'mnt Data'!AB460</f>
        <v>0</v>
      </c>
      <c r="AQ457" s="31">
        <f>'mnt Data'!AC460</f>
        <v>0</v>
      </c>
      <c r="AR457" s="31">
        <f>'mnt Data'!AD460</f>
        <v>0</v>
      </c>
      <c r="AS457" s="31">
        <f>'mnt Data'!AE460</f>
        <v>0</v>
      </c>
      <c r="AT457" s="31">
        <f>'mnt Data'!AF460</f>
        <v>0</v>
      </c>
      <c r="AU457" s="31">
        <f>'mnt Data'!AG460</f>
        <v>0</v>
      </c>
      <c r="AV457" s="31">
        <f>'mnt Data'!AH460</f>
        <v>0</v>
      </c>
      <c r="AW457" s="31">
        <f>'mnt Data'!AI460</f>
        <v>0</v>
      </c>
      <c r="AX457" s="31">
        <f>'mnt Data'!AJ460</f>
        <v>0</v>
      </c>
      <c r="AY457" s="31">
        <f>'mnt Data'!AK460</f>
        <v>0</v>
      </c>
    </row>
    <row r="458" spans="1:51" x14ac:dyDescent="0.25">
      <c r="A458">
        <v>457</v>
      </c>
      <c r="B458" s="32">
        <f t="shared" si="84"/>
        <v>0</v>
      </c>
      <c r="C458" s="32">
        <f t="shared" si="85"/>
        <v>0</v>
      </c>
      <c r="D458" s="32" t="str">
        <f t="shared" si="89"/>
        <v>No Gs</v>
      </c>
      <c r="E458" s="32">
        <f t="shared" si="93"/>
        <v>0</v>
      </c>
      <c r="F458" s="32" t="str">
        <f t="shared" si="94"/>
        <v>No Gs</v>
      </c>
      <c r="G458" s="32" t="str">
        <f t="shared" si="95"/>
        <v>No Gs</v>
      </c>
      <c r="H458" s="32" t="str">
        <f t="shared" si="86"/>
        <v>Gs is needed</v>
      </c>
      <c r="I458" s="32" t="str">
        <f t="shared" si="87"/>
        <v>Gs is needed</v>
      </c>
      <c r="J458" s="32" t="str">
        <f t="shared" si="88"/>
        <v>Gs is needed</v>
      </c>
      <c r="K458" s="32" t="str">
        <f t="shared" si="90"/>
        <v>Need Max and Min</v>
      </c>
      <c r="L458" s="32" t="str">
        <f t="shared" si="91"/>
        <v>Need Max and Min</v>
      </c>
      <c r="M458" s="32" t="str">
        <f t="shared" si="92"/>
        <v>Fail</v>
      </c>
      <c r="N458" s="32"/>
      <c r="O458" s="31">
        <f>'mnt Data'!A461</f>
        <v>0</v>
      </c>
      <c r="P458" s="31">
        <f>'mnt Data'!B461</f>
        <v>0</v>
      </c>
      <c r="Q458" s="31">
        <f>'mnt Data'!C461</f>
        <v>0</v>
      </c>
      <c r="R458" s="31">
        <f>'mnt Data'!D461</f>
        <v>0</v>
      </c>
      <c r="S458" s="31">
        <f>'mnt Data'!E461</f>
        <v>0</v>
      </c>
      <c r="T458" s="31">
        <f>'mnt Data'!F461</f>
        <v>0</v>
      </c>
      <c r="U458" s="31">
        <f>'mnt Data'!G461</f>
        <v>0</v>
      </c>
      <c r="V458" s="31">
        <f>'mnt Data'!H461</f>
        <v>0</v>
      </c>
      <c r="W458" s="31">
        <f>'mnt Data'!I461</f>
        <v>0</v>
      </c>
      <c r="X458" s="31">
        <f>'mnt Data'!J461</f>
        <v>0</v>
      </c>
      <c r="Y458" s="31">
        <f>'mnt Data'!K461</f>
        <v>0</v>
      </c>
      <c r="Z458" s="31">
        <f>'mnt Data'!L461</f>
        <v>0</v>
      </c>
      <c r="AA458" s="31">
        <f>'mnt Data'!M461</f>
        <v>0</v>
      </c>
      <c r="AB458" s="31">
        <f>'mnt Data'!N461</f>
        <v>0</v>
      </c>
      <c r="AC458" s="31">
        <f>'mnt Data'!O461</f>
        <v>0</v>
      </c>
      <c r="AD458" s="31">
        <f>'mnt Data'!P461</f>
        <v>0</v>
      </c>
      <c r="AE458" s="31">
        <f>'mnt Data'!Q461</f>
        <v>0</v>
      </c>
      <c r="AF458" s="31">
        <f>'mnt Data'!R461</f>
        <v>0</v>
      </c>
      <c r="AG458" s="31">
        <f>'mnt Data'!S461</f>
        <v>0</v>
      </c>
      <c r="AH458" s="31">
        <f>'mnt Data'!T461</f>
        <v>0</v>
      </c>
      <c r="AI458" s="31">
        <f>'mnt Data'!U461</f>
        <v>0</v>
      </c>
      <c r="AJ458" s="31">
        <f>'mnt Data'!V461</f>
        <v>0</v>
      </c>
      <c r="AK458" s="31">
        <f>'mnt Data'!W461</f>
        <v>0</v>
      </c>
      <c r="AL458" s="31">
        <f>'mnt Data'!X461</f>
        <v>0</v>
      </c>
      <c r="AM458" s="31">
        <f>'mnt Data'!Y461</f>
        <v>0</v>
      </c>
      <c r="AN458" s="31">
        <f>'mnt Data'!Z461</f>
        <v>0</v>
      </c>
      <c r="AO458" s="31">
        <f>'mnt Data'!AA461</f>
        <v>0</v>
      </c>
      <c r="AP458" s="31">
        <f>'mnt Data'!AB461</f>
        <v>0</v>
      </c>
      <c r="AQ458" s="31">
        <f>'mnt Data'!AC461</f>
        <v>0</v>
      </c>
      <c r="AR458" s="31">
        <f>'mnt Data'!AD461</f>
        <v>0</v>
      </c>
      <c r="AS458" s="31">
        <f>'mnt Data'!AE461</f>
        <v>0</v>
      </c>
      <c r="AT458" s="31">
        <f>'mnt Data'!AF461</f>
        <v>0</v>
      </c>
      <c r="AU458" s="31">
        <f>'mnt Data'!AG461</f>
        <v>0</v>
      </c>
      <c r="AV458" s="31">
        <f>'mnt Data'!AH461</f>
        <v>0</v>
      </c>
      <c r="AW458" s="31">
        <f>'mnt Data'!AI461</f>
        <v>0</v>
      </c>
      <c r="AX458" s="31">
        <f>'mnt Data'!AJ461</f>
        <v>0</v>
      </c>
      <c r="AY458" s="31">
        <f>'mnt Data'!AK461</f>
        <v>0</v>
      </c>
    </row>
    <row r="459" spans="1:51" x14ac:dyDescent="0.25">
      <c r="A459">
        <v>458</v>
      </c>
      <c r="B459" s="32">
        <f t="shared" si="84"/>
        <v>0</v>
      </c>
      <c r="C459" s="32">
        <f t="shared" si="85"/>
        <v>0</v>
      </c>
      <c r="D459" s="32" t="str">
        <f t="shared" si="89"/>
        <v>No Gs</v>
      </c>
      <c r="E459" s="32">
        <f t="shared" si="93"/>
        <v>0</v>
      </c>
      <c r="F459" s="32" t="str">
        <f t="shared" si="94"/>
        <v>No Gs</v>
      </c>
      <c r="G459" s="32" t="str">
        <f t="shared" si="95"/>
        <v>No Gs</v>
      </c>
      <c r="H459" s="32" t="str">
        <f t="shared" si="86"/>
        <v>Gs is needed</v>
      </c>
      <c r="I459" s="32" t="str">
        <f t="shared" si="87"/>
        <v>Gs is needed</v>
      </c>
      <c r="J459" s="32" t="str">
        <f t="shared" si="88"/>
        <v>Gs is needed</v>
      </c>
      <c r="K459" s="32" t="str">
        <f t="shared" si="90"/>
        <v>Need Max and Min</v>
      </c>
      <c r="L459" s="32" t="str">
        <f t="shared" si="91"/>
        <v>Need Max and Min</v>
      </c>
      <c r="M459" s="32" t="str">
        <f t="shared" si="92"/>
        <v>Fail</v>
      </c>
      <c r="N459" s="32"/>
      <c r="O459" s="31">
        <f>'mnt Data'!A462</f>
        <v>0</v>
      </c>
      <c r="P459" s="31">
        <f>'mnt Data'!B462</f>
        <v>0</v>
      </c>
      <c r="Q459" s="31">
        <f>'mnt Data'!C462</f>
        <v>0</v>
      </c>
      <c r="R459" s="31">
        <f>'mnt Data'!D462</f>
        <v>0</v>
      </c>
      <c r="S459" s="31">
        <f>'mnt Data'!E462</f>
        <v>0</v>
      </c>
      <c r="T459" s="31">
        <f>'mnt Data'!F462</f>
        <v>0</v>
      </c>
      <c r="U459" s="31">
        <f>'mnt Data'!G462</f>
        <v>0</v>
      </c>
      <c r="V459" s="31">
        <f>'mnt Data'!H462</f>
        <v>0</v>
      </c>
      <c r="W459" s="31">
        <f>'mnt Data'!I462</f>
        <v>0</v>
      </c>
      <c r="X459" s="31">
        <f>'mnt Data'!J462</f>
        <v>0</v>
      </c>
      <c r="Y459" s="31">
        <f>'mnt Data'!K462</f>
        <v>0</v>
      </c>
      <c r="Z459" s="31">
        <f>'mnt Data'!L462</f>
        <v>0</v>
      </c>
      <c r="AA459" s="31">
        <f>'mnt Data'!M462</f>
        <v>0</v>
      </c>
      <c r="AB459" s="31">
        <f>'mnt Data'!N462</f>
        <v>0</v>
      </c>
      <c r="AC459" s="31">
        <f>'mnt Data'!O462</f>
        <v>0</v>
      </c>
      <c r="AD459" s="31">
        <f>'mnt Data'!P462</f>
        <v>0</v>
      </c>
      <c r="AE459" s="31">
        <f>'mnt Data'!Q462</f>
        <v>0</v>
      </c>
      <c r="AF459" s="31">
        <f>'mnt Data'!R462</f>
        <v>0</v>
      </c>
      <c r="AG459" s="31">
        <f>'mnt Data'!S462</f>
        <v>0</v>
      </c>
      <c r="AH459" s="31">
        <f>'mnt Data'!T462</f>
        <v>0</v>
      </c>
      <c r="AI459" s="31">
        <f>'mnt Data'!U462</f>
        <v>0</v>
      </c>
      <c r="AJ459" s="31">
        <f>'mnt Data'!V462</f>
        <v>0</v>
      </c>
      <c r="AK459" s="31">
        <f>'mnt Data'!W462</f>
        <v>0</v>
      </c>
      <c r="AL459" s="31">
        <f>'mnt Data'!X462</f>
        <v>0</v>
      </c>
      <c r="AM459" s="31">
        <f>'mnt Data'!Y462</f>
        <v>0</v>
      </c>
      <c r="AN459" s="31">
        <f>'mnt Data'!Z462</f>
        <v>0</v>
      </c>
      <c r="AO459" s="31">
        <f>'mnt Data'!AA462</f>
        <v>0</v>
      </c>
      <c r="AP459" s="31">
        <f>'mnt Data'!AB462</f>
        <v>0</v>
      </c>
      <c r="AQ459" s="31">
        <f>'mnt Data'!AC462</f>
        <v>0</v>
      </c>
      <c r="AR459" s="31">
        <f>'mnt Data'!AD462</f>
        <v>0</v>
      </c>
      <c r="AS459" s="31">
        <f>'mnt Data'!AE462</f>
        <v>0</v>
      </c>
      <c r="AT459" s="31">
        <f>'mnt Data'!AF462</f>
        <v>0</v>
      </c>
      <c r="AU459" s="31">
        <f>'mnt Data'!AG462</f>
        <v>0</v>
      </c>
      <c r="AV459" s="31">
        <f>'mnt Data'!AH462</f>
        <v>0</v>
      </c>
      <c r="AW459" s="31">
        <f>'mnt Data'!AI462</f>
        <v>0</v>
      </c>
      <c r="AX459" s="31">
        <f>'mnt Data'!AJ462</f>
        <v>0</v>
      </c>
      <c r="AY459" s="31">
        <f>'mnt Data'!AK462</f>
        <v>0</v>
      </c>
    </row>
    <row r="460" spans="1:51" x14ac:dyDescent="0.25">
      <c r="A460">
        <v>459</v>
      </c>
      <c r="B460" s="32">
        <f t="shared" si="84"/>
        <v>0</v>
      </c>
      <c r="C460" s="32">
        <f t="shared" si="85"/>
        <v>0</v>
      </c>
      <c r="D460" s="32" t="str">
        <f t="shared" si="89"/>
        <v>No Gs</v>
      </c>
      <c r="E460" s="32">
        <f t="shared" si="93"/>
        <v>0</v>
      </c>
      <c r="F460" s="32" t="str">
        <f t="shared" si="94"/>
        <v>No Gs</v>
      </c>
      <c r="G460" s="32" t="str">
        <f t="shared" si="95"/>
        <v>No Gs</v>
      </c>
      <c r="H460" s="32" t="str">
        <f t="shared" si="86"/>
        <v>Gs is needed</v>
      </c>
      <c r="I460" s="32" t="str">
        <f t="shared" si="87"/>
        <v>Gs is needed</v>
      </c>
      <c r="J460" s="32" t="str">
        <f t="shared" si="88"/>
        <v>Gs is needed</v>
      </c>
      <c r="K460" s="32" t="str">
        <f t="shared" si="90"/>
        <v>Need Max and Min</v>
      </c>
      <c r="L460" s="32" t="str">
        <f t="shared" si="91"/>
        <v>Need Max and Min</v>
      </c>
      <c r="M460" s="32" t="str">
        <f t="shared" si="92"/>
        <v>Fail</v>
      </c>
      <c r="N460" s="32"/>
      <c r="O460" s="31">
        <f>'mnt Data'!A463</f>
        <v>0</v>
      </c>
      <c r="P460" s="31">
        <f>'mnt Data'!B463</f>
        <v>0</v>
      </c>
      <c r="Q460" s="31">
        <f>'mnt Data'!C463</f>
        <v>0</v>
      </c>
      <c r="R460" s="31">
        <f>'mnt Data'!D463</f>
        <v>0</v>
      </c>
      <c r="S460" s="31">
        <f>'mnt Data'!E463</f>
        <v>0</v>
      </c>
      <c r="T460" s="31">
        <f>'mnt Data'!F463</f>
        <v>0</v>
      </c>
      <c r="U460" s="31">
        <f>'mnt Data'!G463</f>
        <v>0</v>
      </c>
      <c r="V460" s="31">
        <f>'mnt Data'!H463</f>
        <v>0</v>
      </c>
      <c r="W460" s="31">
        <f>'mnt Data'!I463</f>
        <v>0</v>
      </c>
      <c r="X460" s="31">
        <f>'mnt Data'!J463</f>
        <v>0</v>
      </c>
      <c r="Y460" s="31">
        <f>'mnt Data'!K463</f>
        <v>0</v>
      </c>
      <c r="Z460" s="31">
        <f>'mnt Data'!L463</f>
        <v>0</v>
      </c>
      <c r="AA460" s="31">
        <f>'mnt Data'!M463</f>
        <v>0</v>
      </c>
      <c r="AB460" s="31">
        <f>'mnt Data'!N463</f>
        <v>0</v>
      </c>
      <c r="AC460" s="31">
        <f>'mnt Data'!O463</f>
        <v>0</v>
      </c>
      <c r="AD460" s="31">
        <f>'mnt Data'!P463</f>
        <v>0</v>
      </c>
      <c r="AE460" s="31">
        <f>'mnt Data'!Q463</f>
        <v>0</v>
      </c>
      <c r="AF460" s="31">
        <f>'mnt Data'!R463</f>
        <v>0</v>
      </c>
      <c r="AG460" s="31">
        <f>'mnt Data'!S463</f>
        <v>0</v>
      </c>
      <c r="AH460" s="31">
        <f>'mnt Data'!T463</f>
        <v>0</v>
      </c>
      <c r="AI460" s="31">
        <f>'mnt Data'!U463</f>
        <v>0</v>
      </c>
      <c r="AJ460" s="31">
        <f>'mnt Data'!V463</f>
        <v>0</v>
      </c>
      <c r="AK460" s="31">
        <f>'mnt Data'!W463</f>
        <v>0</v>
      </c>
      <c r="AL460" s="31">
        <f>'mnt Data'!X463</f>
        <v>0</v>
      </c>
      <c r="AM460" s="31">
        <f>'mnt Data'!Y463</f>
        <v>0</v>
      </c>
      <c r="AN460" s="31">
        <f>'mnt Data'!Z463</f>
        <v>0</v>
      </c>
      <c r="AO460" s="31">
        <f>'mnt Data'!AA463</f>
        <v>0</v>
      </c>
      <c r="AP460" s="31">
        <f>'mnt Data'!AB463</f>
        <v>0</v>
      </c>
      <c r="AQ460" s="31">
        <f>'mnt Data'!AC463</f>
        <v>0</v>
      </c>
      <c r="AR460" s="31">
        <f>'mnt Data'!AD463</f>
        <v>0</v>
      </c>
      <c r="AS460" s="31">
        <f>'mnt Data'!AE463</f>
        <v>0</v>
      </c>
      <c r="AT460" s="31">
        <f>'mnt Data'!AF463</f>
        <v>0</v>
      </c>
      <c r="AU460" s="31">
        <f>'mnt Data'!AG463</f>
        <v>0</v>
      </c>
      <c r="AV460" s="31">
        <f>'mnt Data'!AH463</f>
        <v>0</v>
      </c>
      <c r="AW460" s="31">
        <f>'mnt Data'!AI463</f>
        <v>0</v>
      </c>
      <c r="AX460" s="31">
        <f>'mnt Data'!AJ463</f>
        <v>0</v>
      </c>
      <c r="AY460" s="31">
        <f>'mnt Data'!AK463</f>
        <v>0</v>
      </c>
    </row>
    <row r="461" spans="1:51" x14ac:dyDescent="0.25">
      <c r="A461">
        <v>460</v>
      </c>
      <c r="B461" s="32">
        <f t="shared" si="84"/>
        <v>0</v>
      </c>
      <c r="C461" s="32">
        <f t="shared" si="85"/>
        <v>0</v>
      </c>
      <c r="D461" s="32" t="str">
        <f t="shared" si="89"/>
        <v>No Gs</v>
      </c>
      <c r="E461" s="32">
        <f t="shared" si="93"/>
        <v>0</v>
      </c>
      <c r="F461" s="32" t="str">
        <f t="shared" si="94"/>
        <v>No Gs</v>
      </c>
      <c r="G461" s="32" t="str">
        <f t="shared" si="95"/>
        <v>No Gs</v>
      </c>
      <c r="H461" s="32" t="str">
        <f t="shared" si="86"/>
        <v>Gs is needed</v>
      </c>
      <c r="I461" s="32" t="str">
        <f t="shared" si="87"/>
        <v>Gs is needed</v>
      </c>
      <c r="J461" s="32" t="str">
        <f t="shared" si="88"/>
        <v>Gs is needed</v>
      </c>
      <c r="K461" s="32" t="str">
        <f t="shared" si="90"/>
        <v>Need Max and Min</v>
      </c>
      <c r="L461" s="32" t="str">
        <f t="shared" si="91"/>
        <v>Need Max and Min</v>
      </c>
      <c r="M461" s="32" t="str">
        <f t="shared" si="92"/>
        <v>Fail</v>
      </c>
      <c r="N461" s="32"/>
      <c r="O461" s="31">
        <f>'mnt Data'!A464</f>
        <v>0</v>
      </c>
      <c r="P461" s="31">
        <f>'mnt Data'!B464</f>
        <v>0</v>
      </c>
      <c r="Q461" s="31">
        <f>'mnt Data'!C464</f>
        <v>0</v>
      </c>
      <c r="R461" s="31">
        <f>'mnt Data'!D464</f>
        <v>0</v>
      </c>
      <c r="S461" s="31">
        <f>'mnt Data'!E464</f>
        <v>0</v>
      </c>
      <c r="T461" s="31">
        <f>'mnt Data'!F464</f>
        <v>0</v>
      </c>
      <c r="U461" s="31">
        <f>'mnt Data'!G464</f>
        <v>0</v>
      </c>
      <c r="V461" s="31">
        <f>'mnt Data'!H464</f>
        <v>0</v>
      </c>
      <c r="W461" s="31">
        <f>'mnt Data'!I464</f>
        <v>0</v>
      </c>
      <c r="X461" s="31">
        <f>'mnt Data'!J464</f>
        <v>0</v>
      </c>
      <c r="Y461" s="31">
        <f>'mnt Data'!K464</f>
        <v>0</v>
      </c>
      <c r="Z461" s="31">
        <f>'mnt Data'!L464</f>
        <v>0</v>
      </c>
      <c r="AA461" s="31">
        <f>'mnt Data'!M464</f>
        <v>0</v>
      </c>
      <c r="AB461" s="31">
        <f>'mnt Data'!N464</f>
        <v>0</v>
      </c>
      <c r="AC461" s="31">
        <f>'mnt Data'!O464</f>
        <v>0</v>
      </c>
      <c r="AD461" s="31">
        <f>'mnt Data'!P464</f>
        <v>0</v>
      </c>
      <c r="AE461" s="31">
        <f>'mnt Data'!Q464</f>
        <v>0</v>
      </c>
      <c r="AF461" s="31">
        <f>'mnt Data'!R464</f>
        <v>0</v>
      </c>
      <c r="AG461" s="31">
        <f>'mnt Data'!S464</f>
        <v>0</v>
      </c>
      <c r="AH461" s="31">
        <f>'mnt Data'!T464</f>
        <v>0</v>
      </c>
      <c r="AI461" s="31">
        <f>'mnt Data'!U464</f>
        <v>0</v>
      </c>
      <c r="AJ461" s="31">
        <f>'mnt Data'!V464</f>
        <v>0</v>
      </c>
      <c r="AK461" s="31">
        <f>'mnt Data'!W464</f>
        <v>0</v>
      </c>
      <c r="AL461" s="31">
        <f>'mnt Data'!X464</f>
        <v>0</v>
      </c>
      <c r="AM461" s="31">
        <f>'mnt Data'!Y464</f>
        <v>0</v>
      </c>
      <c r="AN461" s="31">
        <f>'mnt Data'!Z464</f>
        <v>0</v>
      </c>
      <c r="AO461" s="31">
        <f>'mnt Data'!AA464</f>
        <v>0</v>
      </c>
      <c r="AP461" s="31">
        <f>'mnt Data'!AB464</f>
        <v>0</v>
      </c>
      <c r="AQ461" s="31">
        <f>'mnt Data'!AC464</f>
        <v>0</v>
      </c>
      <c r="AR461" s="31">
        <f>'mnt Data'!AD464</f>
        <v>0</v>
      </c>
      <c r="AS461" s="31">
        <f>'mnt Data'!AE464</f>
        <v>0</v>
      </c>
      <c r="AT461" s="31">
        <f>'mnt Data'!AF464</f>
        <v>0</v>
      </c>
      <c r="AU461" s="31">
        <f>'mnt Data'!AG464</f>
        <v>0</v>
      </c>
      <c r="AV461" s="31">
        <f>'mnt Data'!AH464</f>
        <v>0</v>
      </c>
      <c r="AW461" s="31">
        <f>'mnt Data'!AI464</f>
        <v>0</v>
      </c>
      <c r="AX461" s="31">
        <f>'mnt Data'!AJ464</f>
        <v>0</v>
      </c>
      <c r="AY461" s="31">
        <f>'mnt Data'!AK464</f>
        <v>0</v>
      </c>
    </row>
    <row r="462" spans="1:51" x14ac:dyDescent="0.25">
      <c r="A462">
        <v>461</v>
      </c>
      <c r="B462" s="32">
        <f t="shared" si="84"/>
        <v>0</v>
      </c>
      <c r="C462" s="32">
        <f t="shared" si="85"/>
        <v>0</v>
      </c>
      <c r="D462" s="32" t="str">
        <f t="shared" si="89"/>
        <v>No Gs</v>
      </c>
      <c r="E462" s="32">
        <f t="shared" si="93"/>
        <v>0</v>
      </c>
      <c r="F462" s="32" t="str">
        <f t="shared" si="94"/>
        <v>No Gs</v>
      </c>
      <c r="G462" s="32" t="str">
        <f t="shared" si="95"/>
        <v>No Gs</v>
      </c>
      <c r="H462" s="32" t="str">
        <f t="shared" si="86"/>
        <v>Gs is needed</v>
      </c>
      <c r="I462" s="32" t="str">
        <f t="shared" si="87"/>
        <v>Gs is needed</v>
      </c>
      <c r="J462" s="32" t="str">
        <f t="shared" si="88"/>
        <v>Gs is needed</v>
      </c>
      <c r="K462" s="32" t="str">
        <f t="shared" si="90"/>
        <v>Need Max and Min</v>
      </c>
      <c r="L462" s="32" t="str">
        <f t="shared" si="91"/>
        <v>Need Max and Min</v>
      </c>
      <c r="M462" s="32" t="str">
        <f t="shared" si="92"/>
        <v>Fail</v>
      </c>
      <c r="N462" s="32"/>
      <c r="O462" s="31">
        <f>'mnt Data'!A465</f>
        <v>0</v>
      </c>
      <c r="P462" s="31">
        <f>'mnt Data'!B465</f>
        <v>0</v>
      </c>
      <c r="Q462" s="31">
        <f>'mnt Data'!C465</f>
        <v>0</v>
      </c>
      <c r="R462" s="31">
        <f>'mnt Data'!D465</f>
        <v>0</v>
      </c>
      <c r="S462" s="31">
        <f>'mnt Data'!E465</f>
        <v>0</v>
      </c>
      <c r="T462" s="31">
        <f>'mnt Data'!F465</f>
        <v>0</v>
      </c>
      <c r="U462" s="31">
        <f>'mnt Data'!G465</f>
        <v>0</v>
      </c>
      <c r="V462" s="31">
        <f>'mnt Data'!H465</f>
        <v>0</v>
      </c>
      <c r="W462" s="31">
        <f>'mnt Data'!I465</f>
        <v>0</v>
      </c>
      <c r="X462" s="31">
        <f>'mnt Data'!J465</f>
        <v>0</v>
      </c>
      <c r="Y462" s="31">
        <f>'mnt Data'!K465</f>
        <v>0</v>
      </c>
      <c r="Z462" s="31">
        <f>'mnt Data'!L465</f>
        <v>0</v>
      </c>
      <c r="AA462" s="31">
        <f>'mnt Data'!M465</f>
        <v>0</v>
      </c>
      <c r="AB462" s="31">
        <f>'mnt Data'!N465</f>
        <v>0</v>
      </c>
      <c r="AC462" s="31">
        <f>'mnt Data'!O465</f>
        <v>0</v>
      </c>
      <c r="AD462" s="31">
        <f>'mnt Data'!P465</f>
        <v>0</v>
      </c>
      <c r="AE462" s="31">
        <f>'mnt Data'!Q465</f>
        <v>0</v>
      </c>
      <c r="AF462" s="31">
        <f>'mnt Data'!R465</f>
        <v>0</v>
      </c>
      <c r="AG462" s="31">
        <f>'mnt Data'!S465</f>
        <v>0</v>
      </c>
      <c r="AH462" s="31">
        <f>'mnt Data'!T465</f>
        <v>0</v>
      </c>
      <c r="AI462" s="31">
        <f>'mnt Data'!U465</f>
        <v>0</v>
      </c>
      <c r="AJ462" s="31">
        <f>'mnt Data'!V465</f>
        <v>0</v>
      </c>
      <c r="AK462" s="31">
        <f>'mnt Data'!W465</f>
        <v>0</v>
      </c>
      <c r="AL462" s="31">
        <f>'mnt Data'!X465</f>
        <v>0</v>
      </c>
      <c r="AM462" s="31">
        <f>'mnt Data'!Y465</f>
        <v>0</v>
      </c>
      <c r="AN462" s="31">
        <f>'mnt Data'!Z465</f>
        <v>0</v>
      </c>
      <c r="AO462" s="31">
        <f>'mnt Data'!AA465</f>
        <v>0</v>
      </c>
      <c r="AP462" s="31">
        <f>'mnt Data'!AB465</f>
        <v>0</v>
      </c>
      <c r="AQ462" s="31">
        <f>'mnt Data'!AC465</f>
        <v>0</v>
      </c>
      <c r="AR462" s="31">
        <f>'mnt Data'!AD465</f>
        <v>0</v>
      </c>
      <c r="AS462" s="31">
        <f>'mnt Data'!AE465</f>
        <v>0</v>
      </c>
      <c r="AT462" s="31">
        <f>'mnt Data'!AF465</f>
        <v>0</v>
      </c>
      <c r="AU462" s="31">
        <f>'mnt Data'!AG465</f>
        <v>0</v>
      </c>
      <c r="AV462" s="31">
        <f>'mnt Data'!AH465</f>
        <v>0</v>
      </c>
      <c r="AW462" s="31">
        <f>'mnt Data'!AI465</f>
        <v>0</v>
      </c>
      <c r="AX462" s="31">
        <f>'mnt Data'!AJ465</f>
        <v>0</v>
      </c>
      <c r="AY462" s="31">
        <f>'mnt Data'!AK465</f>
        <v>0</v>
      </c>
    </row>
    <row r="463" spans="1:51" x14ac:dyDescent="0.25">
      <c r="A463">
        <v>462</v>
      </c>
      <c r="B463" s="32">
        <f t="shared" si="84"/>
        <v>0</v>
      </c>
      <c r="C463" s="32">
        <f t="shared" si="85"/>
        <v>0</v>
      </c>
      <c r="D463" s="32" t="str">
        <f t="shared" si="89"/>
        <v>No Gs</v>
      </c>
      <c r="E463" s="32">
        <f t="shared" si="93"/>
        <v>0</v>
      </c>
      <c r="F463" s="32" t="str">
        <f t="shared" si="94"/>
        <v>No Gs</v>
      </c>
      <c r="G463" s="32" t="str">
        <f t="shared" si="95"/>
        <v>No Gs</v>
      </c>
      <c r="H463" s="32" t="str">
        <f t="shared" si="86"/>
        <v>Gs is needed</v>
      </c>
      <c r="I463" s="32" t="str">
        <f t="shared" si="87"/>
        <v>Gs is needed</v>
      </c>
      <c r="J463" s="32" t="str">
        <f t="shared" si="88"/>
        <v>Gs is needed</v>
      </c>
      <c r="K463" s="32" t="str">
        <f t="shared" si="90"/>
        <v>Need Max and Min</v>
      </c>
      <c r="L463" s="32" t="str">
        <f t="shared" si="91"/>
        <v>Need Max and Min</v>
      </c>
      <c r="M463" s="32" t="str">
        <f t="shared" si="92"/>
        <v>Fail</v>
      </c>
      <c r="N463" s="32"/>
      <c r="O463" s="31">
        <f>'mnt Data'!A466</f>
        <v>0</v>
      </c>
      <c r="P463" s="31">
        <f>'mnt Data'!B466</f>
        <v>0</v>
      </c>
      <c r="Q463" s="31">
        <f>'mnt Data'!C466</f>
        <v>0</v>
      </c>
      <c r="R463" s="31">
        <f>'mnt Data'!D466</f>
        <v>0</v>
      </c>
      <c r="S463" s="31">
        <f>'mnt Data'!E466</f>
        <v>0</v>
      </c>
      <c r="T463" s="31">
        <f>'mnt Data'!F466</f>
        <v>0</v>
      </c>
      <c r="U463" s="31">
        <f>'mnt Data'!G466</f>
        <v>0</v>
      </c>
      <c r="V463" s="31">
        <f>'mnt Data'!H466</f>
        <v>0</v>
      </c>
      <c r="W463" s="31">
        <f>'mnt Data'!I466</f>
        <v>0</v>
      </c>
      <c r="X463" s="31">
        <f>'mnt Data'!J466</f>
        <v>0</v>
      </c>
      <c r="Y463" s="31">
        <f>'mnt Data'!K466</f>
        <v>0</v>
      </c>
      <c r="Z463" s="31">
        <f>'mnt Data'!L466</f>
        <v>0</v>
      </c>
      <c r="AA463" s="31">
        <f>'mnt Data'!M466</f>
        <v>0</v>
      </c>
      <c r="AB463" s="31">
        <f>'mnt Data'!N466</f>
        <v>0</v>
      </c>
      <c r="AC463" s="31">
        <f>'mnt Data'!O466</f>
        <v>0</v>
      </c>
      <c r="AD463" s="31">
        <f>'mnt Data'!P466</f>
        <v>0</v>
      </c>
      <c r="AE463" s="31">
        <f>'mnt Data'!Q466</f>
        <v>0</v>
      </c>
      <c r="AF463" s="31">
        <f>'mnt Data'!R466</f>
        <v>0</v>
      </c>
      <c r="AG463" s="31">
        <f>'mnt Data'!S466</f>
        <v>0</v>
      </c>
      <c r="AH463" s="31">
        <f>'mnt Data'!T466</f>
        <v>0</v>
      </c>
      <c r="AI463" s="31">
        <f>'mnt Data'!U466</f>
        <v>0</v>
      </c>
      <c r="AJ463" s="31">
        <f>'mnt Data'!V466</f>
        <v>0</v>
      </c>
      <c r="AK463" s="31">
        <f>'mnt Data'!W466</f>
        <v>0</v>
      </c>
      <c r="AL463" s="31">
        <f>'mnt Data'!X466</f>
        <v>0</v>
      </c>
      <c r="AM463" s="31">
        <f>'mnt Data'!Y466</f>
        <v>0</v>
      </c>
      <c r="AN463" s="31">
        <f>'mnt Data'!Z466</f>
        <v>0</v>
      </c>
      <c r="AO463" s="31">
        <f>'mnt Data'!AA466</f>
        <v>0</v>
      </c>
      <c r="AP463" s="31">
        <f>'mnt Data'!AB466</f>
        <v>0</v>
      </c>
      <c r="AQ463" s="31">
        <f>'mnt Data'!AC466</f>
        <v>0</v>
      </c>
      <c r="AR463" s="31">
        <f>'mnt Data'!AD466</f>
        <v>0</v>
      </c>
      <c r="AS463" s="31">
        <f>'mnt Data'!AE466</f>
        <v>0</v>
      </c>
      <c r="AT463" s="31">
        <f>'mnt Data'!AF466</f>
        <v>0</v>
      </c>
      <c r="AU463" s="31">
        <f>'mnt Data'!AG466</f>
        <v>0</v>
      </c>
      <c r="AV463" s="31">
        <f>'mnt Data'!AH466</f>
        <v>0</v>
      </c>
      <c r="AW463" s="31">
        <f>'mnt Data'!AI466</f>
        <v>0</v>
      </c>
      <c r="AX463" s="31">
        <f>'mnt Data'!AJ466</f>
        <v>0</v>
      </c>
      <c r="AY463" s="31">
        <f>'mnt Data'!AK466</f>
        <v>0</v>
      </c>
    </row>
    <row r="464" spans="1:51" x14ac:dyDescent="0.25">
      <c r="A464">
        <v>463</v>
      </c>
      <c r="B464" s="32">
        <f t="shared" si="84"/>
        <v>0</v>
      </c>
      <c r="C464" s="32">
        <f t="shared" si="85"/>
        <v>0</v>
      </c>
      <c r="D464" s="32" t="str">
        <f t="shared" si="89"/>
        <v>No Gs</v>
      </c>
      <c r="E464" s="32">
        <f t="shared" si="93"/>
        <v>0</v>
      </c>
      <c r="F464" s="32" t="str">
        <f t="shared" si="94"/>
        <v>No Gs</v>
      </c>
      <c r="G464" s="32" t="str">
        <f t="shared" si="95"/>
        <v>No Gs</v>
      </c>
      <c r="H464" s="32" t="str">
        <f t="shared" si="86"/>
        <v>Gs is needed</v>
      </c>
      <c r="I464" s="32" t="str">
        <f t="shared" si="87"/>
        <v>Gs is needed</v>
      </c>
      <c r="J464" s="32" t="str">
        <f t="shared" si="88"/>
        <v>Gs is needed</v>
      </c>
      <c r="K464" s="32" t="str">
        <f t="shared" si="90"/>
        <v>Need Max and Min</v>
      </c>
      <c r="L464" s="32" t="str">
        <f t="shared" si="91"/>
        <v>Need Max and Min</v>
      </c>
      <c r="M464" s="32" t="str">
        <f t="shared" si="92"/>
        <v>Fail</v>
      </c>
      <c r="N464" s="32"/>
      <c r="O464" s="31">
        <f>'mnt Data'!A467</f>
        <v>0</v>
      </c>
      <c r="P464" s="31">
        <f>'mnt Data'!B467</f>
        <v>0</v>
      </c>
      <c r="Q464" s="31">
        <f>'mnt Data'!C467</f>
        <v>0</v>
      </c>
      <c r="R464" s="31">
        <f>'mnt Data'!D467</f>
        <v>0</v>
      </c>
      <c r="S464" s="31">
        <f>'mnt Data'!E467</f>
        <v>0</v>
      </c>
      <c r="T464" s="31">
        <f>'mnt Data'!F467</f>
        <v>0</v>
      </c>
      <c r="U464" s="31">
        <f>'mnt Data'!G467</f>
        <v>0</v>
      </c>
      <c r="V464" s="31">
        <f>'mnt Data'!H467</f>
        <v>0</v>
      </c>
      <c r="W464" s="31">
        <f>'mnt Data'!I467</f>
        <v>0</v>
      </c>
      <c r="X464" s="31">
        <f>'mnt Data'!J467</f>
        <v>0</v>
      </c>
      <c r="Y464" s="31">
        <f>'mnt Data'!K467</f>
        <v>0</v>
      </c>
      <c r="Z464" s="31">
        <f>'mnt Data'!L467</f>
        <v>0</v>
      </c>
      <c r="AA464" s="31">
        <f>'mnt Data'!M467</f>
        <v>0</v>
      </c>
      <c r="AB464" s="31">
        <f>'mnt Data'!N467</f>
        <v>0</v>
      </c>
      <c r="AC464" s="31">
        <f>'mnt Data'!O467</f>
        <v>0</v>
      </c>
      <c r="AD464" s="31">
        <f>'mnt Data'!P467</f>
        <v>0</v>
      </c>
      <c r="AE464" s="31">
        <f>'mnt Data'!Q467</f>
        <v>0</v>
      </c>
      <c r="AF464" s="31">
        <f>'mnt Data'!R467</f>
        <v>0</v>
      </c>
      <c r="AG464" s="31">
        <f>'mnt Data'!S467</f>
        <v>0</v>
      </c>
      <c r="AH464" s="31">
        <f>'mnt Data'!T467</f>
        <v>0</v>
      </c>
      <c r="AI464" s="31">
        <f>'mnt Data'!U467</f>
        <v>0</v>
      </c>
      <c r="AJ464" s="31">
        <f>'mnt Data'!V467</f>
        <v>0</v>
      </c>
      <c r="AK464" s="31">
        <f>'mnt Data'!W467</f>
        <v>0</v>
      </c>
      <c r="AL464" s="31">
        <f>'mnt Data'!X467</f>
        <v>0</v>
      </c>
      <c r="AM464" s="31">
        <f>'mnt Data'!Y467</f>
        <v>0</v>
      </c>
      <c r="AN464" s="31">
        <f>'mnt Data'!Z467</f>
        <v>0</v>
      </c>
      <c r="AO464" s="31">
        <f>'mnt Data'!AA467</f>
        <v>0</v>
      </c>
      <c r="AP464" s="31">
        <f>'mnt Data'!AB467</f>
        <v>0</v>
      </c>
      <c r="AQ464" s="31">
        <f>'mnt Data'!AC467</f>
        <v>0</v>
      </c>
      <c r="AR464" s="31">
        <f>'mnt Data'!AD467</f>
        <v>0</v>
      </c>
      <c r="AS464" s="31">
        <f>'mnt Data'!AE467</f>
        <v>0</v>
      </c>
      <c r="AT464" s="31">
        <f>'mnt Data'!AF467</f>
        <v>0</v>
      </c>
      <c r="AU464" s="31">
        <f>'mnt Data'!AG467</f>
        <v>0</v>
      </c>
      <c r="AV464" s="31">
        <f>'mnt Data'!AH467</f>
        <v>0</v>
      </c>
      <c r="AW464" s="31">
        <f>'mnt Data'!AI467</f>
        <v>0</v>
      </c>
      <c r="AX464" s="31">
        <f>'mnt Data'!AJ467</f>
        <v>0</v>
      </c>
      <c r="AY464" s="31">
        <f>'mnt Data'!AK467</f>
        <v>0</v>
      </c>
    </row>
    <row r="465" spans="1:51" x14ac:dyDescent="0.25">
      <c r="A465">
        <v>464</v>
      </c>
      <c r="B465" s="32">
        <f t="shared" si="84"/>
        <v>0</v>
      </c>
      <c r="C465" s="32">
        <f t="shared" si="85"/>
        <v>0</v>
      </c>
      <c r="D465" s="32" t="str">
        <f t="shared" si="89"/>
        <v>No Gs</v>
      </c>
      <c r="E465" s="32">
        <f t="shared" si="93"/>
        <v>0</v>
      </c>
      <c r="F465" s="32" t="str">
        <f t="shared" si="94"/>
        <v>No Gs</v>
      </c>
      <c r="G465" s="32" t="str">
        <f t="shared" si="95"/>
        <v>No Gs</v>
      </c>
      <c r="H465" s="32" t="str">
        <f t="shared" si="86"/>
        <v>Gs is needed</v>
      </c>
      <c r="I465" s="32" t="str">
        <f t="shared" si="87"/>
        <v>Gs is needed</v>
      </c>
      <c r="J465" s="32" t="str">
        <f t="shared" si="88"/>
        <v>Gs is needed</v>
      </c>
      <c r="K465" s="32" t="str">
        <f t="shared" si="90"/>
        <v>Need Max and Min</v>
      </c>
      <c r="L465" s="32" t="str">
        <f t="shared" si="91"/>
        <v>Need Max and Min</v>
      </c>
      <c r="M465" s="32" t="str">
        <f t="shared" si="92"/>
        <v>Fail</v>
      </c>
      <c r="N465" s="32"/>
      <c r="O465" s="31">
        <f>'mnt Data'!A468</f>
        <v>0</v>
      </c>
      <c r="P465" s="31">
        <f>'mnt Data'!B468</f>
        <v>0</v>
      </c>
      <c r="Q465" s="31">
        <f>'mnt Data'!C468</f>
        <v>0</v>
      </c>
      <c r="R465" s="31">
        <f>'mnt Data'!D468</f>
        <v>0</v>
      </c>
      <c r="S465" s="31">
        <f>'mnt Data'!E468</f>
        <v>0</v>
      </c>
      <c r="T465" s="31">
        <f>'mnt Data'!F468</f>
        <v>0</v>
      </c>
      <c r="U465" s="31">
        <f>'mnt Data'!G468</f>
        <v>0</v>
      </c>
      <c r="V465" s="31">
        <f>'mnt Data'!H468</f>
        <v>0</v>
      </c>
      <c r="W465" s="31">
        <f>'mnt Data'!I468</f>
        <v>0</v>
      </c>
      <c r="X465" s="31">
        <f>'mnt Data'!J468</f>
        <v>0</v>
      </c>
      <c r="Y465" s="31">
        <f>'mnt Data'!K468</f>
        <v>0</v>
      </c>
      <c r="Z465" s="31">
        <f>'mnt Data'!L468</f>
        <v>0</v>
      </c>
      <c r="AA465" s="31">
        <f>'mnt Data'!M468</f>
        <v>0</v>
      </c>
      <c r="AB465" s="31">
        <f>'mnt Data'!N468</f>
        <v>0</v>
      </c>
      <c r="AC465" s="31">
        <f>'mnt Data'!O468</f>
        <v>0</v>
      </c>
      <c r="AD465" s="31">
        <f>'mnt Data'!P468</f>
        <v>0</v>
      </c>
      <c r="AE465" s="31">
        <f>'mnt Data'!Q468</f>
        <v>0</v>
      </c>
      <c r="AF465" s="31">
        <f>'mnt Data'!R468</f>
        <v>0</v>
      </c>
      <c r="AG465" s="31">
        <f>'mnt Data'!S468</f>
        <v>0</v>
      </c>
      <c r="AH465" s="31">
        <f>'mnt Data'!T468</f>
        <v>0</v>
      </c>
      <c r="AI465" s="31">
        <f>'mnt Data'!U468</f>
        <v>0</v>
      </c>
      <c r="AJ465" s="31">
        <f>'mnt Data'!V468</f>
        <v>0</v>
      </c>
      <c r="AK465" s="31">
        <f>'mnt Data'!W468</f>
        <v>0</v>
      </c>
      <c r="AL465" s="31">
        <f>'mnt Data'!X468</f>
        <v>0</v>
      </c>
      <c r="AM465" s="31">
        <f>'mnt Data'!Y468</f>
        <v>0</v>
      </c>
      <c r="AN465" s="31">
        <f>'mnt Data'!Z468</f>
        <v>0</v>
      </c>
      <c r="AO465" s="31">
        <f>'mnt Data'!AA468</f>
        <v>0</v>
      </c>
      <c r="AP465" s="31">
        <f>'mnt Data'!AB468</f>
        <v>0</v>
      </c>
      <c r="AQ465" s="31">
        <f>'mnt Data'!AC468</f>
        <v>0</v>
      </c>
      <c r="AR465" s="31">
        <f>'mnt Data'!AD468</f>
        <v>0</v>
      </c>
      <c r="AS465" s="31">
        <f>'mnt Data'!AE468</f>
        <v>0</v>
      </c>
      <c r="AT465" s="31">
        <f>'mnt Data'!AF468</f>
        <v>0</v>
      </c>
      <c r="AU465" s="31">
        <f>'mnt Data'!AG468</f>
        <v>0</v>
      </c>
      <c r="AV465" s="31">
        <f>'mnt Data'!AH468</f>
        <v>0</v>
      </c>
      <c r="AW465" s="31">
        <f>'mnt Data'!AI468</f>
        <v>0</v>
      </c>
      <c r="AX465" s="31">
        <f>'mnt Data'!AJ468</f>
        <v>0</v>
      </c>
      <c r="AY465" s="31">
        <f>'mnt Data'!AK468</f>
        <v>0</v>
      </c>
    </row>
    <row r="466" spans="1:51" x14ac:dyDescent="0.25">
      <c r="A466">
        <v>465</v>
      </c>
      <c r="B466" s="32">
        <f t="shared" si="84"/>
        <v>0</v>
      </c>
      <c r="C466" s="32">
        <f t="shared" si="85"/>
        <v>0</v>
      </c>
      <c r="D466" s="32" t="str">
        <f t="shared" si="89"/>
        <v>No Gs</v>
      </c>
      <c r="E466" s="32">
        <f t="shared" si="93"/>
        <v>0</v>
      </c>
      <c r="F466" s="32" t="str">
        <f t="shared" si="94"/>
        <v>No Gs</v>
      </c>
      <c r="G466" s="32" t="str">
        <f t="shared" si="95"/>
        <v>No Gs</v>
      </c>
      <c r="H466" s="32" t="str">
        <f t="shared" si="86"/>
        <v>Gs is needed</v>
      </c>
      <c r="I466" s="32" t="str">
        <f t="shared" si="87"/>
        <v>Gs is needed</v>
      </c>
      <c r="J466" s="32" t="str">
        <f t="shared" si="88"/>
        <v>Gs is needed</v>
      </c>
      <c r="K466" s="32" t="str">
        <f t="shared" si="90"/>
        <v>Need Max and Min</v>
      </c>
      <c r="L466" s="32" t="str">
        <f t="shared" si="91"/>
        <v>Need Max and Min</v>
      </c>
      <c r="M466" s="32" t="str">
        <f t="shared" si="92"/>
        <v>Fail</v>
      </c>
      <c r="N466" s="32"/>
      <c r="O466" s="31">
        <f>'mnt Data'!A469</f>
        <v>0</v>
      </c>
      <c r="P466" s="31">
        <f>'mnt Data'!B469</f>
        <v>0</v>
      </c>
      <c r="Q466" s="31">
        <f>'mnt Data'!C469</f>
        <v>0</v>
      </c>
      <c r="R466" s="31">
        <f>'mnt Data'!D469</f>
        <v>0</v>
      </c>
      <c r="S466" s="31">
        <f>'mnt Data'!E469</f>
        <v>0</v>
      </c>
      <c r="T466" s="31">
        <f>'mnt Data'!F469</f>
        <v>0</v>
      </c>
      <c r="U466" s="31">
        <f>'mnt Data'!G469</f>
        <v>0</v>
      </c>
      <c r="V466" s="31">
        <f>'mnt Data'!H469</f>
        <v>0</v>
      </c>
      <c r="W466" s="31">
        <f>'mnt Data'!I469</f>
        <v>0</v>
      </c>
      <c r="X466" s="31">
        <f>'mnt Data'!J469</f>
        <v>0</v>
      </c>
      <c r="Y466" s="31">
        <f>'mnt Data'!K469</f>
        <v>0</v>
      </c>
      <c r="Z466" s="31">
        <f>'mnt Data'!L469</f>
        <v>0</v>
      </c>
      <c r="AA466" s="31">
        <f>'mnt Data'!M469</f>
        <v>0</v>
      </c>
      <c r="AB466" s="31">
        <f>'mnt Data'!N469</f>
        <v>0</v>
      </c>
      <c r="AC466" s="31">
        <f>'mnt Data'!O469</f>
        <v>0</v>
      </c>
      <c r="AD466" s="31">
        <f>'mnt Data'!P469</f>
        <v>0</v>
      </c>
      <c r="AE466" s="31">
        <f>'mnt Data'!Q469</f>
        <v>0</v>
      </c>
      <c r="AF466" s="31">
        <f>'mnt Data'!R469</f>
        <v>0</v>
      </c>
      <c r="AG466" s="31">
        <f>'mnt Data'!S469</f>
        <v>0</v>
      </c>
      <c r="AH466" s="31">
        <f>'mnt Data'!T469</f>
        <v>0</v>
      </c>
      <c r="AI466" s="31">
        <f>'mnt Data'!U469</f>
        <v>0</v>
      </c>
      <c r="AJ466" s="31">
        <f>'mnt Data'!V469</f>
        <v>0</v>
      </c>
      <c r="AK466" s="31">
        <f>'mnt Data'!W469</f>
        <v>0</v>
      </c>
      <c r="AL466" s="31">
        <f>'mnt Data'!X469</f>
        <v>0</v>
      </c>
      <c r="AM466" s="31">
        <f>'mnt Data'!Y469</f>
        <v>0</v>
      </c>
      <c r="AN466" s="31">
        <f>'mnt Data'!Z469</f>
        <v>0</v>
      </c>
      <c r="AO466" s="31">
        <f>'mnt Data'!AA469</f>
        <v>0</v>
      </c>
      <c r="AP466" s="31">
        <f>'mnt Data'!AB469</f>
        <v>0</v>
      </c>
      <c r="AQ466" s="31">
        <f>'mnt Data'!AC469</f>
        <v>0</v>
      </c>
      <c r="AR466" s="31">
        <f>'mnt Data'!AD469</f>
        <v>0</v>
      </c>
      <c r="AS466" s="31">
        <f>'mnt Data'!AE469</f>
        <v>0</v>
      </c>
      <c r="AT466" s="31">
        <f>'mnt Data'!AF469</f>
        <v>0</v>
      </c>
      <c r="AU466" s="31">
        <f>'mnt Data'!AG469</f>
        <v>0</v>
      </c>
      <c r="AV466" s="31">
        <f>'mnt Data'!AH469</f>
        <v>0</v>
      </c>
      <c r="AW466" s="31">
        <f>'mnt Data'!AI469</f>
        <v>0</v>
      </c>
      <c r="AX466" s="31">
        <f>'mnt Data'!AJ469</f>
        <v>0</v>
      </c>
      <c r="AY466" s="31">
        <f>'mnt Data'!AK469</f>
        <v>0</v>
      </c>
    </row>
    <row r="467" spans="1:51" x14ac:dyDescent="0.25">
      <c r="A467">
        <v>466</v>
      </c>
      <c r="B467" s="32">
        <f t="shared" si="84"/>
        <v>0</v>
      </c>
      <c r="C467" s="32">
        <f t="shared" si="85"/>
        <v>0</v>
      </c>
      <c r="D467" s="32" t="str">
        <f t="shared" si="89"/>
        <v>No Gs</v>
      </c>
      <c r="E467" s="32">
        <f t="shared" si="93"/>
        <v>0</v>
      </c>
      <c r="F467" s="32" t="str">
        <f t="shared" si="94"/>
        <v>No Gs</v>
      </c>
      <c r="G467" s="32" t="str">
        <f t="shared" si="95"/>
        <v>No Gs</v>
      </c>
      <c r="H467" s="32" t="str">
        <f t="shared" si="86"/>
        <v>Gs is needed</v>
      </c>
      <c r="I467" s="32" t="str">
        <f t="shared" si="87"/>
        <v>Gs is needed</v>
      </c>
      <c r="J467" s="32" t="str">
        <f t="shared" si="88"/>
        <v>Gs is needed</v>
      </c>
      <c r="K467" s="32" t="str">
        <f t="shared" si="90"/>
        <v>Need Max and Min</v>
      </c>
      <c r="L467" s="32" t="str">
        <f t="shared" si="91"/>
        <v>Need Max and Min</v>
      </c>
      <c r="M467" s="32" t="str">
        <f t="shared" si="92"/>
        <v>Fail</v>
      </c>
      <c r="N467" s="32"/>
      <c r="O467" s="31">
        <f>'mnt Data'!A470</f>
        <v>0</v>
      </c>
      <c r="P467" s="31">
        <f>'mnt Data'!B470</f>
        <v>0</v>
      </c>
      <c r="Q467" s="31">
        <f>'mnt Data'!C470</f>
        <v>0</v>
      </c>
      <c r="R467" s="31">
        <f>'mnt Data'!D470</f>
        <v>0</v>
      </c>
      <c r="S467" s="31">
        <f>'mnt Data'!E470</f>
        <v>0</v>
      </c>
      <c r="T467" s="31">
        <f>'mnt Data'!F470</f>
        <v>0</v>
      </c>
      <c r="U467" s="31">
        <f>'mnt Data'!G470</f>
        <v>0</v>
      </c>
      <c r="V467" s="31">
        <f>'mnt Data'!H470</f>
        <v>0</v>
      </c>
      <c r="W467" s="31">
        <f>'mnt Data'!I470</f>
        <v>0</v>
      </c>
      <c r="X467" s="31">
        <f>'mnt Data'!J470</f>
        <v>0</v>
      </c>
      <c r="Y467" s="31">
        <f>'mnt Data'!K470</f>
        <v>0</v>
      </c>
      <c r="Z467" s="31">
        <f>'mnt Data'!L470</f>
        <v>0</v>
      </c>
      <c r="AA467" s="31">
        <f>'mnt Data'!M470</f>
        <v>0</v>
      </c>
      <c r="AB467" s="31">
        <f>'mnt Data'!N470</f>
        <v>0</v>
      </c>
      <c r="AC467" s="31">
        <f>'mnt Data'!O470</f>
        <v>0</v>
      </c>
      <c r="AD467" s="31">
        <f>'mnt Data'!P470</f>
        <v>0</v>
      </c>
      <c r="AE467" s="31">
        <f>'mnt Data'!Q470</f>
        <v>0</v>
      </c>
      <c r="AF467" s="31">
        <f>'mnt Data'!R470</f>
        <v>0</v>
      </c>
      <c r="AG467" s="31">
        <f>'mnt Data'!S470</f>
        <v>0</v>
      </c>
      <c r="AH467" s="31">
        <f>'mnt Data'!T470</f>
        <v>0</v>
      </c>
      <c r="AI467" s="31">
        <f>'mnt Data'!U470</f>
        <v>0</v>
      </c>
      <c r="AJ467" s="31">
        <f>'mnt Data'!V470</f>
        <v>0</v>
      </c>
      <c r="AK467" s="31">
        <f>'mnt Data'!W470</f>
        <v>0</v>
      </c>
      <c r="AL467" s="31">
        <f>'mnt Data'!X470</f>
        <v>0</v>
      </c>
      <c r="AM467" s="31">
        <f>'mnt Data'!Y470</f>
        <v>0</v>
      </c>
      <c r="AN467" s="31">
        <f>'mnt Data'!Z470</f>
        <v>0</v>
      </c>
      <c r="AO467" s="31">
        <f>'mnt Data'!AA470</f>
        <v>0</v>
      </c>
      <c r="AP467" s="31">
        <f>'mnt Data'!AB470</f>
        <v>0</v>
      </c>
      <c r="AQ467" s="31">
        <f>'mnt Data'!AC470</f>
        <v>0</v>
      </c>
      <c r="AR467" s="31">
        <f>'mnt Data'!AD470</f>
        <v>0</v>
      </c>
      <c r="AS467" s="31">
        <f>'mnt Data'!AE470</f>
        <v>0</v>
      </c>
      <c r="AT467" s="31">
        <f>'mnt Data'!AF470</f>
        <v>0</v>
      </c>
      <c r="AU467" s="31">
        <f>'mnt Data'!AG470</f>
        <v>0</v>
      </c>
      <c r="AV467" s="31">
        <f>'mnt Data'!AH470</f>
        <v>0</v>
      </c>
      <c r="AW467" s="31">
        <f>'mnt Data'!AI470</f>
        <v>0</v>
      </c>
      <c r="AX467" s="31">
        <f>'mnt Data'!AJ470</f>
        <v>0</v>
      </c>
      <c r="AY467" s="31">
        <f>'mnt Data'!AK470</f>
        <v>0</v>
      </c>
    </row>
    <row r="468" spans="1:51" x14ac:dyDescent="0.25">
      <c r="A468">
        <v>467</v>
      </c>
      <c r="B468" s="32">
        <f t="shared" si="84"/>
        <v>0</v>
      </c>
      <c r="C468" s="32">
        <f t="shared" si="85"/>
        <v>0</v>
      </c>
      <c r="D468" s="32" t="str">
        <f t="shared" si="89"/>
        <v>No Gs</v>
      </c>
      <c r="E468" s="32">
        <f t="shared" si="93"/>
        <v>0</v>
      </c>
      <c r="F468" s="32" t="str">
        <f t="shared" si="94"/>
        <v>No Gs</v>
      </c>
      <c r="G468" s="32" t="str">
        <f t="shared" si="95"/>
        <v>No Gs</v>
      </c>
      <c r="H468" s="32" t="str">
        <f t="shared" si="86"/>
        <v>Gs is needed</v>
      </c>
      <c r="I468" s="32" t="str">
        <f t="shared" si="87"/>
        <v>Gs is needed</v>
      </c>
      <c r="J468" s="32" t="str">
        <f t="shared" si="88"/>
        <v>Gs is needed</v>
      </c>
      <c r="K468" s="32" t="str">
        <f t="shared" si="90"/>
        <v>Need Max and Min</v>
      </c>
      <c r="L468" s="32" t="str">
        <f t="shared" si="91"/>
        <v>Need Max and Min</v>
      </c>
      <c r="M468" s="32" t="str">
        <f t="shared" si="92"/>
        <v>Fail</v>
      </c>
      <c r="N468" s="32"/>
      <c r="O468" s="31">
        <f>'mnt Data'!A471</f>
        <v>0</v>
      </c>
      <c r="P468" s="31">
        <f>'mnt Data'!B471</f>
        <v>0</v>
      </c>
      <c r="Q468" s="31">
        <f>'mnt Data'!C471</f>
        <v>0</v>
      </c>
      <c r="R468" s="31">
        <f>'mnt Data'!D471</f>
        <v>0</v>
      </c>
      <c r="S468" s="31">
        <f>'mnt Data'!E471</f>
        <v>0</v>
      </c>
      <c r="T468" s="31">
        <f>'mnt Data'!F471</f>
        <v>0</v>
      </c>
      <c r="U468" s="31">
        <f>'mnt Data'!G471</f>
        <v>0</v>
      </c>
      <c r="V468" s="31">
        <f>'mnt Data'!H471</f>
        <v>0</v>
      </c>
      <c r="W468" s="31">
        <f>'mnt Data'!I471</f>
        <v>0</v>
      </c>
      <c r="X468" s="31">
        <f>'mnt Data'!J471</f>
        <v>0</v>
      </c>
      <c r="Y468" s="31">
        <f>'mnt Data'!K471</f>
        <v>0</v>
      </c>
      <c r="Z468" s="31">
        <f>'mnt Data'!L471</f>
        <v>0</v>
      </c>
      <c r="AA468" s="31">
        <f>'mnt Data'!M471</f>
        <v>0</v>
      </c>
      <c r="AB468" s="31">
        <f>'mnt Data'!N471</f>
        <v>0</v>
      </c>
      <c r="AC468" s="31">
        <f>'mnt Data'!O471</f>
        <v>0</v>
      </c>
      <c r="AD468" s="31">
        <f>'mnt Data'!P471</f>
        <v>0</v>
      </c>
      <c r="AE468" s="31">
        <f>'mnt Data'!Q471</f>
        <v>0</v>
      </c>
      <c r="AF468" s="31">
        <f>'mnt Data'!R471</f>
        <v>0</v>
      </c>
      <c r="AG468" s="31">
        <f>'mnt Data'!S471</f>
        <v>0</v>
      </c>
      <c r="AH468" s="31">
        <f>'mnt Data'!T471</f>
        <v>0</v>
      </c>
      <c r="AI468" s="31">
        <f>'mnt Data'!U471</f>
        <v>0</v>
      </c>
      <c r="AJ468" s="31">
        <f>'mnt Data'!V471</f>
        <v>0</v>
      </c>
      <c r="AK468" s="31">
        <f>'mnt Data'!W471</f>
        <v>0</v>
      </c>
      <c r="AL468" s="31">
        <f>'mnt Data'!X471</f>
        <v>0</v>
      </c>
      <c r="AM468" s="31">
        <f>'mnt Data'!Y471</f>
        <v>0</v>
      </c>
      <c r="AN468" s="31">
        <f>'mnt Data'!Z471</f>
        <v>0</v>
      </c>
      <c r="AO468" s="31">
        <f>'mnt Data'!AA471</f>
        <v>0</v>
      </c>
      <c r="AP468" s="31">
        <f>'mnt Data'!AB471</f>
        <v>0</v>
      </c>
      <c r="AQ468" s="31">
        <f>'mnt Data'!AC471</f>
        <v>0</v>
      </c>
      <c r="AR468" s="31">
        <f>'mnt Data'!AD471</f>
        <v>0</v>
      </c>
      <c r="AS468" s="31">
        <f>'mnt Data'!AE471</f>
        <v>0</v>
      </c>
      <c r="AT468" s="31">
        <f>'mnt Data'!AF471</f>
        <v>0</v>
      </c>
      <c r="AU468" s="31">
        <f>'mnt Data'!AG471</f>
        <v>0</v>
      </c>
      <c r="AV468" s="31">
        <f>'mnt Data'!AH471</f>
        <v>0</v>
      </c>
      <c r="AW468" s="31">
        <f>'mnt Data'!AI471</f>
        <v>0</v>
      </c>
      <c r="AX468" s="31">
        <f>'mnt Data'!AJ471</f>
        <v>0</v>
      </c>
      <c r="AY468" s="31">
        <f>'mnt Data'!AK471</f>
        <v>0</v>
      </c>
    </row>
    <row r="469" spans="1:51" x14ac:dyDescent="0.25">
      <c r="A469">
        <v>468</v>
      </c>
      <c r="B469" s="32">
        <f t="shared" si="84"/>
        <v>0</v>
      </c>
      <c r="C469" s="32">
        <f t="shared" si="85"/>
        <v>0</v>
      </c>
      <c r="D469" s="32" t="str">
        <f t="shared" si="89"/>
        <v>No Gs</v>
      </c>
      <c r="E469" s="32">
        <f t="shared" si="93"/>
        <v>0</v>
      </c>
      <c r="F469" s="32" t="str">
        <f t="shared" si="94"/>
        <v>No Gs</v>
      </c>
      <c r="G469" s="32" t="str">
        <f t="shared" si="95"/>
        <v>No Gs</v>
      </c>
      <c r="H469" s="32" t="str">
        <f t="shared" si="86"/>
        <v>Gs is needed</v>
      </c>
      <c r="I469" s="32" t="str">
        <f t="shared" si="87"/>
        <v>Gs is needed</v>
      </c>
      <c r="J469" s="32" t="str">
        <f t="shared" si="88"/>
        <v>Gs is needed</v>
      </c>
      <c r="K469" s="32" t="str">
        <f t="shared" si="90"/>
        <v>Need Max and Min</v>
      </c>
      <c r="L469" s="32" t="str">
        <f t="shared" si="91"/>
        <v>Need Max and Min</v>
      </c>
      <c r="M469" s="32" t="str">
        <f t="shared" si="92"/>
        <v>Fail</v>
      </c>
      <c r="N469" s="32"/>
      <c r="O469" s="31">
        <f>'mnt Data'!A472</f>
        <v>0</v>
      </c>
      <c r="P469" s="31">
        <f>'mnt Data'!B472</f>
        <v>0</v>
      </c>
      <c r="Q469" s="31">
        <f>'mnt Data'!C472</f>
        <v>0</v>
      </c>
      <c r="R469" s="31">
        <f>'mnt Data'!D472</f>
        <v>0</v>
      </c>
      <c r="S469" s="31">
        <f>'mnt Data'!E472</f>
        <v>0</v>
      </c>
      <c r="T469" s="31">
        <f>'mnt Data'!F472</f>
        <v>0</v>
      </c>
      <c r="U469" s="31">
        <f>'mnt Data'!G472</f>
        <v>0</v>
      </c>
      <c r="V469" s="31">
        <f>'mnt Data'!H472</f>
        <v>0</v>
      </c>
      <c r="W469" s="31">
        <f>'mnt Data'!I472</f>
        <v>0</v>
      </c>
      <c r="X469" s="31">
        <f>'mnt Data'!J472</f>
        <v>0</v>
      </c>
      <c r="Y469" s="31">
        <f>'mnt Data'!K472</f>
        <v>0</v>
      </c>
      <c r="Z469" s="31">
        <f>'mnt Data'!L472</f>
        <v>0</v>
      </c>
      <c r="AA469" s="31">
        <f>'mnt Data'!M472</f>
        <v>0</v>
      </c>
      <c r="AB469" s="31">
        <f>'mnt Data'!N472</f>
        <v>0</v>
      </c>
      <c r="AC469" s="31">
        <f>'mnt Data'!O472</f>
        <v>0</v>
      </c>
      <c r="AD469" s="31">
        <f>'mnt Data'!P472</f>
        <v>0</v>
      </c>
      <c r="AE469" s="31">
        <f>'mnt Data'!Q472</f>
        <v>0</v>
      </c>
      <c r="AF469" s="31">
        <f>'mnt Data'!R472</f>
        <v>0</v>
      </c>
      <c r="AG469" s="31">
        <f>'mnt Data'!S472</f>
        <v>0</v>
      </c>
      <c r="AH469" s="31">
        <f>'mnt Data'!T472</f>
        <v>0</v>
      </c>
      <c r="AI469" s="31">
        <f>'mnt Data'!U472</f>
        <v>0</v>
      </c>
      <c r="AJ469" s="31">
        <f>'mnt Data'!V472</f>
        <v>0</v>
      </c>
      <c r="AK469" s="31">
        <f>'mnt Data'!W472</f>
        <v>0</v>
      </c>
      <c r="AL469" s="31">
        <f>'mnt Data'!X472</f>
        <v>0</v>
      </c>
      <c r="AM469" s="31">
        <f>'mnt Data'!Y472</f>
        <v>0</v>
      </c>
      <c r="AN469" s="31">
        <f>'mnt Data'!Z472</f>
        <v>0</v>
      </c>
      <c r="AO469" s="31">
        <f>'mnt Data'!AA472</f>
        <v>0</v>
      </c>
      <c r="AP469" s="31">
        <f>'mnt Data'!AB472</f>
        <v>0</v>
      </c>
      <c r="AQ469" s="31">
        <f>'mnt Data'!AC472</f>
        <v>0</v>
      </c>
      <c r="AR469" s="31">
        <f>'mnt Data'!AD472</f>
        <v>0</v>
      </c>
      <c r="AS469" s="31">
        <f>'mnt Data'!AE472</f>
        <v>0</v>
      </c>
      <c r="AT469" s="31">
        <f>'mnt Data'!AF472</f>
        <v>0</v>
      </c>
      <c r="AU469" s="31">
        <f>'mnt Data'!AG472</f>
        <v>0</v>
      </c>
      <c r="AV469" s="31">
        <f>'mnt Data'!AH472</f>
        <v>0</v>
      </c>
      <c r="AW469" s="31">
        <f>'mnt Data'!AI472</f>
        <v>0</v>
      </c>
      <c r="AX469" s="31">
        <f>'mnt Data'!AJ472</f>
        <v>0</v>
      </c>
      <c r="AY469" s="31">
        <f>'mnt Data'!AK472</f>
        <v>0</v>
      </c>
    </row>
    <row r="470" spans="1:51" x14ac:dyDescent="0.25">
      <c r="A470">
        <v>469</v>
      </c>
      <c r="B470" s="32">
        <f t="shared" si="84"/>
        <v>0</v>
      </c>
      <c r="C470" s="32">
        <f t="shared" si="85"/>
        <v>0</v>
      </c>
      <c r="D470" s="32" t="str">
        <f t="shared" si="89"/>
        <v>No Gs</v>
      </c>
      <c r="E470" s="32">
        <f t="shared" si="93"/>
        <v>0</v>
      </c>
      <c r="F470" s="32" t="str">
        <f t="shared" si="94"/>
        <v>No Gs</v>
      </c>
      <c r="G470" s="32" t="str">
        <f t="shared" si="95"/>
        <v>No Gs</v>
      </c>
      <c r="H470" s="32" t="str">
        <f t="shared" si="86"/>
        <v>Gs is needed</v>
      </c>
      <c r="I470" s="32" t="str">
        <f t="shared" si="87"/>
        <v>Gs is needed</v>
      </c>
      <c r="J470" s="32" t="str">
        <f t="shared" si="88"/>
        <v>Gs is needed</v>
      </c>
      <c r="K470" s="32" t="str">
        <f t="shared" si="90"/>
        <v>Need Max and Min</v>
      </c>
      <c r="L470" s="32" t="str">
        <f t="shared" si="91"/>
        <v>Need Max and Min</v>
      </c>
      <c r="M470" s="32" t="str">
        <f t="shared" si="92"/>
        <v>Fail</v>
      </c>
      <c r="N470" s="32"/>
      <c r="O470" s="31">
        <f>'mnt Data'!A473</f>
        <v>0</v>
      </c>
      <c r="P470" s="31">
        <f>'mnt Data'!B473</f>
        <v>0</v>
      </c>
      <c r="Q470" s="31">
        <f>'mnt Data'!C473</f>
        <v>0</v>
      </c>
      <c r="R470" s="31">
        <f>'mnt Data'!D473</f>
        <v>0</v>
      </c>
      <c r="S470" s="31">
        <f>'mnt Data'!E473</f>
        <v>0</v>
      </c>
      <c r="T470" s="31">
        <f>'mnt Data'!F473</f>
        <v>0</v>
      </c>
      <c r="U470" s="31">
        <f>'mnt Data'!G473</f>
        <v>0</v>
      </c>
      <c r="V470" s="31">
        <f>'mnt Data'!H473</f>
        <v>0</v>
      </c>
      <c r="W470" s="31">
        <f>'mnt Data'!I473</f>
        <v>0</v>
      </c>
      <c r="X470" s="31">
        <f>'mnt Data'!J473</f>
        <v>0</v>
      </c>
      <c r="Y470" s="31">
        <f>'mnt Data'!K473</f>
        <v>0</v>
      </c>
      <c r="Z470" s="31">
        <f>'mnt Data'!L473</f>
        <v>0</v>
      </c>
      <c r="AA470" s="31">
        <f>'mnt Data'!M473</f>
        <v>0</v>
      </c>
      <c r="AB470" s="31">
        <f>'mnt Data'!N473</f>
        <v>0</v>
      </c>
      <c r="AC470" s="31">
        <f>'mnt Data'!O473</f>
        <v>0</v>
      </c>
      <c r="AD470" s="31">
        <f>'mnt Data'!P473</f>
        <v>0</v>
      </c>
      <c r="AE470" s="31">
        <f>'mnt Data'!Q473</f>
        <v>0</v>
      </c>
      <c r="AF470" s="31">
        <f>'mnt Data'!R473</f>
        <v>0</v>
      </c>
      <c r="AG470" s="31">
        <f>'mnt Data'!S473</f>
        <v>0</v>
      </c>
      <c r="AH470" s="31">
        <f>'mnt Data'!T473</f>
        <v>0</v>
      </c>
      <c r="AI470" s="31">
        <f>'mnt Data'!U473</f>
        <v>0</v>
      </c>
      <c r="AJ470" s="31">
        <f>'mnt Data'!V473</f>
        <v>0</v>
      </c>
      <c r="AK470" s="31">
        <f>'mnt Data'!W473</f>
        <v>0</v>
      </c>
      <c r="AL470" s="31">
        <f>'mnt Data'!X473</f>
        <v>0</v>
      </c>
      <c r="AM470" s="31">
        <f>'mnt Data'!Y473</f>
        <v>0</v>
      </c>
      <c r="AN470" s="31">
        <f>'mnt Data'!Z473</f>
        <v>0</v>
      </c>
      <c r="AO470" s="31">
        <f>'mnt Data'!AA473</f>
        <v>0</v>
      </c>
      <c r="AP470" s="31">
        <f>'mnt Data'!AB473</f>
        <v>0</v>
      </c>
      <c r="AQ470" s="31">
        <f>'mnt Data'!AC473</f>
        <v>0</v>
      </c>
      <c r="AR470" s="31">
        <f>'mnt Data'!AD473</f>
        <v>0</v>
      </c>
      <c r="AS470" s="31">
        <f>'mnt Data'!AE473</f>
        <v>0</v>
      </c>
      <c r="AT470" s="31">
        <f>'mnt Data'!AF473</f>
        <v>0</v>
      </c>
      <c r="AU470" s="31">
        <f>'mnt Data'!AG473</f>
        <v>0</v>
      </c>
      <c r="AV470" s="31">
        <f>'mnt Data'!AH473</f>
        <v>0</v>
      </c>
      <c r="AW470" s="31">
        <f>'mnt Data'!AI473</f>
        <v>0</v>
      </c>
      <c r="AX470" s="31">
        <f>'mnt Data'!AJ473</f>
        <v>0</v>
      </c>
      <c r="AY470" s="31">
        <f>'mnt Data'!AK473</f>
        <v>0</v>
      </c>
    </row>
    <row r="471" spans="1:51" x14ac:dyDescent="0.25">
      <c r="A471">
        <v>470</v>
      </c>
      <c r="B471" s="32">
        <f t="shared" si="84"/>
        <v>0</v>
      </c>
      <c r="C471" s="32">
        <f t="shared" si="85"/>
        <v>0</v>
      </c>
      <c r="D471" s="32" t="str">
        <f t="shared" si="89"/>
        <v>No Gs</v>
      </c>
      <c r="E471" s="32">
        <f t="shared" si="93"/>
        <v>0</v>
      </c>
      <c r="F471" s="32" t="str">
        <f t="shared" si="94"/>
        <v>No Gs</v>
      </c>
      <c r="G471" s="32" t="str">
        <f t="shared" si="95"/>
        <v>No Gs</v>
      </c>
      <c r="H471" s="32" t="str">
        <f t="shared" si="86"/>
        <v>Gs is needed</v>
      </c>
      <c r="I471" s="32" t="str">
        <f t="shared" si="87"/>
        <v>Gs is needed</v>
      </c>
      <c r="J471" s="32" t="str">
        <f t="shared" si="88"/>
        <v>Gs is needed</v>
      </c>
      <c r="K471" s="32" t="str">
        <f t="shared" si="90"/>
        <v>Need Max and Min</v>
      </c>
      <c r="L471" s="32" t="str">
        <f t="shared" si="91"/>
        <v>Need Max and Min</v>
      </c>
      <c r="M471" s="32" t="str">
        <f t="shared" si="92"/>
        <v>Fail</v>
      </c>
      <c r="N471" s="32"/>
      <c r="O471" s="31">
        <f>'mnt Data'!A474</f>
        <v>0</v>
      </c>
      <c r="P471" s="31">
        <f>'mnt Data'!B474</f>
        <v>0</v>
      </c>
      <c r="Q471" s="31">
        <f>'mnt Data'!C474</f>
        <v>0</v>
      </c>
      <c r="R471" s="31">
        <f>'mnt Data'!D474</f>
        <v>0</v>
      </c>
      <c r="S471" s="31">
        <f>'mnt Data'!E474</f>
        <v>0</v>
      </c>
      <c r="T471" s="31">
        <f>'mnt Data'!F474</f>
        <v>0</v>
      </c>
      <c r="U471" s="31">
        <f>'mnt Data'!G474</f>
        <v>0</v>
      </c>
      <c r="V471" s="31">
        <f>'mnt Data'!H474</f>
        <v>0</v>
      </c>
      <c r="W471" s="31">
        <f>'mnt Data'!I474</f>
        <v>0</v>
      </c>
      <c r="X471" s="31">
        <f>'mnt Data'!J474</f>
        <v>0</v>
      </c>
      <c r="Y471" s="31">
        <f>'mnt Data'!K474</f>
        <v>0</v>
      </c>
      <c r="Z471" s="31">
        <f>'mnt Data'!L474</f>
        <v>0</v>
      </c>
      <c r="AA471" s="31">
        <f>'mnt Data'!M474</f>
        <v>0</v>
      </c>
      <c r="AB471" s="31">
        <f>'mnt Data'!N474</f>
        <v>0</v>
      </c>
      <c r="AC471" s="31">
        <f>'mnt Data'!O474</f>
        <v>0</v>
      </c>
      <c r="AD471" s="31">
        <f>'mnt Data'!P474</f>
        <v>0</v>
      </c>
      <c r="AE471" s="31">
        <f>'mnt Data'!Q474</f>
        <v>0</v>
      </c>
      <c r="AF471" s="31">
        <f>'mnt Data'!R474</f>
        <v>0</v>
      </c>
      <c r="AG471" s="31">
        <f>'mnt Data'!S474</f>
        <v>0</v>
      </c>
      <c r="AH471" s="31">
        <f>'mnt Data'!T474</f>
        <v>0</v>
      </c>
      <c r="AI471" s="31">
        <f>'mnt Data'!U474</f>
        <v>0</v>
      </c>
      <c r="AJ471" s="31">
        <f>'mnt Data'!V474</f>
        <v>0</v>
      </c>
      <c r="AK471" s="31">
        <f>'mnt Data'!W474</f>
        <v>0</v>
      </c>
      <c r="AL471" s="31">
        <f>'mnt Data'!X474</f>
        <v>0</v>
      </c>
      <c r="AM471" s="31">
        <f>'mnt Data'!Y474</f>
        <v>0</v>
      </c>
      <c r="AN471" s="31">
        <f>'mnt Data'!Z474</f>
        <v>0</v>
      </c>
      <c r="AO471" s="31">
        <f>'mnt Data'!AA474</f>
        <v>0</v>
      </c>
      <c r="AP471" s="31">
        <f>'mnt Data'!AB474</f>
        <v>0</v>
      </c>
      <c r="AQ471" s="31">
        <f>'mnt Data'!AC474</f>
        <v>0</v>
      </c>
      <c r="AR471" s="31">
        <f>'mnt Data'!AD474</f>
        <v>0</v>
      </c>
      <c r="AS471" s="31">
        <f>'mnt Data'!AE474</f>
        <v>0</v>
      </c>
      <c r="AT471" s="31">
        <f>'mnt Data'!AF474</f>
        <v>0</v>
      </c>
      <c r="AU471" s="31">
        <f>'mnt Data'!AG474</f>
        <v>0</v>
      </c>
      <c r="AV471" s="31">
        <f>'mnt Data'!AH474</f>
        <v>0</v>
      </c>
      <c r="AW471" s="31">
        <f>'mnt Data'!AI474</f>
        <v>0</v>
      </c>
      <c r="AX471" s="31">
        <f>'mnt Data'!AJ474</f>
        <v>0</v>
      </c>
      <c r="AY471" s="31">
        <f>'mnt Data'!AK474</f>
        <v>0</v>
      </c>
    </row>
    <row r="472" spans="1:51" x14ac:dyDescent="0.25">
      <c r="A472">
        <v>471</v>
      </c>
      <c r="B472" s="32">
        <f t="shared" si="84"/>
        <v>0</v>
      </c>
      <c r="C472" s="32">
        <f t="shared" si="85"/>
        <v>0</v>
      </c>
      <c r="D472" s="32" t="str">
        <f t="shared" si="89"/>
        <v>No Gs</v>
      </c>
      <c r="E472" s="32">
        <f t="shared" si="93"/>
        <v>0</v>
      </c>
      <c r="F472" s="32" t="str">
        <f t="shared" si="94"/>
        <v>No Gs</v>
      </c>
      <c r="G472" s="32" t="str">
        <f t="shared" si="95"/>
        <v>No Gs</v>
      </c>
      <c r="H472" s="32" t="str">
        <f t="shared" si="86"/>
        <v>Gs is needed</v>
      </c>
      <c r="I472" s="32" t="str">
        <f t="shared" si="87"/>
        <v>Gs is needed</v>
      </c>
      <c r="J472" s="32" t="str">
        <f t="shared" si="88"/>
        <v>Gs is needed</v>
      </c>
      <c r="K472" s="32" t="str">
        <f t="shared" si="90"/>
        <v>Need Max and Min</v>
      </c>
      <c r="L472" s="32" t="str">
        <f t="shared" si="91"/>
        <v>Need Max and Min</v>
      </c>
      <c r="M472" s="32" t="str">
        <f t="shared" si="92"/>
        <v>Fail</v>
      </c>
      <c r="N472" s="32"/>
      <c r="O472" s="31">
        <f>'mnt Data'!A475</f>
        <v>0</v>
      </c>
      <c r="P472" s="31">
        <f>'mnt Data'!B475</f>
        <v>0</v>
      </c>
      <c r="Q472" s="31">
        <f>'mnt Data'!C475</f>
        <v>0</v>
      </c>
      <c r="R472" s="31">
        <f>'mnt Data'!D475</f>
        <v>0</v>
      </c>
      <c r="S472" s="31">
        <f>'mnt Data'!E475</f>
        <v>0</v>
      </c>
      <c r="T472" s="31">
        <f>'mnt Data'!F475</f>
        <v>0</v>
      </c>
      <c r="U472" s="31">
        <f>'mnt Data'!G475</f>
        <v>0</v>
      </c>
      <c r="V472" s="31">
        <f>'mnt Data'!H475</f>
        <v>0</v>
      </c>
      <c r="W472" s="31">
        <f>'mnt Data'!I475</f>
        <v>0</v>
      </c>
      <c r="X472" s="31">
        <f>'mnt Data'!J475</f>
        <v>0</v>
      </c>
      <c r="Y472" s="31">
        <f>'mnt Data'!K475</f>
        <v>0</v>
      </c>
      <c r="Z472" s="31">
        <f>'mnt Data'!L475</f>
        <v>0</v>
      </c>
      <c r="AA472" s="31">
        <f>'mnt Data'!M475</f>
        <v>0</v>
      </c>
      <c r="AB472" s="31">
        <f>'mnt Data'!N475</f>
        <v>0</v>
      </c>
      <c r="AC472" s="31">
        <f>'mnt Data'!O475</f>
        <v>0</v>
      </c>
      <c r="AD472" s="31">
        <f>'mnt Data'!P475</f>
        <v>0</v>
      </c>
      <c r="AE472" s="31">
        <f>'mnt Data'!Q475</f>
        <v>0</v>
      </c>
      <c r="AF472" s="31">
        <f>'mnt Data'!R475</f>
        <v>0</v>
      </c>
      <c r="AG472" s="31">
        <f>'mnt Data'!S475</f>
        <v>0</v>
      </c>
      <c r="AH472" s="31">
        <f>'mnt Data'!T475</f>
        <v>0</v>
      </c>
      <c r="AI472" s="31">
        <f>'mnt Data'!U475</f>
        <v>0</v>
      </c>
      <c r="AJ472" s="31">
        <f>'mnt Data'!V475</f>
        <v>0</v>
      </c>
      <c r="AK472" s="31">
        <f>'mnt Data'!W475</f>
        <v>0</v>
      </c>
      <c r="AL472" s="31">
        <f>'mnt Data'!X475</f>
        <v>0</v>
      </c>
      <c r="AM472" s="31">
        <f>'mnt Data'!Y475</f>
        <v>0</v>
      </c>
      <c r="AN472" s="31">
        <f>'mnt Data'!Z475</f>
        <v>0</v>
      </c>
      <c r="AO472" s="31">
        <f>'mnt Data'!AA475</f>
        <v>0</v>
      </c>
      <c r="AP472" s="31">
        <f>'mnt Data'!AB475</f>
        <v>0</v>
      </c>
      <c r="AQ472" s="31">
        <f>'mnt Data'!AC475</f>
        <v>0</v>
      </c>
      <c r="AR472" s="31">
        <f>'mnt Data'!AD475</f>
        <v>0</v>
      </c>
      <c r="AS472" s="31">
        <f>'mnt Data'!AE475</f>
        <v>0</v>
      </c>
      <c r="AT472" s="31">
        <f>'mnt Data'!AF475</f>
        <v>0</v>
      </c>
      <c r="AU472" s="31">
        <f>'mnt Data'!AG475</f>
        <v>0</v>
      </c>
      <c r="AV472" s="31">
        <f>'mnt Data'!AH475</f>
        <v>0</v>
      </c>
      <c r="AW472" s="31">
        <f>'mnt Data'!AI475</f>
        <v>0</v>
      </c>
      <c r="AX472" s="31">
        <f>'mnt Data'!AJ475</f>
        <v>0</v>
      </c>
      <c r="AY472" s="31">
        <f>'mnt Data'!AK475</f>
        <v>0</v>
      </c>
    </row>
    <row r="473" spans="1:51" x14ac:dyDescent="0.25">
      <c r="A473">
        <v>472</v>
      </c>
      <c r="B473" s="32">
        <f t="shared" si="84"/>
        <v>0</v>
      </c>
      <c r="C473" s="32">
        <f t="shared" si="85"/>
        <v>0</v>
      </c>
      <c r="D473" s="32" t="str">
        <f t="shared" si="89"/>
        <v>No Gs</v>
      </c>
      <c r="E473" s="32">
        <f t="shared" si="93"/>
        <v>0</v>
      </c>
      <c r="F473" s="32" t="str">
        <f t="shared" si="94"/>
        <v>No Gs</v>
      </c>
      <c r="G473" s="32" t="str">
        <f t="shared" si="95"/>
        <v>No Gs</v>
      </c>
      <c r="H473" s="32" t="str">
        <f t="shared" si="86"/>
        <v>Gs is needed</v>
      </c>
      <c r="I473" s="32" t="str">
        <f t="shared" si="87"/>
        <v>Gs is needed</v>
      </c>
      <c r="J473" s="32" t="str">
        <f t="shared" si="88"/>
        <v>Gs is needed</v>
      </c>
      <c r="K473" s="32" t="str">
        <f t="shared" si="90"/>
        <v>Need Max and Min</v>
      </c>
      <c r="L473" s="32" t="str">
        <f t="shared" si="91"/>
        <v>Need Max and Min</v>
      </c>
      <c r="M473" s="32" t="str">
        <f t="shared" si="92"/>
        <v>Fail</v>
      </c>
      <c r="N473" s="32"/>
      <c r="O473" s="31">
        <f>'mnt Data'!A476</f>
        <v>0</v>
      </c>
      <c r="P473" s="31">
        <f>'mnt Data'!B476</f>
        <v>0</v>
      </c>
      <c r="Q473" s="31">
        <f>'mnt Data'!C476</f>
        <v>0</v>
      </c>
      <c r="R473" s="31">
        <f>'mnt Data'!D476</f>
        <v>0</v>
      </c>
      <c r="S473" s="31">
        <f>'mnt Data'!E476</f>
        <v>0</v>
      </c>
      <c r="T473" s="31">
        <f>'mnt Data'!F476</f>
        <v>0</v>
      </c>
      <c r="U473" s="31">
        <f>'mnt Data'!G476</f>
        <v>0</v>
      </c>
      <c r="V473" s="31">
        <f>'mnt Data'!H476</f>
        <v>0</v>
      </c>
      <c r="W473" s="31">
        <f>'mnt Data'!I476</f>
        <v>0</v>
      </c>
      <c r="X473" s="31">
        <f>'mnt Data'!J476</f>
        <v>0</v>
      </c>
      <c r="Y473" s="31">
        <f>'mnt Data'!K476</f>
        <v>0</v>
      </c>
      <c r="Z473" s="31">
        <f>'mnt Data'!L476</f>
        <v>0</v>
      </c>
      <c r="AA473" s="31">
        <f>'mnt Data'!M476</f>
        <v>0</v>
      </c>
      <c r="AB473" s="31">
        <f>'mnt Data'!N476</f>
        <v>0</v>
      </c>
      <c r="AC473" s="31">
        <f>'mnt Data'!O476</f>
        <v>0</v>
      </c>
      <c r="AD473" s="31">
        <f>'mnt Data'!P476</f>
        <v>0</v>
      </c>
      <c r="AE473" s="31">
        <f>'mnt Data'!Q476</f>
        <v>0</v>
      </c>
      <c r="AF473" s="31">
        <f>'mnt Data'!R476</f>
        <v>0</v>
      </c>
      <c r="AG473" s="31">
        <f>'mnt Data'!S476</f>
        <v>0</v>
      </c>
      <c r="AH473" s="31">
        <f>'mnt Data'!T476</f>
        <v>0</v>
      </c>
      <c r="AI473" s="31">
        <f>'mnt Data'!U476</f>
        <v>0</v>
      </c>
      <c r="AJ473" s="31">
        <f>'mnt Data'!V476</f>
        <v>0</v>
      </c>
      <c r="AK473" s="31">
        <f>'mnt Data'!W476</f>
        <v>0</v>
      </c>
      <c r="AL473" s="31">
        <f>'mnt Data'!X476</f>
        <v>0</v>
      </c>
      <c r="AM473" s="31">
        <f>'mnt Data'!Y476</f>
        <v>0</v>
      </c>
      <c r="AN473" s="31">
        <f>'mnt Data'!Z476</f>
        <v>0</v>
      </c>
      <c r="AO473" s="31">
        <f>'mnt Data'!AA476</f>
        <v>0</v>
      </c>
      <c r="AP473" s="31">
        <f>'mnt Data'!AB476</f>
        <v>0</v>
      </c>
      <c r="AQ473" s="31">
        <f>'mnt Data'!AC476</f>
        <v>0</v>
      </c>
      <c r="AR473" s="31">
        <f>'mnt Data'!AD476</f>
        <v>0</v>
      </c>
      <c r="AS473" s="31">
        <f>'mnt Data'!AE476</f>
        <v>0</v>
      </c>
      <c r="AT473" s="31">
        <f>'mnt Data'!AF476</f>
        <v>0</v>
      </c>
      <c r="AU473" s="31">
        <f>'mnt Data'!AG476</f>
        <v>0</v>
      </c>
      <c r="AV473" s="31">
        <f>'mnt Data'!AH476</f>
        <v>0</v>
      </c>
      <c r="AW473" s="31">
        <f>'mnt Data'!AI476</f>
        <v>0</v>
      </c>
      <c r="AX473" s="31">
        <f>'mnt Data'!AJ476</f>
        <v>0</v>
      </c>
      <c r="AY473" s="31">
        <f>'mnt Data'!AK476</f>
        <v>0</v>
      </c>
    </row>
    <row r="474" spans="1:51" x14ac:dyDescent="0.25">
      <c r="A474">
        <v>473</v>
      </c>
      <c r="B474" s="32">
        <f t="shared" si="84"/>
        <v>0</v>
      </c>
      <c r="C474" s="32">
        <f t="shared" si="85"/>
        <v>0</v>
      </c>
      <c r="D474" s="32" t="str">
        <f t="shared" si="89"/>
        <v>No Gs</v>
      </c>
      <c r="E474" s="32">
        <f t="shared" si="93"/>
        <v>0</v>
      </c>
      <c r="F474" s="32" t="str">
        <f t="shared" si="94"/>
        <v>No Gs</v>
      </c>
      <c r="G474" s="32" t="str">
        <f t="shared" si="95"/>
        <v>No Gs</v>
      </c>
      <c r="H474" s="32" t="str">
        <f t="shared" si="86"/>
        <v>Gs is needed</v>
      </c>
      <c r="I474" s="32" t="str">
        <f t="shared" si="87"/>
        <v>Gs is needed</v>
      </c>
      <c r="J474" s="32" t="str">
        <f t="shared" si="88"/>
        <v>Gs is needed</v>
      </c>
      <c r="K474" s="32" t="str">
        <f t="shared" si="90"/>
        <v>Need Max and Min</v>
      </c>
      <c r="L474" s="32" t="str">
        <f t="shared" si="91"/>
        <v>Need Max and Min</v>
      </c>
      <c r="M474" s="32" t="str">
        <f t="shared" si="92"/>
        <v>Fail</v>
      </c>
      <c r="N474" s="32"/>
      <c r="O474" s="31">
        <f>'mnt Data'!A477</f>
        <v>0</v>
      </c>
      <c r="P474" s="31">
        <f>'mnt Data'!B477</f>
        <v>0</v>
      </c>
      <c r="Q474" s="31">
        <f>'mnt Data'!C477</f>
        <v>0</v>
      </c>
      <c r="R474" s="31">
        <f>'mnt Data'!D477</f>
        <v>0</v>
      </c>
      <c r="S474" s="31">
        <f>'mnt Data'!E477</f>
        <v>0</v>
      </c>
      <c r="T474" s="31">
        <f>'mnt Data'!F477</f>
        <v>0</v>
      </c>
      <c r="U474" s="31">
        <f>'mnt Data'!G477</f>
        <v>0</v>
      </c>
      <c r="V474" s="31">
        <f>'mnt Data'!H477</f>
        <v>0</v>
      </c>
      <c r="W474" s="31">
        <f>'mnt Data'!I477</f>
        <v>0</v>
      </c>
      <c r="X474" s="31">
        <f>'mnt Data'!J477</f>
        <v>0</v>
      </c>
      <c r="Y474" s="31">
        <f>'mnt Data'!K477</f>
        <v>0</v>
      </c>
      <c r="Z474" s="31">
        <f>'mnt Data'!L477</f>
        <v>0</v>
      </c>
      <c r="AA474" s="31">
        <f>'mnt Data'!M477</f>
        <v>0</v>
      </c>
      <c r="AB474" s="31">
        <f>'mnt Data'!N477</f>
        <v>0</v>
      </c>
      <c r="AC474" s="31">
        <f>'mnt Data'!O477</f>
        <v>0</v>
      </c>
      <c r="AD474" s="31">
        <f>'mnt Data'!P477</f>
        <v>0</v>
      </c>
      <c r="AE474" s="31">
        <f>'mnt Data'!Q477</f>
        <v>0</v>
      </c>
      <c r="AF474" s="31">
        <f>'mnt Data'!R477</f>
        <v>0</v>
      </c>
      <c r="AG474" s="31">
        <f>'mnt Data'!S477</f>
        <v>0</v>
      </c>
      <c r="AH474" s="31">
        <f>'mnt Data'!T477</f>
        <v>0</v>
      </c>
      <c r="AI474" s="31">
        <f>'mnt Data'!U477</f>
        <v>0</v>
      </c>
      <c r="AJ474" s="31">
        <f>'mnt Data'!V477</f>
        <v>0</v>
      </c>
      <c r="AK474" s="31">
        <f>'mnt Data'!W477</f>
        <v>0</v>
      </c>
      <c r="AL474" s="31">
        <f>'mnt Data'!X477</f>
        <v>0</v>
      </c>
      <c r="AM474" s="31">
        <f>'mnt Data'!Y477</f>
        <v>0</v>
      </c>
      <c r="AN474" s="31">
        <f>'mnt Data'!Z477</f>
        <v>0</v>
      </c>
      <c r="AO474" s="31">
        <f>'mnt Data'!AA477</f>
        <v>0</v>
      </c>
      <c r="AP474" s="31">
        <f>'mnt Data'!AB477</f>
        <v>0</v>
      </c>
      <c r="AQ474" s="31">
        <f>'mnt Data'!AC477</f>
        <v>0</v>
      </c>
      <c r="AR474" s="31">
        <f>'mnt Data'!AD477</f>
        <v>0</v>
      </c>
      <c r="AS474" s="31">
        <f>'mnt Data'!AE477</f>
        <v>0</v>
      </c>
      <c r="AT474" s="31">
        <f>'mnt Data'!AF477</f>
        <v>0</v>
      </c>
      <c r="AU474" s="31">
        <f>'mnt Data'!AG477</f>
        <v>0</v>
      </c>
      <c r="AV474" s="31">
        <f>'mnt Data'!AH477</f>
        <v>0</v>
      </c>
      <c r="AW474" s="31">
        <f>'mnt Data'!AI477</f>
        <v>0</v>
      </c>
      <c r="AX474" s="31">
        <f>'mnt Data'!AJ477</f>
        <v>0</v>
      </c>
      <c r="AY474" s="31">
        <f>'mnt Data'!AK477</f>
        <v>0</v>
      </c>
    </row>
    <row r="475" spans="1:51" x14ac:dyDescent="0.25">
      <c r="A475">
        <v>474</v>
      </c>
      <c r="B475" s="32">
        <f t="shared" si="84"/>
        <v>0</v>
      </c>
      <c r="C475" s="32">
        <f t="shared" si="85"/>
        <v>0</v>
      </c>
      <c r="D475" s="32" t="str">
        <f t="shared" si="89"/>
        <v>No Gs</v>
      </c>
      <c r="E475" s="32">
        <f t="shared" si="93"/>
        <v>0</v>
      </c>
      <c r="F475" s="32" t="str">
        <f t="shared" si="94"/>
        <v>No Gs</v>
      </c>
      <c r="G475" s="32" t="str">
        <f t="shared" si="95"/>
        <v>No Gs</v>
      </c>
      <c r="H475" s="32" t="str">
        <f t="shared" si="86"/>
        <v>Gs is needed</v>
      </c>
      <c r="I475" s="32" t="str">
        <f t="shared" si="87"/>
        <v>Gs is needed</v>
      </c>
      <c r="J475" s="32" t="str">
        <f t="shared" si="88"/>
        <v>Gs is needed</v>
      </c>
      <c r="K475" s="32" t="str">
        <f t="shared" si="90"/>
        <v>Need Max and Min</v>
      </c>
      <c r="L475" s="32" t="str">
        <f t="shared" si="91"/>
        <v>Need Max and Min</v>
      </c>
      <c r="M475" s="32" t="str">
        <f t="shared" si="92"/>
        <v>Fail</v>
      </c>
      <c r="N475" s="32"/>
      <c r="O475" s="31">
        <f>'mnt Data'!A478</f>
        <v>0</v>
      </c>
      <c r="P475" s="31">
        <f>'mnt Data'!B478</f>
        <v>0</v>
      </c>
      <c r="Q475" s="31">
        <f>'mnt Data'!C478</f>
        <v>0</v>
      </c>
      <c r="R475" s="31">
        <f>'mnt Data'!D478</f>
        <v>0</v>
      </c>
      <c r="S475" s="31">
        <f>'mnt Data'!E478</f>
        <v>0</v>
      </c>
      <c r="T475" s="31">
        <f>'mnt Data'!F478</f>
        <v>0</v>
      </c>
      <c r="U475" s="31">
        <f>'mnt Data'!G478</f>
        <v>0</v>
      </c>
      <c r="V475" s="31">
        <f>'mnt Data'!H478</f>
        <v>0</v>
      </c>
      <c r="W475" s="31">
        <f>'mnt Data'!I478</f>
        <v>0</v>
      </c>
      <c r="X475" s="31">
        <f>'mnt Data'!J478</f>
        <v>0</v>
      </c>
      <c r="Y475" s="31">
        <f>'mnt Data'!K478</f>
        <v>0</v>
      </c>
      <c r="Z475" s="31">
        <f>'mnt Data'!L478</f>
        <v>0</v>
      </c>
      <c r="AA475" s="31">
        <f>'mnt Data'!M478</f>
        <v>0</v>
      </c>
      <c r="AB475" s="31">
        <f>'mnt Data'!N478</f>
        <v>0</v>
      </c>
      <c r="AC475" s="31">
        <f>'mnt Data'!O478</f>
        <v>0</v>
      </c>
      <c r="AD475" s="31">
        <f>'mnt Data'!P478</f>
        <v>0</v>
      </c>
      <c r="AE475" s="31">
        <f>'mnt Data'!Q478</f>
        <v>0</v>
      </c>
      <c r="AF475" s="31">
        <f>'mnt Data'!R478</f>
        <v>0</v>
      </c>
      <c r="AG475" s="31">
        <f>'mnt Data'!S478</f>
        <v>0</v>
      </c>
      <c r="AH475" s="31">
        <f>'mnt Data'!T478</f>
        <v>0</v>
      </c>
      <c r="AI475" s="31">
        <f>'mnt Data'!U478</f>
        <v>0</v>
      </c>
      <c r="AJ475" s="31">
        <f>'mnt Data'!V478</f>
        <v>0</v>
      </c>
      <c r="AK475" s="31">
        <f>'mnt Data'!W478</f>
        <v>0</v>
      </c>
      <c r="AL475" s="31">
        <f>'mnt Data'!X478</f>
        <v>0</v>
      </c>
      <c r="AM475" s="31">
        <f>'mnt Data'!Y478</f>
        <v>0</v>
      </c>
      <c r="AN475" s="31">
        <f>'mnt Data'!Z478</f>
        <v>0</v>
      </c>
      <c r="AO475" s="31">
        <f>'mnt Data'!AA478</f>
        <v>0</v>
      </c>
      <c r="AP475" s="31">
        <f>'mnt Data'!AB478</f>
        <v>0</v>
      </c>
      <c r="AQ475" s="31">
        <f>'mnt Data'!AC478</f>
        <v>0</v>
      </c>
      <c r="AR475" s="31">
        <f>'mnt Data'!AD478</f>
        <v>0</v>
      </c>
      <c r="AS475" s="31">
        <f>'mnt Data'!AE478</f>
        <v>0</v>
      </c>
      <c r="AT475" s="31">
        <f>'mnt Data'!AF478</f>
        <v>0</v>
      </c>
      <c r="AU475" s="31">
        <f>'mnt Data'!AG478</f>
        <v>0</v>
      </c>
      <c r="AV475" s="31">
        <f>'mnt Data'!AH478</f>
        <v>0</v>
      </c>
      <c r="AW475" s="31">
        <f>'mnt Data'!AI478</f>
        <v>0</v>
      </c>
      <c r="AX475" s="31">
        <f>'mnt Data'!AJ478</f>
        <v>0</v>
      </c>
      <c r="AY475" s="31">
        <f>'mnt Data'!AK478</f>
        <v>0</v>
      </c>
    </row>
    <row r="476" spans="1:51" x14ac:dyDescent="0.25">
      <c r="A476">
        <v>475</v>
      </c>
      <c r="B476" s="32">
        <f t="shared" si="84"/>
        <v>0</v>
      </c>
      <c r="C476" s="32">
        <f t="shared" si="85"/>
        <v>0</v>
      </c>
      <c r="D476" s="32" t="str">
        <f t="shared" si="89"/>
        <v>No Gs</v>
      </c>
      <c r="E476" s="32">
        <f t="shared" si="93"/>
        <v>0</v>
      </c>
      <c r="F476" s="32" t="str">
        <f t="shared" si="94"/>
        <v>No Gs</v>
      </c>
      <c r="G476" s="32" t="str">
        <f t="shared" si="95"/>
        <v>No Gs</v>
      </c>
      <c r="H476" s="32" t="str">
        <f t="shared" si="86"/>
        <v>Gs is needed</v>
      </c>
      <c r="I476" s="32" t="str">
        <f t="shared" si="87"/>
        <v>Gs is needed</v>
      </c>
      <c r="J476" s="32" t="str">
        <f t="shared" si="88"/>
        <v>Gs is needed</v>
      </c>
      <c r="K476" s="32" t="str">
        <f t="shared" si="90"/>
        <v>Need Max and Min</v>
      </c>
      <c r="L476" s="32" t="str">
        <f t="shared" si="91"/>
        <v>Need Max and Min</v>
      </c>
      <c r="M476" s="32" t="str">
        <f t="shared" si="92"/>
        <v>Fail</v>
      </c>
      <c r="N476" s="32"/>
      <c r="O476" s="31">
        <f>'mnt Data'!A479</f>
        <v>0</v>
      </c>
      <c r="P476" s="31">
        <f>'mnt Data'!B479</f>
        <v>0</v>
      </c>
      <c r="Q476" s="31">
        <f>'mnt Data'!C479</f>
        <v>0</v>
      </c>
      <c r="R476" s="31">
        <f>'mnt Data'!D479</f>
        <v>0</v>
      </c>
      <c r="S476" s="31">
        <f>'mnt Data'!E479</f>
        <v>0</v>
      </c>
      <c r="T476" s="31">
        <f>'mnt Data'!F479</f>
        <v>0</v>
      </c>
      <c r="U476" s="31">
        <f>'mnt Data'!G479</f>
        <v>0</v>
      </c>
      <c r="V476" s="31">
        <f>'mnt Data'!H479</f>
        <v>0</v>
      </c>
      <c r="W476" s="31">
        <f>'mnt Data'!I479</f>
        <v>0</v>
      </c>
      <c r="X476" s="31">
        <f>'mnt Data'!J479</f>
        <v>0</v>
      </c>
      <c r="Y476" s="31">
        <f>'mnt Data'!K479</f>
        <v>0</v>
      </c>
      <c r="Z476" s="31">
        <f>'mnt Data'!L479</f>
        <v>0</v>
      </c>
      <c r="AA476" s="31">
        <f>'mnt Data'!M479</f>
        <v>0</v>
      </c>
      <c r="AB476" s="31">
        <f>'mnt Data'!N479</f>
        <v>0</v>
      </c>
      <c r="AC476" s="31">
        <f>'mnt Data'!O479</f>
        <v>0</v>
      </c>
      <c r="AD476" s="31">
        <f>'mnt Data'!P479</f>
        <v>0</v>
      </c>
      <c r="AE476" s="31">
        <f>'mnt Data'!Q479</f>
        <v>0</v>
      </c>
      <c r="AF476" s="31">
        <f>'mnt Data'!R479</f>
        <v>0</v>
      </c>
      <c r="AG476" s="31">
        <f>'mnt Data'!S479</f>
        <v>0</v>
      </c>
      <c r="AH476" s="31">
        <f>'mnt Data'!T479</f>
        <v>0</v>
      </c>
      <c r="AI476" s="31">
        <f>'mnt Data'!U479</f>
        <v>0</v>
      </c>
      <c r="AJ476" s="31">
        <f>'mnt Data'!V479</f>
        <v>0</v>
      </c>
      <c r="AK476" s="31">
        <f>'mnt Data'!W479</f>
        <v>0</v>
      </c>
      <c r="AL476" s="31">
        <f>'mnt Data'!X479</f>
        <v>0</v>
      </c>
      <c r="AM476" s="31">
        <f>'mnt Data'!Y479</f>
        <v>0</v>
      </c>
      <c r="AN476" s="31">
        <f>'mnt Data'!Z479</f>
        <v>0</v>
      </c>
      <c r="AO476" s="31">
        <f>'mnt Data'!AA479</f>
        <v>0</v>
      </c>
      <c r="AP476" s="31">
        <f>'mnt Data'!AB479</f>
        <v>0</v>
      </c>
      <c r="AQ476" s="31">
        <f>'mnt Data'!AC479</f>
        <v>0</v>
      </c>
      <c r="AR476" s="31">
        <f>'mnt Data'!AD479</f>
        <v>0</v>
      </c>
      <c r="AS476" s="31">
        <f>'mnt Data'!AE479</f>
        <v>0</v>
      </c>
      <c r="AT476" s="31">
        <f>'mnt Data'!AF479</f>
        <v>0</v>
      </c>
      <c r="AU476" s="31">
        <f>'mnt Data'!AG479</f>
        <v>0</v>
      </c>
      <c r="AV476" s="31">
        <f>'mnt Data'!AH479</f>
        <v>0</v>
      </c>
      <c r="AW476" s="31">
        <f>'mnt Data'!AI479</f>
        <v>0</v>
      </c>
      <c r="AX476" s="31">
        <f>'mnt Data'!AJ479</f>
        <v>0</v>
      </c>
      <c r="AY476" s="31">
        <f>'mnt Data'!AK479</f>
        <v>0</v>
      </c>
    </row>
    <row r="477" spans="1:51" x14ac:dyDescent="0.25">
      <c r="A477">
        <v>476</v>
      </c>
      <c r="B477" s="32">
        <f t="shared" si="84"/>
        <v>0</v>
      </c>
      <c r="C477" s="32">
        <f t="shared" si="85"/>
        <v>0</v>
      </c>
      <c r="D477" s="32" t="str">
        <f t="shared" si="89"/>
        <v>No Gs</v>
      </c>
      <c r="E477" s="32">
        <f t="shared" si="93"/>
        <v>0</v>
      </c>
      <c r="F477" s="32" t="str">
        <f t="shared" si="94"/>
        <v>No Gs</v>
      </c>
      <c r="G477" s="32" t="str">
        <f t="shared" si="95"/>
        <v>No Gs</v>
      </c>
      <c r="H477" s="32" t="str">
        <f t="shared" si="86"/>
        <v>Gs is needed</v>
      </c>
      <c r="I477" s="32" t="str">
        <f t="shared" si="87"/>
        <v>Gs is needed</v>
      </c>
      <c r="J477" s="32" t="str">
        <f t="shared" si="88"/>
        <v>Gs is needed</v>
      </c>
      <c r="K477" s="32" t="str">
        <f t="shared" si="90"/>
        <v>Need Max and Min</v>
      </c>
      <c r="L477" s="32" t="str">
        <f t="shared" si="91"/>
        <v>Need Max and Min</v>
      </c>
      <c r="M477" s="32" t="str">
        <f t="shared" si="92"/>
        <v>Fail</v>
      </c>
      <c r="N477" s="32"/>
      <c r="O477" s="31">
        <f>'mnt Data'!A480</f>
        <v>0</v>
      </c>
      <c r="P477" s="31">
        <f>'mnt Data'!B480</f>
        <v>0</v>
      </c>
      <c r="Q477" s="31">
        <f>'mnt Data'!C480</f>
        <v>0</v>
      </c>
      <c r="R477" s="31">
        <f>'mnt Data'!D480</f>
        <v>0</v>
      </c>
      <c r="S477" s="31">
        <f>'mnt Data'!E480</f>
        <v>0</v>
      </c>
      <c r="T477" s="31">
        <f>'mnt Data'!F480</f>
        <v>0</v>
      </c>
      <c r="U477" s="31">
        <f>'mnt Data'!G480</f>
        <v>0</v>
      </c>
      <c r="V477" s="31">
        <f>'mnt Data'!H480</f>
        <v>0</v>
      </c>
      <c r="W477" s="31">
        <f>'mnt Data'!I480</f>
        <v>0</v>
      </c>
      <c r="X477" s="31">
        <f>'mnt Data'!J480</f>
        <v>0</v>
      </c>
      <c r="Y477" s="31">
        <f>'mnt Data'!K480</f>
        <v>0</v>
      </c>
      <c r="Z477" s="31">
        <f>'mnt Data'!L480</f>
        <v>0</v>
      </c>
      <c r="AA477" s="31">
        <f>'mnt Data'!M480</f>
        <v>0</v>
      </c>
      <c r="AB477" s="31">
        <f>'mnt Data'!N480</f>
        <v>0</v>
      </c>
      <c r="AC477" s="31">
        <f>'mnt Data'!O480</f>
        <v>0</v>
      </c>
      <c r="AD477" s="31">
        <f>'mnt Data'!P480</f>
        <v>0</v>
      </c>
      <c r="AE477" s="31">
        <f>'mnt Data'!Q480</f>
        <v>0</v>
      </c>
      <c r="AF477" s="31">
        <f>'mnt Data'!R480</f>
        <v>0</v>
      </c>
      <c r="AG477" s="31">
        <f>'mnt Data'!S480</f>
        <v>0</v>
      </c>
      <c r="AH477" s="31">
        <f>'mnt Data'!T480</f>
        <v>0</v>
      </c>
      <c r="AI477" s="31">
        <f>'mnt Data'!U480</f>
        <v>0</v>
      </c>
      <c r="AJ477" s="31">
        <f>'mnt Data'!V480</f>
        <v>0</v>
      </c>
      <c r="AK477" s="31">
        <f>'mnt Data'!W480</f>
        <v>0</v>
      </c>
      <c r="AL477" s="31">
        <f>'mnt Data'!X480</f>
        <v>0</v>
      </c>
      <c r="AM477" s="31">
        <f>'mnt Data'!Y480</f>
        <v>0</v>
      </c>
      <c r="AN477" s="31">
        <f>'mnt Data'!Z480</f>
        <v>0</v>
      </c>
      <c r="AO477" s="31">
        <f>'mnt Data'!AA480</f>
        <v>0</v>
      </c>
      <c r="AP477" s="31">
        <f>'mnt Data'!AB480</f>
        <v>0</v>
      </c>
      <c r="AQ477" s="31">
        <f>'mnt Data'!AC480</f>
        <v>0</v>
      </c>
      <c r="AR477" s="31">
        <f>'mnt Data'!AD480</f>
        <v>0</v>
      </c>
      <c r="AS477" s="31">
        <f>'mnt Data'!AE480</f>
        <v>0</v>
      </c>
      <c r="AT477" s="31">
        <f>'mnt Data'!AF480</f>
        <v>0</v>
      </c>
      <c r="AU477" s="31">
        <f>'mnt Data'!AG480</f>
        <v>0</v>
      </c>
      <c r="AV477" s="31">
        <f>'mnt Data'!AH480</f>
        <v>0</v>
      </c>
      <c r="AW477" s="31">
        <f>'mnt Data'!AI480</f>
        <v>0</v>
      </c>
      <c r="AX477" s="31">
        <f>'mnt Data'!AJ480</f>
        <v>0</v>
      </c>
      <c r="AY477" s="31">
        <f>'mnt Data'!AK480</f>
        <v>0</v>
      </c>
    </row>
    <row r="478" spans="1:51" x14ac:dyDescent="0.25">
      <c r="A478">
        <v>477</v>
      </c>
      <c r="B478" s="32">
        <f t="shared" si="84"/>
        <v>0</v>
      </c>
      <c r="C478" s="32">
        <f t="shared" si="85"/>
        <v>0</v>
      </c>
      <c r="D478" s="32" t="str">
        <f t="shared" si="89"/>
        <v>No Gs</v>
      </c>
      <c r="E478" s="32">
        <f t="shared" si="93"/>
        <v>0</v>
      </c>
      <c r="F478" s="32" t="str">
        <f t="shared" si="94"/>
        <v>No Gs</v>
      </c>
      <c r="G478" s="32" t="str">
        <f t="shared" si="95"/>
        <v>No Gs</v>
      </c>
      <c r="H478" s="32" t="str">
        <f t="shared" si="86"/>
        <v>Gs is needed</v>
      </c>
      <c r="I478" s="32" t="str">
        <f t="shared" si="87"/>
        <v>Gs is needed</v>
      </c>
      <c r="J478" s="32" t="str">
        <f t="shared" si="88"/>
        <v>Gs is needed</v>
      </c>
      <c r="K478" s="32" t="str">
        <f t="shared" si="90"/>
        <v>Need Max and Min</v>
      </c>
      <c r="L478" s="32" t="str">
        <f t="shared" si="91"/>
        <v>Need Max and Min</v>
      </c>
      <c r="M478" s="32" t="str">
        <f t="shared" si="92"/>
        <v>Fail</v>
      </c>
      <c r="N478" s="32"/>
      <c r="O478" s="31">
        <f>'mnt Data'!A481</f>
        <v>0</v>
      </c>
      <c r="P478" s="31">
        <f>'mnt Data'!B481</f>
        <v>0</v>
      </c>
      <c r="Q478" s="31">
        <f>'mnt Data'!C481</f>
        <v>0</v>
      </c>
      <c r="R478" s="31">
        <f>'mnt Data'!D481</f>
        <v>0</v>
      </c>
      <c r="S478" s="31">
        <f>'mnt Data'!E481</f>
        <v>0</v>
      </c>
      <c r="T478" s="31">
        <f>'mnt Data'!F481</f>
        <v>0</v>
      </c>
      <c r="U478" s="31">
        <f>'mnt Data'!G481</f>
        <v>0</v>
      </c>
      <c r="V478" s="31">
        <f>'mnt Data'!H481</f>
        <v>0</v>
      </c>
      <c r="W478" s="31">
        <f>'mnt Data'!I481</f>
        <v>0</v>
      </c>
      <c r="X478" s="31">
        <f>'mnt Data'!J481</f>
        <v>0</v>
      </c>
      <c r="Y478" s="31">
        <f>'mnt Data'!K481</f>
        <v>0</v>
      </c>
      <c r="Z478" s="31">
        <f>'mnt Data'!L481</f>
        <v>0</v>
      </c>
      <c r="AA478" s="31">
        <f>'mnt Data'!M481</f>
        <v>0</v>
      </c>
      <c r="AB478" s="31">
        <f>'mnt Data'!N481</f>
        <v>0</v>
      </c>
      <c r="AC478" s="31">
        <f>'mnt Data'!O481</f>
        <v>0</v>
      </c>
      <c r="AD478" s="31">
        <f>'mnt Data'!P481</f>
        <v>0</v>
      </c>
      <c r="AE478" s="31">
        <f>'mnt Data'!Q481</f>
        <v>0</v>
      </c>
      <c r="AF478" s="31">
        <f>'mnt Data'!R481</f>
        <v>0</v>
      </c>
      <c r="AG478" s="31">
        <f>'mnt Data'!S481</f>
        <v>0</v>
      </c>
      <c r="AH478" s="31">
        <f>'mnt Data'!T481</f>
        <v>0</v>
      </c>
      <c r="AI478" s="31">
        <f>'mnt Data'!U481</f>
        <v>0</v>
      </c>
      <c r="AJ478" s="31">
        <f>'mnt Data'!V481</f>
        <v>0</v>
      </c>
      <c r="AK478" s="31">
        <f>'mnt Data'!W481</f>
        <v>0</v>
      </c>
      <c r="AL478" s="31">
        <f>'mnt Data'!X481</f>
        <v>0</v>
      </c>
      <c r="AM478" s="31">
        <f>'mnt Data'!Y481</f>
        <v>0</v>
      </c>
      <c r="AN478" s="31">
        <f>'mnt Data'!Z481</f>
        <v>0</v>
      </c>
      <c r="AO478" s="31">
        <f>'mnt Data'!AA481</f>
        <v>0</v>
      </c>
      <c r="AP478" s="31">
        <f>'mnt Data'!AB481</f>
        <v>0</v>
      </c>
      <c r="AQ478" s="31">
        <f>'mnt Data'!AC481</f>
        <v>0</v>
      </c>
      <c r="AR478" s="31">
        <f>'mnt Data'!AD481</f>
        <v>0</v>
      </c>
      <c r="AS478" s="31">
        <f>'mnt Data'!AE481</f>
        <v>0</v>
      </c>
      <c r="AT478" s="31">
        <f>'mnt Data'!AF481</f>
        <v>0</v>
      </c>
      <c r="AU478" s="31">
        <f>'mnt Data'!AG481</f>
        <v>0</v>
      </c>
      <c r="AV478" s="31">
        <f>'mnt Data'!AH481</f>
        <v>0</v>
      </c>
      <c r="AW478" s="31">
        <f>'mnt Data'!AI481</f>
        <v>0</v>
      </c>
      <c r="AX478" s="31">
        <f>'mnt Data'!AJ481</f>
        <v>0</v>
      </c>
      <c r="AY478" s="31">
        <f>'mnt Data'!AK481</f>
        <v>0</v>
      </c>
    </row>
    <row r="479" spans="1:51" x14ac:dyDescent="0.25">
      <c r="A479">
        <v>478</v>
      </c>
      <c r="B479" s="32">
        <f t="shared" si="84"/>
        <v>0</v>
      </c>
      <c r="C479" s="32">
        <f t="shared" si="85"/>
        <v>0</v>
      </c>
      <c r="D479" s="32" t="str">
        <f t="shared" si="89"/>
        <v>No Gs</v>
      </c>
      <c r="E479" s="32">
        <f t="shared" si="93"/>
        <v>0</v>
      </c>
      <c r="F479" s="32" t="str">
        <f t="shared" si="94"/>
        <v>No Gs</v>
      </c>
      <c r="G479" s="32" t="str">
        <f t="shared" si="95"/>
        <v>No Gs</v>
      </c>
      <c r="H479" s="32" t="str">
        <f t="shared" si="86"/>
        <v>Gs is needed</v>
      </c>
      <c r="I479" s="32" t="str">
        <f t="shared" si="87"/>
        <v>Gs is needed</v>
      </c>
      <c r="J479" s="32" t="str">
        <f t="shared" si="88"/>
        <v>Gs is needed</v>
      </c>
      <c r="K479" s="32" t="str">
        <f t="shared" si="90"/>
        <v>Need Max and Min</v>
      </c>
      <c r="L479" s="32" t="str">
        <f t="shared" si="91"/>
        <v>Need Max and Min</v>
      </c>
      <c r="M479" s="32" t="str">
        <f t="shared" si="92"/>
        <v>Fail</v>
      </c>
      <c r="N479" s="32"/>
      <c r="O479" s="31">
        <f>'mnt Data'!A482</f>
        <v>0</v>
      </c>
      <c r="P479" s="31">
        <f>'mnt Data'!B482</f>
        <v>0</v>
      </c>
      <c r="Q479" s="31">
        <f>'mnt Data'!C482</f>
        <v>0</v>
      </c>
      <c r="R479" s="31">
        <f>'mnt Data'!D482</f>
        <v>0</v>
      </c>
      <c r="S479" s="31">
        <f>'mnt Data'!E482</f>
        <v>0</v>
      </c>
      <c r="T479" s="31">
        <f>'mnt Data'!F482</f>
        <v>0</v>
      </c>
      <c r="U479" s="31">
        <f>'mnt Data'!G482</f>
        <v>0</v>
      </c>
      <c r="V479" s="31">
        <f>'mnt Data'!H482</f>
        <v>0</v>
      </c>
      <c r="W479" s="31">
        <f>'mnt Data'!I482</f>
        <v>0</v>
      </c>
      <c r="X479" s="31">
        <f>'mnt Data'!J482</f>
        <v>0</v>
      </c>
      <c r="Y479" s="31">
        <f>'mnt Data'!K482</f>
        <v>0</v>
      </c>
      <c r="Z479" s="31">
        <f>'mnt Data'!L482</f>
        <v>0</v>
      </c>
      <c r="AA479" s="31">
        <f>'mnt Data'!M482</f>
        <v>0</v>
      </c>
      <c r="AB479" s="31">
        <f>'mnt Data'!N482</f>
        <v>0</v>
      </c>
      <c r="AC479" s="31">
        <f>'mnt Data'!O482</f>
        <v>0</v>
      </c>
      <c r="AD479" s="31">
        <f>'mnt Data'!P482</f>
        <v>0</v>
      </c>
      <c r="AE479" s="31">
        <f>'mnt Data'!Q482</f>
        <v>0</v>
      </c>
      <c r="AF479" s="31">
        <f>'mnt Data'!R482</f>
        <v>0</v>
      </c>
      <c r="AG479" s="31">
        <f>'mnt Data'!S482</f>
        <v>0</v>
      </c>
      <c r="AH479" s="31">
        <f>'mnt Data'!T482</f>
        <v>0</v>
      </c>
      <c r="AI479" s="31">
        <f>'mnt Data'!U482</f>
        <v>0</v>
      </c>
      <c r="AJ479" s="31">
        <f>'mnt Data'!V482</f>
        <v>0</v>
      </c>
      <c r="AK479" s="31">
        <f>'mnt Data'!W482</f>
        <v>0</v>
      </c>
      <c r="AL479" s="31">
        <f>'mnt Data'!X482</f>
        <v>0</v>
      </c>
      <c r="AM479" s="31">
        <f>'mnt Data'!Y482</f>
        <v>0</v>
      </c>
      <c r="AN479" s="31">
        <f>'mnt Data'!Z482</f>
        <v>0</v>
      </c>
      <c r="AO479" s="31">
        <f>'mnt Data'!AA482</f>
        <v>0</v>
      </c>
      <c r="AP479" s="31">
        <f>'mnt Data'!AB482</f>
        <v>0</v>
      </c>
      <c r="AQ479" s="31">
        <f>'mnt Data'!AC482</f>
        <v>0</v>
      </c>
      <c r="AR479" s="31">
        <f>'mnt Data'!AD482</f>
        <v>0</v>
      </c>
      <c r="AS479" s="31">
        <f>'mnt Data'!AE482</f>
        <v>0</v>
      </c>
      <c r="AT479" s="31">
        <f>'mnt Data'!AF482</f>
        <v>0</v>
      </c>
      <c r="AU479" s="31">
        <f>'mnt Data'!AG482</f>
        <v>0</v>
      </c>
      <c r="AV479" s="31">
        <f>'mnt Data'!AH482</f>
        <v>0</v>
      </c>
      <c r="AW479" s="31">
        <f>'mnt Data'!AI482</f>
        <v>0</v>
      </c>
      <c r="AX479" s="31">
        <f>'mnt Data'!AJ482</f>
        <v>0</v>
      </c>
      <c r="AY479" s="31">
        <f>'mnt Data'!AK482</f>
        <v>0</v>
      </c>
    </row>
    <row r="480" spans="1:51" x14ac:dyDescent="0.25">
      <c r="A480">
        <v>479</v>
      </c>
      <c r="B480" s="32">
        <f t="shared" si="84"/>
        <v>0</v>
      </c>
      <c r="C480" s="32">
        <f t="shared" si="85"/>
        <v>0</v>
      </c>
      <c r="D480" s="32" t="str">
        <f t="shared" si="89"/>
        <v>No Gs</v>
      </c>
      <c r="E480" s="32">
        <f t="shared" si="93"/>
        <v>0</v>
      </c>
      <c r="F480" s="32" t="str">
        <f t="shared" si="94"/>
        <v>No Gs</v>
      </c>
      <c r="G480" s="32" t="str">
        <f t="shared" si="95"/>
        <v>No Gs</v>
      </c>
      <c r="H480" s="32" t="str">
        <f t="shared" si="86"/>
        <v>Gs is needed</v>
      </c>
      <c r="I480" s="32" t="str">
        <f t="shared" si="87"/>
        <v>Gs is needed</v>
      </c>
      <c r="J480" s="32" t="str">
        <f t="shared" si="88"/>
        <v>Gs is needed</v>
      </c>
      <c r="K480" s="32" t="str">
        <f t="shared" si="90"/>
        <v>Need Max and Min</v>
      </c>
      <c r="L480" s="32" t="str">
        <f t="shared" si="91"/>
        <v>Need Max and Min</v>
      </c>
      <c r="M480" s="32" t="str">
        <f t="shared" si="92"/>
        <v>Fail</v>
      </c>
      <c r="N480" s="32"/>
      <c r="O480" s="31">
        <f>'mnt Data'!A483</f>
        <v>0</v>
      </c>
      <c r="P480" s="31">
        <f>'mnt Data'!B483</f>
        <v>0</v>
      </c>
      <c r="Q480" s="31">
        <f>'mnt Data'!C483</f>
        <v>0</v>
      </c>
      <c r="R480" s="31">
        <f>'mnt Data'!D483</f>
        <v>0</v>
      </c>
      <c r="S480" s="31">
        <f>'mnt Data'!E483</f>
        <v>0</v>
      </c>
      <c r="T480" s="31">
        <f>'mnt Data'!F483</f>
        <v>0</v>
      </c>
      <c r="U480" s="31">
        <f>'mnt Data'!G483</f>
        <v>0</v>
      </c>
      <c r="V480" s="31">
        <f>'mnt Data'!H483</f>
        <v>0</v>
      </c>
      <c r="W480" s="31">
        <f>'mnt Data'!I483</f>
        <v>0</v>
      </c>
      <c r="X480" s="31">
        <f>'mnt Data'!J483</f>
        <v>0</v>
      </c>
      <c r="Y480" s="31">
        <f>'mnt Data'!K483</f>
        <v>0</v>
      </c>
      <c r="Z480" s="31">
        <f>'mnt Data'!L483</f>
        <v>0</v>
      </c>
      <c r="AA480" s="31">
        <f>'mnt Data'!M483</f>
        <v>0</v>
      </c>
      <c r="AB480" s="31">
        <f>'mnt Data'!N483</f>
        <v>0</v>
      </c>
      <c r="AC480" s="31">
        <f>'mnt Data'!O483</f>
        <v>0</v>
      </c>
      <c r="AD480" s="31">
        <f>'mnt Data'!P483</f>
        <v>0</v>
      </c>
      <c r="AE480" s="31">
        <f>'mnt Data'!Q483</f>
        <v>0</v>
      </c>
      <c r="AF480" s="31">
        <f>'mnt Data'!R483</f>
        <v>0</v>
      </c>
      <c r="AG480" s="31">
        <f>'mnt Data'!S483</f>
        <v>0</v>
      </c>
      <c r="AH480" s="31">
        <f>'mnt Data'!T483</f>
        <v>0</v>
      </c>
      <c r="AI480" s="31">
        <f>'mnt Data'!U483</f>
        <v>0</v>
      </c>
      <c r="AJ480" s="31">
        <f>'mnt Data'!V483</f>
        <v>0</v>
      </c>
      <c r="AK480" s="31">
        <f>'mnt Data'!W483</f>
        <v>0</v>
      </c>
      <c r="AL480" s="31">
        <f>'mnt Data'!X483</f>
        <v>0</v>
      </c>
      <c r="AM480" s="31">
        <f>'mnt Data'!Y483</f>
        <v>0</v>
      </c>
      <c r="AN480" s="31">
        <f>'mnt Data'!Z483</f>
        <v>0</v>
      </c>
      <c r="AO480" s="31">
        <f>'mnt Data'!AA483</f>
        <v>0</v>
      </c>
      <c r="AP480" s="31">
        <f>'mnt Data'!AB483</f>
        <v>0</v>
      </c>
      <c r="AQ480" s="31">
        <f>'mnt Data'!AC483</f>
        <v>0</v>
      </c>
      <c r="AR480" s="31">
        <f>'mnt Data'!AD483</f>
        <v>0</v>
      </c>
      <c r="AS480" s="31">
        <f>'mnt Data'!AE483</f>
        <v>0</v>
      </c>
      <c r="AT480" s="31">
        <f>'mnt Data'!AF483</f>
        <v>0</v>
      </c>
      <c r="AU480" s="31">
        <f>'mnt Data'!AG483</f>
        <v>0</v>
      </c>
      <c r="AV480" s="31">
        <f>'mnt Data'!AH483</f>
        <v>0</v>
      </c>
      <c r="AW480" s="31">
        <f>'mnt Data'!AI483</f>
        <v>0</v>
      </c>
      <c r="AX480" s="31">
        <f>'mnt Data'!AJ483</f>
        <v>0</v>
      </c>
      <c r="AY480" s="31">
        <f>'mnt Data'!AK483</f>
        <v>0</v>
      </c>
    </row>
    <row r="481" spans="1:51" x14ac:dyDescent="0.25">
      <c r="A481">
        <v>480</v>
      </c>
      <c r="B481" s="32">
        <f t="shared" si="84"/>
        <v>0</v>
      </c>
      <c r="C481" s="32">
        <f t="shared" si="85"/>
        <v>0</v>
      </c>
      <c r="D481" s="32" t="str">
        <f t="shared" si="89"/>
        <v>No Gs</v>
      </c>
      <c r="E481" s="32">
        <f t="shared" si="93"/>
        <v>0</v>
      </c>
      <c r="F481" s="32" t="str">
        <f t="shared" si="94"/>
        <v>No Gs</v>
      </c>
      <c r="G481" s="32" t="str">
        <f t="shared" si="95"/>
        <v>No Gs</v>
      </c>
      <c r="H481" s="32" t="str">
        <f t="shared" si="86"/>
        <v>Gs is needed</v>
      </c>
      <c r="I481" s="32" t="str">
        <f t="shared" si="87"/>
        <v>Gs is needed</v>
      </c>
      <c r="J481" s="32" t="str">
        <f t="shared" si="88"/>
        <v>Gs is needed</v>
      </c>
      <c r="K481" s="32" t="str">
        <f t="shared" si="90"/>
        <v>Need Max and Min</v>
      </c>
      <c r="L481" s="32" t="str">
        <f t="shared" si="91"/>
        <v>Need Max and Min</v>
      </c>
      <c r="M481" s="32" t="str">
        <f t="shared" si="92"/>
        <v>Fail</v>
      </c>
      <c r="N481" s="32"/>
      <c r="O481" s="31">
        <f>'mnt Data'!A484</f>
        <v>0</v>
      </c>
      <c r="P481" s="31">
        <f>'mnt Data'!B484</f>
        <v>0</v>
      </c>
      <c r="Q481" s="31">
        <f>'mnt Data'!C484</f>
        <v>0</v>
      </c>
      <c r="R481" s="31">
        <f>'mnt Data'!D484</f>
        <v>0</v>
      </c>
      <c r="S481" s="31">
        <f>'mnt Data'!E484</f>
        <v>0</v>
      </c>
      <c r="T481" s="31">
        <f>'mnt Data'!F484</f>
        <v>0</v>
      </c>
      <c r="U481" s="31">
        <f>'mnt Data'!G484</f>
        <v>0</v>
      </c>
      <c r="V481" s="31">
        <f>'mnt Data'!H484</f>
        <v>0</v>
      </c>
      <c r="W481" s="31">
        <f>'mnt Data'!I484</f>
        <v>0</v>
      </c>
      <c r="X481" s="31">
        <f>'mnt Data'!J484</f>
        <v>0</v>
      </c>
      <c r="Y481" s="31">
        <f>'mnt Data'!K484</f>
        <v>0</v>
      </c>
      <c r="Z481" s="31">
        <f>'mnt Data'!L484</f>
        <v>0</v>
      </c>
      <c r="AA481" s="31">
        <f>'mnt Data'!M484</f>
        <v>0</v>
      </c>
      <c r="AB481" s="31">
        <f>'mnt Data'!N484</f>
        <v>0</v>
      </c>
      <c r="AC481" s="31">
        <f>'mnt Data'!O484</f>
        <v>0</v>
      </c>
      <c r="AD481" s="31">
        <f>'mnt Data'!P484</f>
        <v>0</v>
      </c>
      <c r="AE481" s="31">
        <f>'mnt Data'!Q484</f>
        <v>0</v>
      </c>
      <c r="AF481" s="31">
        <f>'mnt Data'!R484</f>
        <v>0</v>
      </c>
      <c r="AG481" s="31">
        <f>'mnt Data'!S484</f>
        <v>0</v>
      </c>
      <c r="AH481" s="31">
        <f>'mnt Data'!T484</f>
        <v>0</v>
      </c>
      <c r="AI481" s="31">
        <f>'mnt Data'!U484</f>
        <v>0</v>
      </c>
      <c r="AJ481" s="31">
        <f>'mnt Data'!V484</f>
        <v>0</v>
      </c>
      <c r="AK481" s="31">
        <f>'mnt Data'!W484</f>
        <v>0</v>
      </c>
      <c r="AL481" s="31">
        <f>'mnt Data'!X484</f>
        <v>0</v>
      </c>
      <c r="AM481" s="31">
        <f>'mnt Data'!Y484</f>
        <v>0</v>
      </c>
      <c r="AN481" s="31">
        <f>'mnt Data'!Z484</f>
        <v>0</v>
      </c>
      <c r="AO481" s="31">
        <f>'mnt Data'!AA484</f>
        <v>0</v>
      </c>
      <c r="AP481" s="31">
        <f>'mnt Data'!AB484</f>
        <v>0</v>
      </c>
      <c r="AQ481" s="31">
        <f>'mnt Data'!AC484</f>
        <v>0</v>
      </c>
      <c r="AR481" s="31">
        <f>'mnt Data'!AD484</f>
        <v>0</v>
      </c>
      <c r="AS481" s="31">
        <f>'mnt Data'!AE484</f>
        <v>0</v>
      </c>
      <c r="AT481" s="31">
        <f>'mnt Data'!AF484</f>
        <v>0</v>
      </c>
      <c r="AU481" s="31">
        <f>'mnt Data'!AG484</f>
        <v>0</v>
      </c>
      <c r="AV481" s="31">
        <f>'mnt Data'!AH484</f>
        <v>0</v>
      </c>
      <c r="AW481" s="31">
        <f>'mnt Data'!AI484</f>
        <v>0</v>
      </c>
      <c r="AX481" s="31">
        <f>'mnt Data'!AJ484</f>
        <v>0</v>
      </c>
      <c r="AY481" s="31">
        <f>'mnt Data'!AK484</f>
        <v>0</v>
      </c>
    </row>
    <row r="482" spans="1:51" x14ac:dyDescent="0.25">
      <c r="A482">
        <v>481</v>
      </c>
      <c r="B482" s="32">
        <f t="shared" si="84"/>
        <v>0</v>
      </c>
      <c r="C482" s="32">
        <f t="shared" si="85"/>
        <v>0</v>
      </c>
      <c r="D482" s="32" t="str">
        <f t="shared" si="89"/>
        <v>No Gs</v>
      </c>
      <c r="E482" s="32">
        <f t="shared" si="93"/>
        <v>0</v>
      </c>
      <c r="F482" s="32" t="str">
        <f t="shared" si="94"/>
        <v>No Gs</v>
      </c>
      <c r="G482" s="32" t="str">
        <f t="shared" si="95"/>
        <v>No Gs</v>
      </c>
      <c r="H482" s="32" t="str">
        <f t="shared" si="86"/>
        <v>Gs is needed</v>
      </c>
      <c r="I482" s="32" t="str">
        <f t="shared" si="87"/>
        <v>Gs is needed</v>
      </c>
      <c r="J482" s="32" t="str">
        <f t="shared" si="88"/>
        <v>Gs is needed</v>
      </c>
      <c r="K482" s="32" t="str">
        <f t="shared" si="90"/>
        <v>Need Max and Min</v>
      </c>
      <c r="L482" s="32" t="str">
        <f t="shared" si="91"/>
        <v>Need Max and Min</v>
      </c>
      <c r="M482" s="32" t="str">
        <f t="shared" si="92"/>
        <v>Fail</v>
      </c>
      <c r="N482" s="32"/>
      <c r="O482" s="31">
        <f>'mnt Data'!A485</f>
        <v>0</v>
      </c>
      <c r="P482" s="31">
        <f>'mnt Data'!B485</f>
        <v>0</v>
      </c>
      <c r="Q482" s="31">
        <f>'mnt Data'!C485</f>
        <v>0</v>
      </c>
      <c r="R482" s="31">
        <f>'mnt Data'!D485</f>
        <v>0</v>
      </c>
      <c r="S482" s="31">
        <f>'mnt Data'!E485</f>
        <v>0</v>
      </c>
      <c r="T482" s="31">
        <f>'mnt Data'!F485</f>
        <v>0</v>
      </c>
      <c r="U482" s="31">
        <f>'mnt Data'!G485</f>
        <v>0</v>
      </c>
      <c r="V482" s="31">
        <f>'mnt Data'!H485</f>
        <v>0</v>
      </c>
      <c r="W482" s="31">
        <f>'mnt Data'!I485</f>
        <v>0</v>
      </c>
      <c r="X482" s="31">
        <f>'mnt Data'!J485</f>
        <v>0</v>
      </c>
      <c r="Y482" s="31">
        <f>'mnt Data'!K485</f>
        <v>0</v>
      </c>
      <c r="Z482" s="31">
        <f>'mnt Data'!L485</f>
        <v>0</v>
      </c>
      <c r="AA482" s="31">
        <f>'mnt Data'!M485</f>
        <v>0</v>
      </c>
      <c r="AB482" s="31">
        <f>'mnt Data'!N485</f>
        <v>0</v>
      </c>
      <c r="AC482" s="31">
        <f>'mnt Data'!O485</f>
        <v>0</v>
      </c>
      <c r="AD482" s="31">
        <f>'mnt Data'!P485</f>
        <v>0</v>
      </c>
      <c r="AE482" s="31">
        <f>'mnt Data'!Q485</f>
        <v>0</v>
      </c>
      <c r="AF482" s="31">
        <f>'mnt Data'!R485</f>
        <v>0</v>
      </c>
      <c r="AG482" s="31">
        <f>'mnt Data'!S485</f>
        <v>0</v>
      </c>
      <c r="AH482" s="31">
        <f>'mnt Data'!T485</f>
        <v>0</v>
      </c>
      <c r="AI482" s="31">
        <f>'mnt Data'!U485</f>
        <v>0</v>
      </c>
      <c r="AJ482" s="31">
        <f>'mnt Data'!V485</f>
        <v>0</v>
      </c>
      <c r="AK482" s="31">
        <f>'mnt Data'!W485</f>
        <v>0</v>
      </c>
      <c r="AL482" s="31">
        <f>'mnt Data'!X485</f>
        <v>0</v>
      </c>
      <c r="AM482" s="31">
        <f>'mnt Data'!Y485</f>
        <v>0</v>
      </c>
      <c r="AN482" s="31">
        <f>'mnt Data'!Z485</f>
        <v>0</v>
      </c>
      <c r="AO482" s="31">
        <f>'mnt Data'!AA485</f>
        <v>0</v>
      </c>
      <c r="AP482" s="31">
        <f>'mnt Data'!AB485</f>
        <v>0</v>
      </c>
      <c r="AQ482" s="31">
        <f>'mnt Data'!AC485</f>
        <v>0</v>
      </c>
      <c r="AR482" s="31">
        <f>'mnt Data'!AD485</f>
        <v>0</v>
      </c>
      <c r="AS482" s="31">
        <f>'mnt Data'!AE485</f>
        <v>0</v>
      </c>
      <c r="AT482" s="31">
        <f>'mnt Data'!AF485</f>
        <v>0</v>
      </c>
      <c r="AU482" s="31">
        <f>'mnt Data'!AG485</f>
        <v>0</v>
      </c>
      <c r="AV482" s="31">
        <f>'mnt Data'!AH485</f>
        <v>0</v>
      </c>
      <c r="AW482" s="31">
        <f>'mnt Data'!AI485</f>
        <v>0</v>
      </c>
      <c r="AX482" s="31">
        <f>'mnt Data'!AJ485</f>
        <v>0</v>
      </c>
      <c r="AY482" s="31">
        <f>'mnt Data'!AK485</f>
        <v>0</v>
      </c>
    </row>
    <row r="483" spans="1:51" x14ac:dyDescent="0.25">
      <c r="A483">
        <v>482</v>
      </c>
      <c r="B483" s="32">
        <f t="shared" si="84"/>
        <v>0</v>
      </c>
      <c r="C483" s="32">
        <f t="shared" si="85"/>
        <v>0</v>
      </c>
      <c r="D483" s="32" t="str">
        <f t="shared" si="89"/>
        <v>No Gs</v>
      </c>
      <c r="E483" s="32">
        <f t="shared" si="93"/>
        <v>0</v>
      </c>
      <c r="F483" s="32" t="str">
        <f t="shared" si="94"/>
        <v>No Gs</v>
      </c>
      <c r="G483" s="32" t="str">
        <f t="shared" si="95"/>
        <v>No Gs</v>
      </c>
      <c r="H483" s="32" t="str">
        <f t="shared" si="86"/>
        <v>Gs is needed</v>
      </c>
      <c r="I483" s="32" t="str">
        <f t="shared" si="87"/>
        <v>Gs is needed</v>
      </c>
      <c r="J483" s="32" t="str">
        <f t="shared" si="88"/>
        <v>Gs is needed</v>
      </c>
      <c r="K483" s="32" t="str">
        <f t="shared" si="90"/>
        <v>Need Max and Min</v>
      </c>
      <c r="L483" s="32" t="str">
        <f t="shared" si="91"/>
        <v>Need Max and Min</v>
      </c>
      <c r="M483" s="32" t="str">
        <f t="shared" si="92"/>
        <v>Fail</v>
      </c>
      <c r="N483" s="32"/>
      <c r="O483" s="31">
        <f>'mnt Data'!A486</f>
        <v>0</v>
      </c>
      <c r="P483" s="31">
        <f>'mnt Data'!B486</f>
        <v>0</v>
      </c>
      <c r="Q483" s="31">
        <f>'mnt Data'!C486</f>
        <v>0</v>
      </c>
      <c r="R483" s="31">
        <f>'mnt Data'!D486</f>
        <v>0</v>
      </c>
      <c r="S483" s="31">
        <f>'mnt Data'!E486</f>
        <v>0</v>
      </c>
      <c r="T483" s="31">
        <f>'mnt Data'!F486</f>
        <v>0</v>
      </c>
      <c r="U483" s="31">
        <f>'mnt Data'!G486</f>
        <v>0</v>
      </c>
      <c r="V483" s="31">
        <f>'mnt Data'!H486</f>
        <v>0</v>
      </c>
      <c r="W483" s="31">
        <f>'mnt Data'!I486</f>
        <v>0</v>
      </c>
      <c r="X483" s="31">
        <f>'mnt Data'!J486</f>
        <v>0</v>
      </c>
      <c r="Y483" s="31">
        <f>'mnt Data'!K486</f>
        <v>0</v>
      </c>
      <c r="Z483" s="31">
        <f>'mnt Data'!L486</f>
        <v>0</v>
      </c>
      <c r="AA483" s="31">
        <f>'mnt Data'!M486</f>
        <v>0</v>
      </c>
      <c r="AB483" s="31">
        <f>'mnt Data'!N486</f>
        <v>0</v>
      </c>
      <c r="AC483" s="31">
        <f>'mnt Data'!O486</f>
        <v>0</v>
      </c>
      <c r="AD483" s="31">
        <f>'mnt Data'!P486</f>
        <v>0</v>
      </c>
      <c r="AE483" s="31">
        <f>'mnt Data'!Q486</f>
        <v>0</v>
      </c>
      <c r="AF483" s="31">
        <f>'mnt Data'!R486</f>
        <v>0</v>
      </c>
      <c r="AG483" s="31">
        <f>'mnt Data'!S486</f>
        <v>0</v>
      </c>
      <c r="AH483" s="31">
        <f>'mnt Data'!T486</f>
        <v>0</v>
      </c>
      <c r="AI483" s="31">
        <f>'mnt Data'!U486</f>
        <v>0</v>
      </c>
      <c r="AJ483" s="31">
        <f>'mnt Data'!V486</f>
        <v>0</v>
      </c>
      <c r="AK483" s="31">
        <f>'mnt Data'!W486</f>
        <v>0</v>
      </c>
      <c r="AL483" s="31">
        <f>'mnt Data'!X486</f>
        <v>0</v>
      </c>
      <c r="AM483" s="31">
        <f>'mnt Data'!Y486</f>
        <v>0</v>
      </c>
      <c r="AN483" s="31">
        <f>'mnt Data'!Z486</f>
        <v>0</v>
      </c>
      <c r="AO483" s="31">
        <f>'mnt Data'!AA486</f>
        <v>0</v>
      </c>
      <c r="AP483" s="31">
        <f>'mnt Data'!AB486</f>
        <v>0</v>
      </c>
      <c r="AQ483" s="31">
        <f>'mnt Data'!AC486</f>
        <v>0</v>
      </c>
      <c r="AR483" s="31">
        <f>'mnt Data'!AD486</f>
        <v>0</v>
      </c>
      <c r="AS483" s="31">
        <f>'mnt Data'!AE486</f>
        <v>0</v>
      </c>
      <c r="AT483" s="31">
        <f>'mnt Data'!AF486</f>
        <v>0</v>
      </c>
      <c r="AU483" s="31">
        <f>'mnt Data'!AG486</f>
        <v>0</v>
      </c>
      <c r="AV483" s="31">
        <f>'mnt Data'!AH486</f>
        <v>0</v>
      </c>
      <c r="AW483" s="31">
        <f>'mnt Data'!AI486</f>
        <v>0</v>
      </c>
      <c r="AX483" s="31">
        <f>'mnt Data'!AJ486</f>
        <v>0</v>
      </c>
      <c r="AY483" s="31">
        <f>'mnt Data'!AK486</f>
        <v>0</v>
      </c>
    </row>
    <row r="484" spans="1:51" x14ac:dyDescent="0.25">
      <c r="A484">
        <v>483</v>
      </c>
      <c r="B484" s="32">
        <f t="shared" si="84"/>
        <v>0</v>
      </c>
      <c r="C484" s="32">
        <f t="shared" si="85"/>
        <v>0</v>
      </c>
      <c r="D484" s="32" t="str">
        <f t="shared" si="89"/>
        <v>No Gs</v>
      </c>
      <c r="E484" s="32">
        <f t="shared" si="93"/>
        <v>0</v>
      </c>
      <c r="F484" s="32" t="str">
        <f t="shared" si="94"/>
        <v>No Gs</v>
      </c>
      <c r="G484" s="32" t="str">
        <f t="shared" si="95"/>
        <v>No Gs</v>
      </c>
      <c r="H484" s="32" t="str">
        <f t="shared" si="86"/>
        <v>Gs is needed</v>
      </c>
      <c r="I484" s="32" t="str">
        <f t="shared" si="87"/>
        <v>Gs is needed</v>
      </c>
      <c r="J484" s="32" t="str">
        <f t="shared" si="88"/>
        <v>Gs is needed</v>
      </c>
      <c r="K484" s="32" t="str">
        <f t="shared" si="90"/>
        <v>Need Max and Min</v>
      </c>
      <c r="L484" s="32" t="str">
        <f t="shared" si="91"/>
        <v>Need Max and Min</v>
      </c>
      <c r="M484" s="32" t="str">
        <f t="shared" si="92"/>
        <v>Fail</v>
      </c>
      <c r="N484" s="32"/>
      <c r="O484" s="31">
        <f>'mnt Data'!A487</f>
        <v>0</v>
      </c>
      <c r="P484" s="31">
        <f>'mnt Data'!B487</f>
        <v>0</v>
      </c>
      <c r="Q484" s="31">
        <f>'mnt Data'!C487</f>
        <v>0</v>
      </c>
      <c r="R484" s="31">
        <f>'mnt Data'!D487</f>
        <v>0</v>
      </c>
      <c r="S484" s="31">
        <f>'mnt Data'!E487</f>
        <v>0</v>
      </c>
      <c r="T484" s="31">
        <f>'mnt Data'!F487</f>
        <v>0</v>
      </c>
      <c r="U484" s="31">
        <f>'mnt Data'!G487</f>
        <v>0</v>
      </c>
      <c r="V484" s="31">
        <f>'mnt Data'!H487</f>
        <v>0</v>
      </c>
      <c r="W484" s="31">
        <f>'mnt Data'!I487</f>
        <v>0</v>
      </c>
      <c r="X484" s="31">
        <f>'mnt Data'!J487</f>
        <v>0</v>
      </c>
      <c r="Y484" s="31">
        <f>'mnt Data'!K487</f>
        <v>0</v>
      </c>
      <c r="Z484" s="31">
        <f>'mnt Data'!L487</f>
        <v>0</v>
      </c>
      <c r="AA484" s="31">
        <f>'mnt Data'!M487</f>
        <v>0</v>
      </c>
      <c r="AB484" s="31">
        <f>'mnt Data'!N487</f>
        <v>0</v>
      </c>
      <c r="AC484" s="31">
        <f>'mnt Data'!O487</f>
        <v>0</v>
      </c>
      <c r="AD484" s="31">
        <f>'mnt Data'!P487</f>
        <v>0</v>
      </c>
      <c r="AE484" s="31">
        <f>'mnt Data'!Q487</f>
        <v>0</v>
      </c>
      <c r="AF484" s="31">
        <f>'mnt Data'!R487</f>
        <v>0</v>
      </c>
      <c r="AG484" s="31">
        <f>'mnt Data'!S487</f>
        <v>0</v>
      </c>
      <c r="AH484" s="31">
        <f>'mnt Data'!T487</f>
        <v>0</v>
      </c>
      <c r="AI484" s="31">
        <f>'mnt Data'!U487</f>
        <v>0</v>
      </c>
      <c r="AJ484" s="31">
        <f>'mnt Data'!V487</f>
        <v>0</v>
      </c>
      <c r="AK484" s="31">
        <f>'mnt Data'!W487</f>
        <v>0</v>
      </c>
      <c r="AL484" s="31">
        <f>'mnt Data'!X487</f>
        <v>0</v>
      </c>
      <c r="AM484" s="31">
        <f>'mnt Data'!Y487</f>
        <v>0</v>
      </c>
      <c r="AN484" s="31">
        <f>'mnt Data'!Z487</f>
        <v>0</v>
      </c>
      <c r="AO484" s="31">
        <f>'mnt Data'!AA487</f>
        <v>0</v>
      </c>
      <c r="AP484" s="31">
        <f>'mnt Data'!AB487</f>
        <v>0</v>
      </c>
      <c r="AQ484" s="31">
        <f>'mnt Data'!AC487</f>
        <v>0</v>
      </c>
      <c r="AR484" s="31">
        <f>'mnt Data'!AD487</f>
        <v>0</v>
      </c>
      <c r="AS484" s="31">
        <f>'mnt Data'!AE487</f>
        <v>0</v>
      </c>
      <c r="AT484" s="31">
        <f>'mnt Data'!AF487</f>
        <v>0</v>
      </c>
      <c r="AU484" s="31">
        <f>'mnt Data'!AG487</f>
        <v>0</v>
      </c>
      <c r="AV484" s="31">
        <f>'mnt Data'!AH487</f>
        <v>0</v>
      </c>
      <c r="AW484" s="31">
        <f>'mnt Data'!AI487</f>
        <v>0</v>
      </c>
      <c r="AX484" s="31">
        <f>'mnt Data'!AJ487</f>
        <v>0</v>
      </c>
      <c r="AY484" s="31">
        <f>'mnt Data'!AK487</f>
        <v>0</v>
      </c>
    </row>
    <row r="485" spans="1:51" x14ac:dyDescent="0.25">
      <c r="A485">
        <v>484</v>
      </c>
      <c r="B485" s="32">
        <f t="shared" si="84"/>
        <v>0</v>
      </c>
      <c r="C485" s="32">
        <f t="shared" si="85"/>
        <v>0</v>
      </c>
      <c r="D485" s="32" t="str">
        <f t="shared" si="89"/>
        <v>No Gs</v>
      </c>
      <c r="E485" s="32">
        <f t="shared" si="93"/>
        <v>0</v>
      </c>
      <c r="F485" s="32" t="str">
        <f t="shared" si="94"/>
        <v>No Gs</v>
      </c>
      <c r="G485" s="32" t="str">
        <f t="shared" si="95"/>
        <v>No Gs</v>
      </c>
      <c r="H485" s="32" t="str">
        <f t="shared" si="86"/>
        <v>Gs is needed</v>
      </c>
      <c r="I485" s="32" t="str">
        <f t="shared" si="87"/>
        <v>Gs is needed</v>
      </c>
      <c r="J485" s="32" t="str">
        <f t="shared" si="88"/>
        <v>Gs is needed</v>
      </c>
      <c r="K485" s="32" t="str">
        <f t="shared" si="90"/>
        <v>Need Max and Min</v>
      </c>
      <c r="L485" s="32" t="str">
        <f t="shared" si="91"/>
        <v>Need Max and Min</v>
      </c>
      <c r="M485" s="32" t="str">
        <f t="shared" si="92"/>
        <v>Fail</v>
      </c>
      <c r="N485" s="32"/>
      <c r="O485" s="31">
        <f>'mnt Data'!A488</f>
        <v>0</v>
      </c>
      <c r="P485" s="31">
        <f>'mnt Data'!B488</f>
        <v>0</v>
      </c>
      <c r="Q485" s="31">
        <f>'mnt Data'!C488</f>
        <v>0</v>
      </c>
      <c r="R485" s="31">
        <f>'mnt Data'!D488</f>
        <v>0</v>
      </c>
      <c r="S485" s="31">
        <f>'mnt Data'!E488</f>
        <v>0</v>
      </c>
      <c r="T485" s="31">
        <f>'mnt Data'!F488</f>
        <v>0</v>
      </c>
      <c r="U485" s="31">
        <f>'mnt Data'!G488</f>
        <v>0</v>
      </c>
      <c r="V485" s="31">
        <f>'mnt Data'!H488</f>
        <v>0</v>
      </c>
      <c r="W485" s="31">
        <f>'mnt Data'!I488</f>
        <v>0</v>
      </c>
      <c r="X485" s="31">
        <f>'mnt Data'!J488</f>
        <v>0</v>
      </c>
      <c r="Y485" s="31">
        <f>'mnt Data'!K488</f>
        <v>0</v>
      </c>
      <c r="Z485" s="31">
        <f>'mnt Data'!L488</f>
        <v>0</v>
      </c>
      <c r="AA485" s="31">
        <f>'mnt Data'!M488</f>
        <v>0</v>
      </c>
      <c r="AB485" s="31">
        <f>'mnt Data'!N488</f>
        <v>0</v>
      </c>
      <c r="AC485" s="31">
        <f>'mnt Data'!O488</f>
        <v>0</v>
      </c>
      <c r="AD485" s="31">
        <f>'mnt Data'!P488</f>
        <v>0</v>
      </c>
      <c r="AE485" s="31">
        <f>'mnt Data'!Q488</f>
        <v>0</v>
      </c>
      <c r="AF485" s="31">
        <f>'mnt Data'!R488</f>
        <v>0</v>
      </c>
      <c r="AG485" s="31">
        <f>'mnt Data'!S488</f>
        <v>0</v>
      </c>
      <c r="AH485" s="31">
        <f>'mnt Data'!T488</f>
        <v>0</v>
      </c>
      <c r="AI485" s="31">
        <f>'mnt Data'!U488</f>
        <v>0</v>
      </c>
      <c r="AJ485" s="31">
        <f>'mnt Data'!V488</f>
        <v>0</v>
      </c>
      <c r="AK485" s="31">
        <f>'mnt Data'!W488</f>
        <v>0</v>
      </c>
      <c r="AL485" s="31">
        <f>'mnt Data'!X488</f>
        <v>0</v>
      </c>
      <c r="AM485" s="31">
        <f>'mnt Data'!Y488</f>
        <v>0</v>
      </c>
      <c r="AN485" s="31">
        <f>'mnt Data'!Z488</f>
        <v>0</v>
      </c>
      <c r="AO485" s="31">
        <f>'mnt Data'!AA488</f>
        <v>0</v>
      </c>
      <c r="AP485" s="31">
        <f>'mnt Data'!AB488</f>
        <v>0</v>
      </c>
      <c r="AQ485" s="31">
        <f>'mnt Data'!AC488</f>
        <v>0</v>
      </c>
      <c r="AR485" s="31">
        <f>'mnt Data'!AD488</f>
        <v>0</v>
      </c>
      <c r="AS485" s="31">
        <f>'mnt Data'!AE488</f>
        <v>0</v>
      </c>
      <c r="AT485" s="31">
        <f>'mnt Data'!AF488</f>
        <v>0</v>
      </c>
      <c r="AU485" s="31">
        <f>'mnt Data'!AG488</f>
        <v>0</v>
      </c>
      <c r="AV485" s="31">
        <f>'mnt Data'!AH488</f>
        <v>0</v>
      </c>
      <c r="AW485" s="31">
        <f>'mnt Data'!AI488</f>
        <v>0</v>
      </c>
      <c r="AX485" s="31">
        <f>'mnt Data'!AJ488</f>
        <v>0</v>
      </c>
      <c r="AY485" s="31">
        <f>'mnt Data'!AK488</f>
        <v>0</v>
      </c>
    </row>
    <row r="486" spans="1:51" x14ac:dyDescent="0.25">
      <c r="A486">
        <v>485</v>
      </c>
      <c r="B486" s="32">
        <f t="shared" si="84"/>
        <v>0</v>
      </c>
      <c r="C486" s="32">
        <f t="shared" si="85"/>
        <v>0</v>
      </c>
      <c r="D486" s="32" t="str">
        <f t="shared" si="89"/>
        <v>No Gs</v>
      </c>
      <c r="E486" s="32">
        <f t="shared" si="93"/>
        <v>0</v>
      </c>
      <c r="F486" s="32" t="str">
        <f t="shared" si="94"/>
        <v>No Gs</v>
      </c>
      <c r="G486" s="32" t="str">
        <f t="shared" si="95"/>
        <v>No Gs</v>
      </c>
      <c r="H486" s="32" t="str">
        <f t="shared" si="86"/>
        <v>Gs is needed</v>
      </c>
      <c r="I486" s="32" t="str">
        <f t="shared" si="87"/>
        <v>Gs is needed</v>
      </c>
      <c r="J486" s="32" t="str">
        <f t="shared" si="88"/>
        <v>Gs is needed</v>
      </c>
      <c r="K486" s="32" t="str">
        <f t="shared" si="90"/>
        <v>Need Max and Min</v>
      </c>
      <c r="L486" s="32" t="str">
        <f t="shared" si="91"/>
        <v>Need Max and Min</v>
      </c>
      <c r="M486" s="32" t="str">
        <f t="shared" si="92"/>
        <v>Fail</v>
      </c>
      <c r="N486" s="32"/>
      <c r="O486" s="31">
        <f>'mnt Data'!A489</f>
        <v>0</v>
      </c>
      <c r="P486" s="31">
        <f>'mnt Data'!B489</f>
        <v>0</v>
      </c>
      <c r="Q486" s="31">
        <f>'mnt Data'!C489</f>
        <v>0</v>
      </c>
      <c r="R486" s="31">
        <f>'mnt Data'!D489</f>
        <v>0</v>
      </c>
      <c r="S486" s="31">
        <f>'mnt Data'!E489</f>
        <v>0</v>
      </c>
      <c r="T486" s="31">
        <f>'mnt Data'!F489</f>
        <v>0</v>
      </c>
      <c r="U486" s="31">
        <f>'mnt Data'!G489</f>
        <v>0</v>
      </c>
      <c r="V486" s="31">
        <f>'mnt Data'!H489</f>
        <v>0</v>
      </c>
      <c r="W486" s="31">
        <f>'mnt Data'!I489</f>
        <v>0</v>
      </c>
      <c r="X486" s="31">
        <f>'mnt Data'!J489</f>
        <v>0</v>
      </c>
      <c r="Y486" s="31">
        <f>'mnt Data'!K489</f>
        <v>0</v>
      </c>
      <c r="Z486" s="31">
        <f>'mnt Data'!L489</f>
        <v>0</v>
      </c>
      <c r="AA486" s="31">
        <f>'mnt Data'!M489</f>
        <v>0</v>
      </c>
      <c r="AB486" s="31">
        <f>'mnt Data'!N489</f>
        <v>0</v>
      </c>
      <c r="AC486" s="31">
        <f>'mnt Data'!O489</f>
        <v>0</v>
      </c>
      <c r="AD486" s="31">
        <f>'mnt Data'!P489</f>
        <v>0</v>
      </c>
      <c r="AE486" s="31">
        <f>'mnt Data'!Q489</f>
        <v>0</v>
      </c>
      <c r="AF486" s="31">
        <f>'mnt Data'!R489</f>
        <v>0</v>
      </c>
      <c r="AG486" s="31">
        <f>'mnt Data'!S489</f>
        <v>0</v>
      </c>
      <c r="AH486" s="31">
        <f>'mnt Data'!T489</f>
        <v>0</v>
      </c>
      <c r="AI486" s="31">
        <f>'mnt Data'!U489</f>
        <v>0</v>
      </c>
      <c r="AJ486" s="31">
        <f>'mnt Data'!V489</f>
        <v>0</v>
      </c>
      <c r="AK486" s="31">
        <f>'mnt Data'!W489</f>
        <v>0</v>
      </c>
      <c r="AL486" s="31">
        <f>'mnt Data'!X489</f>
        <v>0</v>
      </c>
      <c r="AM486" s="31">
        <f>'mnt Data'!Y489</f>
        <v>0</v>
      </c>
      <c r="AN486" s="31">
        <f>'mnt Data'!Z489</f>
        <v>0</v>
      </c>
      <c r="AO486" s="31">
        <f>'mnt Data'!AA489</f>
        <v>0</v>
      </c>
      <c r="AP486" s="31">
        <f>'mnt Data'!AB489</f>
        <v>0</v>
      </c>
      <c r="AQ486" s="31">
        <f>'mnt Data'!AC489</f>
        <v>0</v>
      </c>
      <c r="AR486" s="31">
        <f>'mnt Data'!AD489</f>
        <v>0</v>
      </c>
      <c r="AS486" s="31">
        <f>'mnt Data'!AE489</f>
        <v>0</v>
      </c>
      <c r="AT486" s="31">
        <f>'mnt Data'!AF489</f>
        <v>0</v>
      </c>
      <c r="AU486" s="31">
        <f>'mnt Data'!AG489</f>
        <v>0</v>
      </c>
      <c r="AV486" s="31">
        <f>'mnt Data'!AH489</f>
        <v>0</v>
      </c>
      <c r="AW486" s="31">
        <f>'mnt Data'!AI489</f>
        <v>0</v>
      </c>
      <c r="AX486" s="31">
        <f>'mnt Data'!AJ489</f>
        <v>0</v>
      </c>
      <c r="AY486" s="31">
        <f>'mnt Data'!AK489</f>
        <v>0</v>
      </c>
    </row>
    <row r="487" spans="1:51" x14ac:dyDescent="0.25">
      <c r="A487">
        <v>486</v>
      </c>
      <c r="B487" s="32">
        <f t="shared" si="84"/>
        <v>0</v>
      </c>
      <c r="C487" s="32">
        <f t="shared" si="85"/>
        <v>0</v>
      </c>
      <c r="D487" s="32" t="str">
        <f t="shared" si="89"/>
        <v>No Gs</v>
      </c>
      <c r="E487" s="32">
        <f t="shared" si="93"/>
        <v>0</v>
      </c>
      <c r="F487" s="32" t="str">
        <f t="shared" si="94"/>
        <v>No Gs</v>
      </c>
      <c r="G487" s="32" t="str">
        <f t="shared" si="95"/>
        <v>No Gs</v>
      </c>
      <c r="H487" s="32" t="str">
        <f t="shared" si="86"/>
        <v>Gs is needed</v>
      </c>
      <c r="I487" s="32" t="str">
        <f t="shared" si="87"/>
        <v>Gs is needed</v>
      </c>
      <c r="J487" s="32" t="str">
        <f t="shared" si="88"/>
        <v>Gs is needed</v>
      </c>
      <c r="K487" s="32" t="str">
        <f t="shared" si="90"/>
        <v>Need Max and Min</v>
      </c>
      <c r="L487" s="32" t="str">
        <f t="shared" si="91"/>
        <v>Need Max and Min</v>
      </c>
      <c r="M487" s="32" t="str">
        <f t="shared" si="92"/>
        <v>Fail</v>
      </c>
      <c r="N487" s="32"/>
      <c r="O487" s="31">
        <f>'mnt Data'!A490</f>
        <v>0</v>
      </c>
      <c r="P487" s="31">
        <f>'mnt Data'!B490</f>
        <v>0</v>
      </c>
      <c r="Q487" s="31">
        <f>'mnt Data'!C490</f>
        <v>0</v>
      </c>
      <c r="R487" s="31">
        <f>'mnt Data'!D490</f>
        <v>0</v>
      </c>
      <c r="S487" s="31">
        <f>'mnt Data'!E490</f>
        <v>0</v>
      </c>
      <c r="T487" s="31">
        <f>'mnt Data'!F490</f>
        <v>0</v>
      </c>
      <c r="U487" s="31">
        <f>'mnt Data'!G490</f>
        <v>0</v>
      </c>
      <c r="V487" s="31">
        <f>'mnt Data'!H490</f>
        <v>0</v>
      </c>
      <c r="W487" s="31">
        <f>'mnt Data'!I490</f>
        <v>0</v>
      </c>
      <c r="X487" s="31">
        <f>'mnt Data'!J490</f>
        <v>0</v>
      </c>
      <c r="Y487" s="31">
        <f>'mnt Data'!K490</f>
        <v>0</v>
      </c>
      <c r="Z487" s="31">
        <f>'mnt Data'!L490</f>
        <v>0</v>
      </c>
      <c r="AA487" s="31">
        <f>'mnt Data'!M490</f>
        <v>0</v>
      </c>
      <c r="AB487" s="31">
        <f>'mnt Data'!N490</f>
        <v>0</v>
      </c>
      <c r="AC487" s="31">
        <f>'mnt Data'!O490</f>
        <v>0</v>
      </c>
      <c r="AD487" s="31">
        <f>'mnt Data'!P490</f>
        <v>0</v>
      </c>
      <c r="AE487" s="31">
        <f>'mnt Data'!Q490</f>
        <v>0</v>
      </c>
      <c r="AF487" s="31">
        <f>'mnt Data'!R490</f>
        <v>0</v>
      </c>
      <c r="AG487" s="31">
        <f>'mnt Data'!S490</f>
        <v>0</v>
      </c>
      <c r="AH487" s="31">
        <f>'mnt Data'!T490</f>
        <v>0</v>
      </c>
      <c r="AI487" s="31">
        <f>'mnt Data'!U490</f>
        <v>0</v>
      </c>
      <c r="AJ487" s="31">
        <f>'mnt Data'!V490</f>
        <v>0</v>
      </c>
      <c r="AK487" s="31">
        <f>'mnt Data'!W490</f>
        <v>0</v>
      </c>
      <c r="AL487" s="31">
        <f>'mnt Data'!X490</f>
        <v>0</v>
      </c>
      <c r="AM487" s="31">
        <f>'mnt Data'!Y490</f>
        <v>0</v>
      </c>
      <c r="AN487" s="31">
        <f>'mnt Data'!Z490</f>
        <v>0</v>
      </c>
      <c r="AO487" s="31">
        <f>'mnt Data'!AA490</f>
        <v>0</v>
      </c>
      <c r="AP487" s="31">
        <f>'mnt Data'!AB490</f>
        <v>0</v>
      </c>
      <c r="AQ487" s="31">
        <f>'mnt Data'!AC490</f>
        <v>0</v>
      </c>
      <c r="AR487" s="31">
        <f>'mnt Data'!AD490</f>
        <v>0</v>
      </c>
      <c r="AS487" s="31">
        <f>'mnt Data'!AE490</f>
        <v>0</v>
      </c>
      <c r="AT487" s="31">
        <f>'mnt Data'!AF490</f>
        <v>0</v>
      </c>
      <c r="AU487" s="31">
        <f>'mnt Data'!AG490</f>
        <v>0</v>
      </c>
      <c r="AV487" s="31">
        <f>'mnt Data'!AH490</f>
        <v>0</v>
      </c>
      <c r="AW487" s="31">
        <f>'mnt Data'!AI490</f>
        <v>0</v>
      </c>
      <c r="AX487" s="31">
        <f>'mnt Data'!AJ490</f>
        <v>0</v>
      </c>
      <c r="AY487" s="31">
        <f>'mnt Data'!AK490</f>
        <v>0</v>
      </c>
    </row>
    <row r="488" spans="1:51" x14ac:dyDescent="0.25">
      <c r="A488">
        <v>487</v>
      </c>
      <c r="B488" s="32">
        <f t="shared" si="84"/>
        <v>0</v>
      </c>
      <c r="C488" s="32">
        <f t="shared" si="85"/>
        <v>0</v>
      </c>
      <c r="D488" s="32" t="str">
        <f t="shared" si="89"/>
        <v>No Gs</v>
      </c>
      <c r="E488" s="32">
        <f t="shared" si="93"/>
        <v>0</v>
      </c>
      <c r="F488" s="32" t="str">
        <f t="shared" si="94"/>
        <v>No Gs</v>
      </c>
      <c r="G488" s="32" t="str">
        <f t="shared" si="95"/>
        <v>No Gs</v>
      </c>
      <c r="H488" s="32" t="str">
        <f t="shared" si="86"/>
        <v>Gs is needed</v>
      </c>
      <c r="I488" s="32" t="str">
        <f t="shared" si="87"/>
        <v>Gs is needed</v>
      </c>
      <c r="J488" s="32" t="str">
        <f t="shared" si="88"/>
        <v>Gs is needed</v>
      </c>
      <c r="K488" s="32" t="str">
        <f t="shared" si="90"/>
        <v>Need Max and Min</v>
      </c>
      <c r="L488" s="32" t="str">
        <f t="shared" si="91"/>
        <v>Need Max and Min</v>
      </c>
      <c r="M488" s="32" t="str">
        <f t="shared" si="92"/>
        <v>Fail</v>
      </c>
      <c r="N488" s="32"/>
      <c r="O488" s="31">
        <f>'mnt Data'!A491</f>
        <v>0</v>
      </c>
      <c r="P488" s="31">
        <f>'mnt Data'!B491</f>
        <v>0</v>
      </c>
      <c r="Q488" s="31">
        <f>'mnt Data'!C491</f>
        <v>0</v>
      </c>
      <c r="R488" s="31">
        <f>'mnt Data'!D491</f>
        <v>0</v>
      </c>
      <c r="S488" s="31">
        <f>'mnt Data'!E491</f>
        <v>0</v>
      </c>
      <c r="T488" s="31">
        <f>'mnt Data'!F491</f>
        <v>0</v>
      </c>
      <c r="U488" s="31">
        <f>'mnt Data'!G491</f>
        <v>0</v>
      </c>
      <c r="V488" s="31">
        <f>'mnt Data'!H491</f>
        <v>0</v>
      </c>
      <c r="W488" s="31">
        <f>'mnt Data'!I491</f>
        <v>0</v>
      </c>
      <c r="X488" s="31">
        <f>'mnt Data'!J491</f>
        <v>0</v>
      </c>
      <c r="Y488" s="31">
        <f>'mnt Data'!K491</f>
        <v>0</v>
      </c>
      <c r="Z488" s="31">
        <f>'mnt Data'!L491</f>
        <v>0</v>
      </c>
      <c r="AA488" s="31">
        <f>'mnt Data'!M491</f>
        <v>0</v>
      </c>
      <c r="AB488" s="31">
        <f>'mnt Data'!N491</f>
        <v>0</v>
      </c>
      <c r="AC488" s="31">
        <f>'mnt Data'!O491</f>
        <v>0</v>
      </c>
      <c r="AD488" s="31">
        <f>'mnt Data'!P491</f>
        <v>0</v>
      </c>
      <c r="AE488" s="31">
        <f>'mnt Data'!Q491</f>
        <v>0</v>
      </c>
      <c r="AF488" s="31">
        <f>'mnt Data'!R491</f>
        <v>0</v>
      </c>
      <c r="AG488" s="31">
        <f>'mnt Data'!S491</f>
        <v>0</v>
      </c>
      <c r="AH488" s="31">
        <f>'mnt Data'!T491</f>
        <v>0</v>
      </c>
      <c r="AI488" s="31">
        <f>'mnt Data'!U491</f>
        <v>0</v>
      </c>
      <c r="AJ488" s="31">
        <f>'mnt Data'!V491</f>
        <v>0</v>
      </c>
      <c r="AK488" s="31">
        <f>'mnt Data'!W491</f>
        <v>0</v>
      </c>
      <c r="AL488" s="31">
        <f>'mnt Data'!X491</f>
        <v>0</v>
      </c>
      <c r="AM488" s="31">
        <f>'mnt Data'!Y491</f>
        <v>0</v>
      </c>
      <c r="AN488" s="31">
        <f>'mnt Data'!Z491</f>
        <v>0</v>
      </c>
      <c r="AO488" s="31">
        <f>'mnt Data'!AA491</f>
        <v>0</v>
      </c>
      <c r="AP488" s="31">
        <f>'mnt Data'!AB491</f>
        <v>0</v>
      </c>
      <c r="AQ488" s="31">
        <f>'mnt Data'!AC491</f>
        <v>0</v>
      </c>
      <c r="AR488" s="31">
        <f>'mnt Data'!AD491</f>
        <v>0</v>
      </c>
      <c r="AS488" s="31">
        <f>'mnt Data'!AE491</f>
        <v>0</v>
      </c>
      <c r="AT488" s="31">
        <f>'mnt Data'!AF491</f>
        <v>0</v>
      </c>
      <c r="AU488" s="31">
        <f>'mnt Data'!AG491</f>
        <v>0</v>
      </c>
      <c r="AV488" s="31">
        <f>'mnt Data'!AH491</f>
        <v>0</v>
      </c>
      <c r="AW488" s="31">
        <f>'mnt Data'!AI491</f>
        <v>0</v>
      </c>
      <c r="AX488" s="31">
        <f>'mnt Data'!AJ491</f>
        <v>0</v>
      </c>
      <c r="AY488" s="31">
        <f>'mnt Data'!AK491</f>
        <v>0</v>
      </c>
    </row>
    <row r="489" spans="1:51" x14ac:dyDescent="0.25">
      <c r="A489">
        <v>488</v>
      </c>
      <c r="B489" s="32">
        <f t="shared" ref="B489:B502" si="96">O489</f>
        <v>0</v>
      </c>
      <c r="C489" s="32">
        <f t="shared" ref="C489:C502" si="97">O489*(Q489/100)</f>
        <v>0</v>
      </c>
      <c r="D489" s="32" t="str">
        <f t="shared" si="89"/>
        <v>No Gs</v>
      </c>
      <c r="E489" s="32">
        <f t="shared" si="93"/>
        <v>0</v>
      </c>
      <c r="F489" s="32" t="str">
        <f t="shared" si="94"/>
        <v>No Gs</v>
      </c>
      <c r="G489" s="32" t="str">
        <f t="shared" si="95"/>
        <v>No Gs</v>
      </c>
      <c r="H489" s="32" t="str">
        <f t="shared" ref="H489:H502" si="98">IFERROR(E489/G489,"Gs is needed")</f>
        <v>Gs is needed</v>
      </c>
      <c r="I489" s="32" t="str">
        <f t="shared" ref="I489:I502" si="99">IFERROR(G489/1,"Gs is needed")</f>
        <v>Gs is needed</v>
      </c>
      <c r="J489" s="32" t="str">
        <f t="shared" ref="J489:J502" si="100">IFERROR(G489/D489,"Gs is needed")</f>
        <v>Gs is needed</v>
      </c>
      <c r="K489" s="32" t="str">
        <f t="shared" si="90"/>
        <v>Need Max and Min</v>
      </c>
      <c r="L489" s="32" t="str">
        <f t="shared" si="91"/>
        <v>Need Max and Min</v>
      </c>
      <c r="M489" s="32" t="str">
        <f t="shared" si="92"/>
        <v>Fail</v>
      </c>
      <c r="N489" s="32"/>
      <c r="O489" s="31">
        <f>'mnt Data'!A492</f>
        <v>0</v>
      </c>
      <c r="P489" s="31">
        <f>'mnt Data'!B492</f>
        <v>0</v>
      </c>
      <c r="Q489" s="31">
        <f>'mnt Data'!C492</f>
        <v>0</v>
      </c>
      <c r="R489" s="31">
        <f>'mnt Data'!D492</f>
        <v>0</v>
      </c>
      <c r="S489" s="31">
        <f>'mnt Data'!E492</f>
        <v>0</v>
      </c>
      <c r="T489" s="31">
        <f>'mnt Data'!F492</f>
        <v>0</v>
      </c>
      <c r="U489" s="31">
        <f>'mnt Data'!G492</f>
        <v>0</v>
      </c>
      <c r="V489" s="31">
        <f>'mnt Data'!H492</f>
        <v>0</v>
      </c>
      <c r="W489" s="31">
        <f>'mnt Data'!I492</f>
        <v>0</v>
      </c>
      <c r="X489" s="31">
        <f>'mnt Data'!J492</f>
        <v>0</v>
      </c>
      <c r="Y489" s="31">
        <f>'mnt Data'!K492</f>
        <v>0</v>
      </c>
      <c r="Z489" s="31">
        <f>'mnt Data'!L492</f>
        <v>0</v>
      </c>
      <c r="AA489" s="31">
        <f>'mnt Data'!M492</f>
        <v>0</v>
      </c>
      <c r="AB489" s="31">
        <f>'mnt Data'!N492</f>
        <v>0</v>
      </c>
      <c r="AC489" s="31">
        <f>'mnt Data'!O492</f>
        <v>0</v>
      </c>
      <c r="AD489" s="31">
        <f>'mnt Data'!P492</f>
        <v>0</v>
      </c>
      <c r="AE489" s="31">
        <f>'mnt Data'!Q492</f>
        <v>0</v>
      </c>
      <c r="AF489" s="31">
        <f>'mnt Data'!R492</f>
        <v>0</v>
      </c>
      <c r="AG489" s="31">
        <f>'mnt Data'!S492</f>
        <v>0</v>
      </c>
      <c r="AH489" s="31">
        <f>'mnt Data'!T492</f>
        <v>0</v>
      </c>
      <c r="AI489" s="31">
        <f>'mnt Data'!U492</f>
        <v>0</v>
      </c>
      <c r="AJ489" s="31">
        <f>'mnt Data'!V492</f>
        <v>0</v>
      </c>
      <c r="AK489" s="31">
        <f>'mnt Data'!W492</f>
        <v>0</v>
      </c>
      <c r="AL489" s="31">
        <f>'mnt Data'!X492</f>
        <v>0</v>
      </c>
      <c r="AM489" s="31">
        <f>'mnt Data'!Y492</f>
        <v>0</v>
      </c>
      <c r="AN489" s="31">
        <f>'mnt Data'!Z492</f>
        <v>0</v>
      </c>
      <c r="AO489" s="31">
        <f>'mnt Data'!AA492</f>
        <v>0</v>
      </c>
      <c r="AP489" s="31">
        <f>'mnt Data'!AB492</f>
        <v>0</v>
      </c>
      <c r="AQ489" s="31">
        <f>'mnt Data'!AC492</f>
        <v>0</v>
      </c>
      <c r="AR489" s="31">
        <f>'mnt Data'!AD492</f>
        <v>0</v>
      </c>
      <c r="AS489" s="31">
        <f>'mnt Data'!AE492</f>
        <v>0</v>
      </c>
      <c r="AT489" s="31">
        <f>'mnt Data'!AF492</f>
        <v>0</v>
      </c>
      <c r="AU489" s="31">
        <f>'mnt Data'!AG492</f>
        <v>0</v>
      </c>
      <c r="AV489" s="31">
        <f>'mnt Data'!AH492</f>
        <v>0</v>
      </c>
      <c r="AW489" s="31">
        <f>'mnt Data'!AI492</f>
        <v>0</v>
      </c>
      <c r="AX489" s="31">
        <f>'mnt Data'!AJ492</f>
        <v>0</v>
      </c>
      <c r="AY489" s="31">
        <f>'mnt Data'!AK492</f>
        <v>0</v>
      </c>
    </row>
    <row r="490" spans="1:51" x14ac:dyDescent="0.25">
      <c r="A490">
        <v>489</v>
      </c>
      <c r="B490" s="32">
        <f t="shared" si="96"/>
        <v>0</v>
      </c>
      <c r="C490" s="32">
        <f t="shared" si="97"/>
        <v>0</v>
      </c>
      <c r="D490" s="32" t="str">
        <f t="shared" si="89"/>
        <v>No Gs</v>
      </c>
      <c r="E490" s="32">
        <f t="shared" si="93"/>
        <v>0</v>
      </c>
      <c r="F490" s="32" t="str">
        <f t="shared" si="94"/>
        <v>No Gs</v>
      </c>
      <c r="G490" s="32" t="str">
        <f t="shared" si="95"/>
        <v>No Gs</v>
      </c>
      <c r="H490" s="32" t="str">
        <f t="shared" si="98"/>
        <v>Gs is needed</v>
      </c>
      <c r="I490" s="32" t="str">
        <f t="shared" si="99"/>
        <v>Gs is needed</v>
      </c>
      <c r="J490" s="32" t="str">
        <f t="shared" si="100"/>
        <v>Gs is needed</v>
      </c>
      <c r="K490" s="32" t="str">
        <f t="shared" si="90"/>
        <v>Need Max and Min</v>
      </c>
      <c r="L490" s="32" t="str">
        <f t="shared" si="91"/>
        <v>Need Max and Min</v>
      </c>
      <c r="M490" s="32" t="str">
        <f t="shared" si="92"/>
        <v>Fail</v>
      </c>
      <c r="N490" s="32"/>
      <c r="O490" s="31">
        <f>'mnt Data'!A493</f>
        <v>0</v>
      </c>
      <c r="P490" s="31">
        <f>'mnt Data'!B493</f>
        <v>0</v>
      </c>
      <c r="Q490" s="31">
        <f>'mnt Data'!C493</f>
        <v>0</v>
      </c>
      <c r="R490" s="31">
        <f>'mnt Data'!D493</f>
        <v>0</v>
      </c>
      <c r="S490" s="31">
        <f>'mnt Data'!E493</f>
        <v>0</v>
      </c>
      <c r="T490" s="31">
        <f>'mnt Data'!F493</f>
        <v>0</v>
      </c>
      <c r="U490" s="31">
        <f>'mnt Data'!G493</f>
        <v>0</v>
      </c>
      <c r="V490" s="31">
        <f>'mnt Data'!H493</f>
        <v>0</v>
      </c>
      <c r="W490" s="31">
        <f>'mnt Data'!I493</f>
        <v>0</v>
      </c>
      <c r="X490" s="31">
        <f>'mnt Data'!J493</f>
        <v>0</v>
      </c>
      <c r="Y490" s="31">
        <f>'mnt Data'!K493</f>
        <v>0</v>
      </c>
      <c r="Z490" s="31">
        <f>'mnt Data'!L493</f>
        <v>0</v>
      </c>
      <c r="AA490" s="31">
        <f>'mnt Data'!M493</f>
        <v>0</v>
      </c>
      <c r="AB490" s="31">
        <f>'mnt Data'!N493</f>
        <v>0</v>
      </c>
      <c r="AC490" s="31">
        <f>'mnt Data'!O493</f>
        <v>0</v>
      </c>
      <c r="AD490" s="31">
        <f>'mnt Data'!P493</f>
        <v>0</v>
      </c>
      <c r="AE490" s="31">
        <f>'mnt Data'!Q493</f>
        <v>0</v>
      </c>
      <c r="AF490" s="31">
        <f>'mnt Data'!R493</f>
        <v>0</v>
      </c>
      <c r="AG490" s="31">
        <f>'mnt Data'!S493</f>
        <v>0</v>
      </c>
      <c r="AH490" s="31">
        <f>'mnt Data'!T493</f>
        <v>0</v>
      </c>
      <c r="AI490" s="31">
        <f>'mnt Data'!U493</f>
        <v>0</v>
      </c>
      <c r="AJ490" s="31">
        <f>'mnt Data'!V493</f>
        <v>0</v>
      </c>
      <c r="AK490" s="31">
        <f>'mnt Data'!W493</f>
        <v>0</v>
      </c>
      <c r="AL490" s="31">
        <f>'mnt Data'!X493</f>
        <v>0</v>
      </c>
      <c r="AM490" s="31">
        <f>'mnt Data'!Y493</f>
        <v>0</v>
      </c>
      <c r="AN490" s="31">
        <f>'mnt Data'!Z493</f>
        <v>0</v>
      </c>
      <c r="AO490" s="31">
        <f>'mnt Data'!AA493</f>
        <v>0</v>
      </c>
      <c r="AP490" s="31">
        <f>'mnt Data'!AB493</f>
        <v>0</v>
      </c>
      <c r="AQ490" s="31">
        <f>'mnt Data'!AC493</f>
        <v>0</v>
      </c>
      <c r="AR490" s="31">
        <f>'mnt Data'!AD493</f>
        <v>0</v>
      </c>
      <c r="AS490" s="31">
        <f>'mnt Data'!AE493</f>
        <v>0</v>
      </c>
      <c r="AT490" s="31">
        <f>'mnt Data'!AF493</f>
        <v>0</v>
      </c>
      <c r="AU490" s="31">
        <f>'mnt Data'!AG493</f>
        <v>0</v>
      </c>
      <c r="AV490" s="31">
        <f>'mnt Data'!AH493</f>
        <v>0</v>
      </c>
      <c r="AW490" s="31">
        <f>'mnt Data'!AI493</f>
        <v>0</v>
      </c>
      <c r="AX490" s="31">
        <f>'mnt Data'!AJ493</f>
        <v>0</v>
      </c>
      <c r="AY490" s="31">
        <f>'mnt Data'!AK493</f>
        <v>0</v>
      </c>
    </row>
    <row r="491" spans="1:51" x14ac:dyDescent="0.25">
      <c r="A491">
        <v>490</v>
      </c>
      <c r="B491" s="32">
        <f t="shared" si="96"/>
        <v>0</v>
      </c>
      <c r="C491" s="32">
        <f t="shared" si="97"/>
        <v>0</v>
      </c>
      <c r="D491" s="32" t="str">
        <f t="shared" si="89"/>
        <v>No Gs</v>
      </c>
      <c r="E491" s="32">
        <f t="shared" si="93"/>
        <v>0</v>
      </c>
      <c r="F491" s="32" t="str">
        <f t="shared" si="94"/>
        <v>No Gs</v>
      </c>
      <c r="G491" s="32" t="str">
        <f t="shared" si="95"/>
        <v>No Gs</v>
      </c>
      <c r="H491" s="32" t="str">
        <f t="shared" si="98"/>
        <v>Gs is needed</v>
      </c>
      <c r="I491" s="32" t="str">
        <f t="shared" si="99"/>
        <v>Gs is needed</v>
      </c>
      <c r="J491" s="32" t="str">
        <f t="shared" si="100"/>
        <v>Gs is needed</v>
      </c>
      <c r="K491" s="32" t="str">
        <f t="shared" si="90"/>
        <v>Need Max and Min</v>
      </c>
      <c r="L491" s="32" t="str">
        <f t="shared" si="91"/>
        <v>Need Max and Min</v>
      </c>
      <c r="M491" s="32" t="str">
        <f t="shared" si="92"/>
        <v>Fail</v>
      </c>
      <c r="N491" s="32"/>
      <c r="O491" s="31">
        <f>'mnt Data'!A494</f>
        <v>0</v>
      </c>
      <c r="P491" s="31">
        <f>'mnt Data'!B494</f>
        <v>0</v>
      </c>
      <c r="Q491" s="31">
        <f>'mnt Data'!C494</f>
        <v>0</v>
      </c>
      <c r="R491" s="31">
        <f>'mnt Data'!D494</f>
        <v>0</v>
      </c>
      <c r="S491" s="31">
        <f>'mnt Data'!E494</f>
        <v>0</v>
      </c>
      <c r="T491" s="31">
        <f>'mnt Data'!F494</f>
        <v>0</v>
      </c>
      <c r="U491" s="31">
        <f>'mnt Data'!G494</f>
        <v>0</v>
      </c>
      <c r="V491" s="31">
        <f>'mnt Data'!H494</f>
        <v>0</v>
      </c>
      <c r="W491" s="31">
        <f>'mnt Data'!I494</f>
        <v>0</v>
      </c>
      <c r="X491" s="31">
        <f>'mnt Data'!J494</f>
        <v>0</v>
      </c>
      <c r="Y491" s="31">
        <f>'mnt Data'!K494</f>
        <v>0</v>
      </c>
      <c r="Z491" s="31">
        <f>'mnt Data'!L494</f>
        <v>0</v>
      </c>
      <c r="AA491" s="31">
        <f>'mnt Data'!M494</f>
        <v>0</v>
      </c>
      <c r="AB491" s="31">
        <f>'mnt Data'!N494</f>
        <v>0</v>
      </c>
      <c r="AC491" s="31">
        <f>'mnt Data'!O494</f>
        <v>0</v>
      </c>
      <c r="AD491" s="31">
        <f>'mnt Data'!P494</f>
        <v>0</v>
      </c>
      <c r="AE491" s="31">
        <f>'mnt Data'!Q494</f>
        <v>0</v>
      </c>
      <c r="AF491" s="31">
        <f>'mnt Data'!R494</f>
        <v>0</v>
      </c>
      <c r="AG491" s="31">
        <f>'mnt Data'!S494</f>
        <v>0</v>
      </c>
      <c r="AH491" s="31">
        <f>'mnt Data'!T494</f>
        <v>0</v>
      </c>
      <c r="AI491" s="31">
        <f>'mnt Data'!U494</f>
        <v>0</v>
      </c>
      <c r="AJ491" s="31">
        <f>'mnt Data'!V494</f>
        <v>0</v>
      </c>
      <c r="AK491" s="31">
        <f>'mnt Data'!W494</f>
        <v>0</v>
      </c>
      <c r="AL491" s="31">
        <f>'mnt Data'!X494</f>
        <v>0</v>
      </c>
      <c r="AM491" s="31">
        <f>'mnt Data'!Y494</f>
        <v>0</v>
      </c>
      <c r="AN491" s="31">
        <f>'mnt Data'!Z494</f>
        <v>0</v>
      </c>
      <c r="AO491" s="31">
        <f>'mnt Data'!AA494</f>
        <v>0</v>
      </c>
      <c r="AP491" s="31">
        <f>'mnt Data'!AB494</f>
        <v>0</v>
      </c>
      <c r="AQ491" s="31">
        <f>'mnt Data'!AC494</f>
        <v>0</v>
      </c>
      <c r="AR491" s="31">
        <f>'mnt Data'!AD494</f>
        <v>0</v>
      </c>
      <c r="AS491" s="31">
        <f>'mnt Data'!AE494</f>
        <v>0</v>
      </c>
      <c r="AT491" s="31">
        <f>'mnt Data'!AF494</f>
        <v>0</v>
      </c>
      <c r="AU491" s="31">
        <f>'mnt Data'!AG494</f>
        <v>0</v>
      </c>
      <c r="AV491" s="31">
        <f>'mnt Data'!AH494</f>
        <v>0</v>
      </c>
      <c r="AW491" s="31">
        <f>'mnt Data'!AI494</f>
        <v>0</v>
      </c>
      <c r="AX491" s="31">
        <f>'mnt Data'!AJ494</f>
        <v>0</v>
      </c>
      <c r="AY491" s="31">
        <f>'mnt Data'!AK494</f>
        <v>0</v>
      </c>
    </row>
    <row r="492" spans="1:51" x14ac:dyDescent="0.25">
      <c r="A492">
        <v>491</v>
      </c>
      <c r="B492" s="32">
        <f t="shared" si="96"/>
        <v>0</v>
      </c>
      <c r="C492" s="32">
        <f t="shared" si="97"/>
        <v>0</v>
      </c>
      <c r="D492" s="32" t="str">
        <f t="shared" si="89"/>
        <v>No Gs</v>
      </c>
      <c r="E492" s="32">
        <f t="shared" si="93"/>
        <v>0</v>
      </c>
      <c r="F492" s="32" t="str">
        <f t="shared" si="94"/>
        <v>No Gs</v>
      </c>
      <c r="G492" s="32" t="str">
        <f t="shared" si="95"/>
        <v>No Gs</v>
      </c>
      <c r="H492" s="32" t="str">
        <f t="shared" si="98"/>
        <v>Gs is needed</v>
      </c>
      <c r="I492" s="32" t="str">
        <f t="shared" si="99"/>
        <v>Gs is needed</v>
      </c>
      <c r="J492" s="32" t="str">
        <f t="shared" si="100"/>
        <v>Gs is needed</v>
      </c>
      <c r="K492" s="32" t="str">
        <f t="shared" si="90"/>
        <v>Need Max and Min</v>
      </c>
      <c r="L492" s="32" t="str">
        <f t="shared" si="91"/>
        <v>Need Max and Min</v>
      </c>
      <c r="M492" s="32" t="str">
        <f t="shared" si="92"/>
        <v>Fail</v>
      </c>
      <c r="N492" s="32"/>
      <c r="O492" s="31">
        <f>'mnt Data'!A495</f>
        <v>0</v>
      </c>
      <c r="P492" s="31">
        <f>'mnt Data'!B495</f>
        <v>0</v>
      </c>
      <c r="Q492" s="31">
        <f>'mnt Data'!C495</f>
        <v>0</v>
      </c>
      <c r="R492" s="31">
        <f>'mnt Data'!D495</f>
        <v>0</v>
      </c>
      <c r="S492" s="31">
        <f>'mnt Data'!E495</f>
        <v>0</v>
      </c>
      <c r="T492" s="31">
        <f>'mnt Data'!F495</f>
        <v>0</v>
      </c>
      <c r="U492" s="31">
        <f>'mnt Data'!G495</f>
        <v>0</v>
      </c>
      <c r="V492" s="31">
        <f>'mnt Data'!H495</f>
        <v>0</v>
      </c>
      <c r="W492" s="31">
        <f>'mnt Data'!I495</f>
        <v>0</v>
      </c>
      <c r="X492" s="31">
        <f>'mnt Data'!J495</f>
        <v>0</v>
      </c>
      <c r="Y492" s="31">
        <f>'mnt Data'!K495</f>
        <v>0</v>
      </c>
      <c r="Z492" s="31">
        <f>'mnt Data'!L495</f>
        <v>0</v>
      </c>
      <c r="AA492" s="31">
        <f>'mnt Data'!M495</f>
        <v>0</v>
      </c>
      <c r="AB492" s="31">
        <f>'mnt Data'!N495</f>
        <v>0</v>
      </c>
      <c r="AC492" s="31">
        <f>'mnt Data'!O495</f>
        <v>0</v>
      </c>
      <c r="AD492" s="31">
        <f>'mnt Data'!P495</f>
        <v>0</v>
      </c>
      <c r="AE492" s="31">
        <f>'mnt Data'!Q495</f>
        <v>0</v>
      </c>
      <c r="AF492" s="31">
        <f>'mnt Data'!R495</f>
        <v>0</v>
      </c>
      <c r="AG492" s="31">
        <f>'mnt Data'!S495</f>
        <v>0</v>
      </c>
      <c r="AH492" s="31">
        <f>'mnt Data'!T495</f>
        <v>0</v>
      </c>
      <c r="AI492" s="31">
        <f>'mnt Data'!U495</f>
        <v>0</v>
      </c>
      <c r="AJ492" s="31">
        <f>'mnt Data'!V495</f>
        <v>0</v>
      </c>
      <c r="AK492" s="31">
        <f>'mnt Data'!W495</f>
        <v>0</v>
      </c>
      <c r="AL492" s="31">
        <f>'mnt Data'!X495</f>
        <v>0</v>
      </c>
      <c r="AM492" s="31">
        <f>'mnt Data'!Y495</f>
        <v>0</v>
      </c>
      <c r="AN492" s="31">
        <f>'mnt Data'!Z495</f>
        <v>0</v>
      </c>
      <c r="AO492" s="31">
        <f>'mnt Data'!AA495</f>
        <v>0</v>
      </c>
      <c r="AP492" s="31">
        <f>'mnt Data'!AB495</f>
        <v>0</v>
      </c>
      <c r="AQ492" s="31">
        <f>'mnt Data'!AC495</f>
        <v>0</v>
      </c>
      <c r="AR492" s="31">
        <f>'mnt Data'!AD495</f>
        <v>0</v>
      </c>
      <c r="AS492" s="31">
        <f>'mnt Data'!AE495</f>
        <v>0</v>
      </c>
      <c r="AT492" s="31">
        <f>'mnt Data'!AF495</f>
        <v>0</v>
      </c>
      <c r="AU492" s="31">
        <f>'mnt Data'!AG495</f>
        <v>0</v>
      </c>
      <c r="AV492" s="31">
        <f>'mnt Data'!AH495</f>
        <v>0</v>
      </c>
      <c r="AW492" s="31">
        <f>'mnt Data'!AI495</f>
        <v>0</v>
      </c>
      <c r="AX492" s="31">
        <f>'mnt Data'!AJ495</f>
        <v>0</v>
      </c>
      <c r="AY492" s="31">
        <f>'mnt Data'!AK495</f>
        <v>0</v>
      </c>
    </row>
    <row r="493" spans="1:51" x14ac:dyDescent="0.25">
      <c r="A493">
        <v>492</v>
      </c>
      <c r="B493" s="32">
        <f t="shared" si="96"/>
        <v>0</v>
      </c>
      <c r="C493" s="32">
        <f t="shared" si="97"/>
        <v>0</v>
      </c>
      <c r="D493" s="32" t="str">
        <f t="shared" si="89"/>
        <v>No Gs</v>
      </c>
      <c r="E493" s="32">
        <f t="shared" si="93"/>
        <v>0</v>
      </c>
      <c r="F493" s="32" t="str">
        <f t="shared" si="94"/>
        <v>No Gs</v>
      </c>
      <c r="G493" s="32" t="str">
        <f t="shared" si="95"/>
        <v>No Gs</v>
      </c>
      <c r="H493" s="32" t="str">
        <f t="shared" si="98"/>
        <v>Gs is needed</v>
      </c>
      <c r="I493" s="32" t="str">
        <f t="shared" si="99"/>
        <v>Gs is needed</v>
      </c>
      <c r="J493" s="32" t="str">
        <f t="shared" si="100"/>
        <v>Gs is needed</v>
      </c>
      <c r="K493" s="32" t="str">
        <f t="shared" si="90"/>
        <v>Need Max and Min</v>
      </c>
      <c r="L493" s="32" t="str">
        <f t="shared" si="91"/>
        <v>Need Max and Min</v>
      </c>
      <c r="M493" s="32" t="str">
        <f t="shared" si="92"/>
        <v>Fail</v>
      </c>
      <c r="N493" s="32"/>
      <c r="O493" s="31">
        <f>'mnt Data'!A496</f>
        <v>0</v>
      </c>
      <c r="P493" s="31">
        <f>'mnt Data'!B496</f>
        <v>0</v>
      </c>
      <c r="Q493" s="31">
        <f>'mnt Data'!C496</f>
        <v>0</v>
      </c>
      <c r="R493" s="31">
        <f>'mnt Data'!D496</f>
        <v>0</v>
      </c>
      <c r="S493" s="31">
        <f>'mnt Data'!E496</f>
        <v>0</v>
      </c>
      <c r="T493" s="31">
        <f>'mnt Data'!F496</f>
        <v>0</v>
      </c>
      <c r="U493" s="31">
        <f>'mnt Data'!G496</f>
        <v>0</v>
      </c>
      <c r="V493" s="31">
        <f>'mnt Data'!H496</f>
        <v>0</v>
      </c>
      <c r="W493" s="31">
        <f>'mnt Data'!I496</f>
        <v>0</v>
      </c>
      <c r="X493" s="31">
        <f>'mnt Data'!J496</f>
        <v>0</v>
      </c>
      <c r="Y493" s="31">
        <f>'mnt Data'!K496</f>
        <v>0</v>
      </c>
      <c r="Z493" s="31">
        <f>'mnt Data'!L496</f>
        <v>0</v>
      </c>
      <c r="AA493" s="31">
        <f>'mnt Data'!M496</f>
        <v>0</v>
      </c>
      <c r="AB493" s="31">
        <f>'mnt Data'!N496</f>
        <v>0</v>
      </c>
      <c r="AC493" s="31">
        <f>'mnt Data'!O496</f>
        <v>0</v>
      </c>
      <c r="AD493" s="31">
        <f>'mnt Data'!P496</f>
        <v>0</v>
      </c>
      <c r="AE493" s="31">
        <f>'mnt Data'!Q496</f>
        <v>0</v>
      </c>
      <c r="AF493" s="31">
        <f>'mnt Data'!R496</f>
        <v>0</v>
      </c>
      <c r="AG493" s="31">
        <f>'mnt Data'!S496</f>
        <v>0</v>
      </c>
      <c r="AH493" s="31">
        <f>'mnt Data'!T496</f>
        <v>0</v>
      </c>
      <c r="AI493" s="31">
        <f>'mnt Data'!U496</f>
        <v>0</v>
      </c>
      <c r="AJ493" s="31">
        <f>'mnt Data'!V496</f>
        <v>0</v>
      </c>
      <c r="AK493" s="31">
        <f>'mnt Data'!W496</f>
        <v>0</v>
      </c>
      <c r="AL493" s="31">
        <f>'mnt Data'!X496</f>
        <v>0</v>
      </c>
      <c r="AM493" s="31">
        <f>'mnt Data'!Y496</f>
        <v>0</v>
      </c>
      <c r="AN493" s="31">
        <f>'mnt Data'!Z496</f>
        <v>0</v>
      </c>
      <c r="AO493" s="31">
        <f>'mnt Data'!AA496</f>
        <v>0</v>
      </c>
      <c r="AP493" s="31">
        <f>'mnt Data'!AB496</f>
        <v>0</v>
      </c>
      <c r="AQ493" s="31">
        <f>'mnt Data'!AC496</f>
        <v>0</v>
      </c>
      <c r="AR493" s="31">
        <f>'mnt Data'!AD496</f>
        <v>0</v>
      </c>
      <c r="AS493" s="31">
        <f>'mnt Data'!AE496</f>
        <v>0</v>
      </c>
      <c r="AT493" s="31">
        <f>'mnt Data'!AF496</f>
        <v>0</v>
      </c>
      <c r="AU493" s="31">
        <f>'mnt Data'!AG496</f>
        <v>0</v>
      </c>
      <c r="AV493" s="31">
        <f>'mnt Data'!AH496</f>
        <v>0</v>
      </c>
      <c r="AW493" s="31">
        <f>'mnt Data'!AI496</f>
        <v>0</v>
      </c>
      <c r="AX493" s="31">
        <f>'mnt Data'!AJ496</f>
        <v>0</v>
      </c>
      <c r="AY493" s="31">
        <f>'mnt Data'!AK496</f>
        <v>0</v>
      </c>
    </row>
    <row r="494" spans="1:51" x14ac:dyDescent="0.25">
      <c r="A494">
        <v>493</v>
      </c>
      <c r="B494" s="32">
        <f t="shared" si="96"/>
        <v>0</v>
      </c>
      <c r="C494" s="32">
        <f t="shared" si="97"/>
        <v>0</v>
      </c>
      <c r="D494" s="32" t="str">
        <f t="shared" si="89"/>
        <v>No Gs</v>
      </c>
      <c r="E494" s="32">
        <f t="shared" si="93"/>
        <v>0</v>
      </c>
      <c r="F494" s="32" t="str">
        <f t="shared" si="94"/>
        <v>No Gs</v>
      </c>
      <c r="G494" s="32" t="str">
        <f t="shared" si="95"/>
        <v>No Gs</v>
      </c>
      <c r="H494" s="32" t="str">
        <f t="shared" si="98"/>
        <v>Gs is needed</v>
      </c>
      <c r="I494" s="32" t="str">
        <f t="shared" si="99"/>
        <v>Gs is needed</v>
      </c>
      <c r="J494" s="32" t="str">
        <f t="shared" si="100"/>
        <v>Gs is needed</v>
      </c>
      <c r="K494" s="32" t="str">
        <f t="shared" si="90"/>
        <v>Need Max and Min</v>
      </c>
      <c r="L494" s="32" t="str">
        <f t="shared" si="91"/>
        <v>Need Max and Min</v>
      </c>
      <c r="M494" s="32" t="str">
        <f t="shared" si="92"/>
        <v>Fail</v>
      </c>
      <c r="N494" s="32"/>
      <c r="O494" s="31">
        <f>'mnt Data'!A497</f>
        <v>0</v>
      </c>
      <c r="P494" s="31">
        <f>'mnt Data'!B497</f>
        <v>0</v>
      </c>
      <c r="Q494" s="31">
        <f>'mnt Data'!C497</f>
        <v>0</v>
      </c>
      <c r="R494" s="31">
        <f>'mnt Data'!D497</f>
        <v>0</v>
      </c>
      <c r="S494" s="31">
        <f>'mnt Data'!E497</f>
        <v>0</v>
      </c>
      <c r="T494" s="31">
        <f>'mnt Data'!F497</f>
        <v>0</v>
      </c>
      <c r="U494" s="31">
        <f>'mnt Data'!G497</f>
        <v>0</v>
      </c>
      <c r="V494" s="31">
        <f>'mnt Data'!H497</f>
        <v>0</v>
      </c>
      <c r="W494" s="31">
        <f>'mnt Data'!I497</f>
        <v>0</v>
      </c>
      <c r="X494" s="31">
        <f>'mnt Data'!J497</f>
        <v>0</v>
      </c>
      <c r="Y494" s="31">
        <f>'mnt Data'!K497</f>
        <v>0</v>
      </c>
      <c r="Z494" s="31">
        <f>'mnt Data'!L497</f>
        <v>0</v>
      </c>
      <c r="AA494" s="31">
        <f>'mnt Data'!M497</f>
        <v>0</v>
      </c>
      <c r="AB494" s="31">
        <f>'mnt Data'!N497</f>
        <v>0</v>
      </c>
      <c r="AC494" s="31">
        <f>'mnt Data'!O497</f>
        <v>0</v>
      </c>
      <c r="AD494" s="31">
        <f>'mnt Data'!P497</f>
        <v>0</v>
      </c>
      <c r="AE494" s="31">
        <f>'mnt Data'!Q497</f>
        <v>0</v>
      </c>
      <c r="AF494" s="31">
        <f>'mnt Data'!R497</f>
        <v>0</v>
      </c>
      <c r="AG494" s="31">
        <f>'mnt Data'!S497</f>
        <v>0</v>
      </c>
      <c r="AH494" s="31">
        <f>'mnt Data'!T497</f>
        <v>0</v>
      </c>
      <c r="AI494" s="31">
        <f>'mnt Data'!U497</f>
        <v>0</v>
      </c>
      <c r="AJ494" s="31">
        <f>'mnt Data'!V497</f>
        <v>0</v>
      </c>
      <c r="AK494" s="31">
        <f>'mnt Data'!W497</f>
        <v>0</v>
      </c>
      <c r="AL494" s="31">
        <f>'mnt Data'!X497</f>
        <v>0</v>
      </c>
      <c r="AM494" s="31">
        <f>'mnt Data'!Y497</f>
        <v>0</v>
      </c>
      <c r="AN494" s="31">
        <f>'mnt Data'!Z497</f>
        <v>0</v>
      </c>
      <c r="AO494" s="31">
        <f>'mnt Data'!AA497</f>
        <v>0</v>
      </c>
      <c r="AP494" s="31">
        <f>'mnt Data'!AB497</f>
        <v>0</v>
      </c>
      <c r="AQ494" s="31">
        <f>'mnt Data'!AC497</f>
        <v>0</v>
      </c>
      <c r="AR494" s="31">
        <f>'mnt Data'!AD497</f>
        <v>0</v>
      </c>
      <c r="AS494" s="31">
        <f>'mnt Data'!AE497</f>
        <v>0</v>
      </c>
      <c r="AT494" s="31">
        <f>'mnt Data'!AF497</f>
        <v>0</v>
      </c>
      <c r="AU494" s="31">
        <f>'mnt Data'!AG497</f>
        <v>0</v>
      </c>
      <c r="AV494" s="31">
        <f>'mnt Data'!AH497</f>
        <v>0</v>
      </c>
      <c r="AW494" s="31">
        <f>'mnt Data'!AI497</f>
        <v>0</v>
      </c>
      <c r="AX494" s="31">
        <f>'mnt Data'!AJ497</f>
        <v>0</v>
      </c>
      <c r="AY494" s="31">
        <f>'mnt Data'!AK497</f>
        <v>0</v>
      </c>
    </row>
    <row r="495" spans="1:51" x14ac:dyDescent="0.25">
      <c r="A495">
        <v>494</v>
      </c>
      <c r="B495" s="32">
        <f t="shared" si="96"/>
        <v>0</v>
      </c>
      <c r="C495" s="32">
        <f t="shared" si="97"/>
        <v>0</v>
      </c>
      <c r="D495" s="32" t="str">
        <f t="shared" si="89"/>
        <v>No Gs</v>
      </c>
      <c r="E495" s="32">
        <f t="shared" si="93"/>
        <v>0</v>
      </c>
      <c r="F495" s="32" t="str">
        <f t="shared" si="94"/>
        <v>No Gs</v>
      </c>
      <c r="G495" s="32" t="str">
        <f t="shared" si="95"/>
        <v>No Gs</v>
      </c>
      <c r="H495" s="32" t="str">
        <f t="shared" si="98"/>
        <v>Gs is needed</v>
      </c>
      <c r="I495" s="32" t="str">
        <f t="shared" si="99"/>
        <v>Gs is needed</v>
      </c>
      <c r="J495" s="32" t="str">
        <f t="shared" si="100"/>
        <v>Gs is needed</v>
      </c>
      <c r="K495" s="32" t="str">
        <f t="shared" si="90"/>
        <v>Need Max and Min</v>
      </c>
      <c r="L495" s="32" t="str">
        <f t="shared" si="91"/>
        <v>Need Max and Min</v>
      </c>
      <c r="M495" s="32" t="str">
        <f t="shared" si="92"/>
        <v>Fail</v>
      </c>
      <c r="N495" s="32"/>
      <c r="O495" s="31">
        <f>'mnt Data'!A498</f>
        <v>0</v>
      </c>
      <c r="P495" s="31">
        <f>'mnt Data'!B498</f>
        <v>0</v>
      </c>
      <c r="Q495" s="31">
        <f>'mnt Data'!C498</f>
        <v>0</v>
      </c>
      <c r="R495" s="31">
        <f>'mnt Data'!D498</f>
        <v>0</v>
      </c>
      <c r="S495" s="31">
        <f>'mnt Data'!E498</f>
        <v>0</v>
      </c>
      <c r="T495" s="31">
        <f>'mnt Data'!F498</f>
        <v>0</v>
      </c>
      <c r="U495" s="31">
        <f>'mnt Data'!G498</f>
        <v>0</v>
      </c>
      <c r="V495" s="31">
        <f>'mnt Data'!H498</f>
        <v>0</v>
      </c>
      <c r="W495" s="31">
        <f>'mnt Data'!I498</f>
        <v>0</v>
      </c>
      <c r="X495" s="31">
        <f>'mnt Data'!J498</f>
        <v>0</v>
      </c>
      <c r="Y495" s="31">
        <f>'mnt Data'!K498</f>
        <v>0</v>
      </c>
      <c r="Z495" s="31">
        <f>'mnt Data'!L498</f>
        <v>0</v>
      </c>
      <c r="AA495" s="31">
        <f>'mnt Data'!M498</f>
        <v>0</v>
      </c>
      <c r="AB495" s="31">
        <f>'mnt Data'!N498</f>
        <v>0</v>
      </c>
      <c r="AC495" s="31">
        <f>'mnt Data'!O498</f>
        <v>0</v>
      </c>
      <c r="AD495" s="31">
        <f>'mnt Data'!P498</f>
        <v>0</v>
      </c>
      <c r="AE495" s="31">
        <f>'mnt Data'!Q498</f>
        <v>0</v>
      </c>
      <c r="AF495" s="31">
        <f>'mnt Data'!R498</f>
        <v>0</v>
      </c>
      <c r="AG495" s="31">
        <f>'mnt Data'!S498</f>
        <v>0</v>
      </c>
      <c r="AH495" s="31">
        <f>'mnt Data'!T498</f>
        <v>0</v>
      </c>
      <c r="AI495" s="31">
        <f>'mnt Data'!U498</f>
        <v>0</v>
      </c>
      <c r="AJ495" s="31">
        <f>'mnt Data'!V498</f>
        <v>0</v>
      </c>
      <c r="AK495" s="31">
        <f>'mnt Data'!W498</f>
        <v>0</v>
      </c>
      <c r="AL495" s="31">
        <f>'mnt Data'!X498</f>
        <v>0</v>
      </c>
      <c r="AM495" s="31">
        <f>'mnt Data'!Y498</f>
        <v>0</v>
      </c>
      <c r="AN495" s="31">
        <f>'mnt Data'!Z498</f>
        <v>0</v>
      </c>
      <c r="AO495" s="31">
        <f>'mnt Data'!AA498</f>
        <v>0</v>
      </c>
      <c r="AP495" s="31">
        <f>'mnt Data'!AB498</f>
        <v>0</v>
      </c>
      <c r="AQ495" s="31">
        <f>'mnt Data'!AC498</f>
        <v>0</v>
      </c>
      <c r="AR495" s="31">
        <f>'mnt Data'!AD498</f>
        <v>0</v>
      </c>
      <c r="AS495" s="31">
        <f>'mnt Data'!AE498</f>
        <v>0</v>
      </c>
      <c r="AT495" s="31">
        <f>'mnt Data'!AF498</f>
        <v>0</v>
      </c>
      <c r="AU495" s="31">
        <f>'mnt Data'!AG498</f>
        <v>0</v>
      </c>
      <c r="AV495" s="31">
        <f>'mnt Data'!AH498</f>
        <v>0</v>
      </c>
      <c r="AW495" s="31">
        <f>'mnt Data'!AI498</f>
        <v>0</v>
      </c>
      <c r="AX495" s="31">
        <f>'mnt Data'!AJ498</f>
        <v>0</v>
      </c>
      <c r="AY495" s="31">
        <f>'mnt Data'!AK498</f>
        <v>0</v>
      </c>
    </row>
    <row r="496" spans="1:51" x14ac:dyDescent="0.25">
      <c r="A496">
        <v>495</v>
      </c>
      <c r="B496" s="32">
        <f t="shared" si="96"/>
        <v>0</v>
      </c>
      <c r="C496" s="32">
        <f t="shared" si="97"/>
        <v>0</v>
      </c>
      <c r="D496" s="32" t="str">
        <f t="shared" si="89"/>
        <v>No Gs</v>
      </c>
      <c r="E496" s="32">
        <f t="shared" si="93"/>
        <v>0</v>
      </c>
      <c r="F496" s="32" t="str">
        <f t="shared" si="94"/>
        <v>No Gs</v>
      </c>
      <c r="G496" s="32" t="str">
        <f t="shared" si="95"/>
        <v>No Gs</v>
      </c>
      <c r="H496" s="32" t="str">
        <f t="shared" si="98"/>
        <v>Gs is needed</v>
      </c>
      <c r="I496" s="32" t="str">
        <f t="shared" si="99"/>
        <v>Gs is needed</v>
      </c>
      <c r="J496" s="32" t="str">
        <f t="shared" si="100"/>
        <v>Gs is needed</v>
      </c>
      <c r="K496" s="32" t="str">
        <f t="shared" si="90"/>
        <v>Need Max and Min</v>
      </c>
      <c r="L496" s="32" t="str">
        <f t="shared" si="91"/>
        <v>Need Max and Min</v>
      </c>
      <c r="M496" s="32" t="str">
        <f t="shared" si="92"/>
        <v>Fail</v>
      </c>
      <c r="N496" s="32"/>
      <c r="O496" s="31">
        <f>'mnt Data'!A499</f>
        <v>0</v>
      </c>
      <c r="P496" s="31">
        <f>'mnt Data'!B499</f>
        <v>0</v>
      </c>
      <c r="Q496" s="31">
        <f>'mnt Data'!C499</f>
        <v>0</v>
      </c>
      <c r="R496" s="31">
        <f>'mnt Data'!D499</f>
        <v>0</v>
      </c>
      <c r="S496" s="31">
        <f>'mnt Data'!E499</f>
        <v>0</v>
      </c>
      <c r="T496" s="31">
        <f>'mnt Data'!F499</f>
        <v>0</v>
      </c>
      <c r="U496" s="31">
        <f>'mnt Data'!G499</f>
        <v>0</v>
      </c>
      <c r="V496" s="31">
        <f>'mnt Data'!H499</f>
        <v>0</v>
      </c>
      <c r="W496" s="31">
        <f>'mnt Data'!I499</f>
        <v>0</v>
      </c>
      <c r="X496" s="31">
        <f>'mnt Data'!J499</f>
        <v>0</v>
      </c>
      <c r="Y496" s="31">
        <f>'mnt Data'!K499</f>
        <v>0</v>
      </c>
      <c r="Z496" s="31">
        <f>'mnt Data'!L499</f>
        <v>0</v>
      </c>
      <c r="AA496" s="31">
        <f>'mnt Data'!M499</f>
        <v>0</v>
      </c>
      <c r="AB496" s="31">
        <f>'mnt Data'!N499</f>
        <v>0</v>
      </c>
      <c r="AC496" s="31">
        <f>'mnt Data'!O499</f>
        <v>0</v>
      </c>
      <c r="AD496" s="31">
        <f>'mnt Data'!P499</f>
        <v>0</v>
      </c>
      <c r="AE496" s="31">
        <f>'mnt Data'!Q499</f>
        <v>0</v>
      </c>
      <c r="AF496" s="31">
        <f>'mnt Data'!R499</f>
        <v>0</v>
      </c>
      <c r="AG496" s="31">
        <f>'mnt Data'!S499</f>
        <v>0</v>
      </c>
      <c r="AH496" s="31">
        <f>'mnt Data'!T499</f>
        <v>0</v>
      </c>
      <c r="AI496" s="31">
        <f>'mnt Data'!U499</f>
        <v>0</v>
      </c>
      <c r="AJ496" s="31">
        <f>'mnt Data'!V499</f>
        <v>0</v>
      </c>
      <c r="AK496" s="31">
        <f>'mnt Data'!W499</f>
        <v>0</v>
      </c>
      <c r="AL496" s="31">
        <f>'mnt Data'!X499</f>
        <v>0</v>
      </c>
      <c r="AM496" s="31">
        <f>'mnt Data'!Y499</f>
        <v>0</v>
      </c>
      <c r="AN496" s="31">
        <f>'mnt Data'!Z499</f>
        <v>0</v>
      </c>
      <c r="AO496" s="31">
        <f>'mnt Data'!AA499</f>
        <v>0</v>
      </c>
      <c r="AP496" s="31">
        <f>'mnt Data'!AB499</f>
        <v>0</v>
      </c>
      <c r="AQ496" s="31">
        <f>'mnt Data'!AC499</f>
        <v>0</v>
      </c>
      <c r="AR496" s="31">
        <f>'mnt Data'!AD499</f>
        <v>0</v>
      </c>
      <c r="AS496" s="31">
        <f>'mnt Data'!AE499</f>
        <v>0</v>
      </c>
      <c r="AT496" s="31">
        <f>'mnt Data'!AF499</f>
        <v>0</v>
      </c>
      <c r="AU496" s="31">
        <f>'mnt Data'!AG499</f>
        <v>0</v>
      </c>
      <c r="AV496" s="31">
        <f>'mnt Data'!AH499</f>
        <v>0</v>
      </c>
      <c r="AW496" s="31">
        <f>'mnt Data'!AI499</f>
        <v>0</v>
      </c>
      <c r="AX496" s="31">
        <f>'mnt Data'!AJ499</f>
        <v>0</v>
      </c>
      <c r="AY496" s="31">
        <f>'mnt Data'!AK499</f>
        <v>0</v>
      </c>
    </row>
    <row r="497" spans="1:51" x14ac:dyDescent="0.25">
      <c r="A497">
        <v>496</v>
      </c>
      <c r="B497" s="32">
        <f t="shared" si="96"/>
        <v>0</v>
      </c>
      <c r="C497" s="32">
        <f t="shared" si="97"/>
        <v>0</v>
      </c>
      <c r="D497" s="32" t="str">
        <f t="shared" si="89"/>
        <v>No Gs</v>
      </c>
      <c r="E497" s="32">
        <f t="shared" si="93"/>
        <v>0</v>
      </c>
      <c r="F497" s="32" t="str">
        <f t="shared" si="94"/>
        <v>No Gs</v>
      </c>
      <c r="G497" s="32" t="str">
        <f t="shared" si="95"/>
        <v>No Gs</v>
      </c>
      <c r="H497" s="32" t="str">
        <f t="shared" si="98"/>
        <v>Gs is needed</v>
      </c>
      <c r="I497" s="32" t="str">
        <f t="shared" si="99"/>
        <v>Gs is needed</v>
      </c>
      <c r="J497" s="32" t="str">
        <f t="shared" si="100"/>
        <v>Gs is needed</v>
      </c>
      <c r="K497" s="32" t="str">
        <f t="shared" si="90"/>
        <v>Need Max and Min</v>
      </c>
      <c r="L497" s="32" t="str">
        <f t="shared" si="91"/>
        <v>Need Max and Min</v>
      </c>
      <c r="M497" s="32" t="str">
        <f t="shared" si="92"/>
        <v>Fail</v>
      </c>
      <c r="N497" s="32"/>
      <c r="O497" s="31">
        <f>'mnt Data'!A500</f>
        <v>0</v>
      </c>
      <c r="P497" s="31">
        <f>'mnt Data'!B500</f>
        <v>0</v>
      </c>
      <c r="Q497" s="31">
        <f>'mnt Data'!C500</f>
        <v>0</v>
      </c>
      <c r="R497" s="31">
        <f>'mnt Data'!D500</f>
        <v>0</v>
      </c>
      <c r="S497" s="31">
        <f>'mnt Data'!E500</f>
        <v>0</v>
      </c>
      <c r="T497" s="31">
        <f>'mnt Data'!F500</f>
        <v>0</v>
      </c>
      <c r="U497" s="31">
        <f>'mnt Data'!G500</f>
        <v>0</v>
      </c>
      <c r="V497" s="31">
        <f>'mnt Data'!H500</f>
        <v>0</v>
      </c>
      <c r="W497" s="31">
        <f>'mnt Data'!I500</f>
        <v>0</v>
      </c>
      <c r="X497" s="31">
        <f>'mnt Data'!J500</f>
        <v>0</v>
      </c>
      <c r="Y497" s="31">
        <f>'mnt Data'!K500</f>
        <v>0</v>
      </c>
      <c r="Z497" s="31">
        <f>'mnt Data'!L500</f>
        <v>0</v>
      </c>
      <c r="AA497" s="31">
        <f>'mnt Data'!M500</f>
        <v>0</v>
      </c>
      <c r="AB497" s="31">
        <f>'mnt Data'!N500</f>
        <v>0</v>
      </c>
      <c r="AC497" s="31">
        <f>'mnt Data'!O500</f>
        <v>0</v>
      </c>
      <c r="AD497" s="31">
        <f>'mnt Data'!P500</f>
        <v>0</v>
      </c>
      <c r="AE497" s="31">
        <f>'mnt Data'!Q500</f>
        <v>0</v>
      </c>
      <c r="AF497" s="31">
        <f>'mnt Data'!R500</f>
        <v>0</v>
      </c>
      <c r="AG497" s="31">
        <f>'mnt Data'!S500</f>
        <v>0</v>
      </c>
      <c r="AH497" s="31">
        <f>'mnt Data'!T500</f>
        <v>0</v>
      </c>
      <c r="AI497" s="31">
        <f>'mnt Data'!U500</f>
        <v>0</v>
      </c>
      <c r="AJ497" s="31">
        <f>'mnt Data'!V500</f>
        <v>0</v>
      </c>
      <c r="AK497" s="31">
        <f>'mnt Data'!W500</f>
        <v>0</v>
      </c>
      <c r="AL497" s="31">
        <f>'mnt Data'!X500</f>
        <v>0</v>
      </c>
      <c r="AM497" s="31">
        <f>'mnt Data'!Y500</f>
        <v>0</v>
      </c>
      <c r="AN497" s="31">
        <f>'mnt Data'!Z500</f>
        <v>0</v>
      </c>
      <c r="AO497" s="31">
        <f>'mnt Data'!AA500</f>
        <v>0</v>
      </c>
      <c r="AP497" s="31">
        <f>'mnt Data'!AB500</f>
        <v>0</v>
      </c>
      <c r="AQ497" s="31">
        <f>'mnt Data'!AC500</f>
        <v>0</v>
      </c>
      <c r="AR497" s="31">
        <f>'mnt Data'!AD500</f>
        <v>0</v>
      </c>
      <c r="AS497" s="31">
        <f>'mnt Data'!AE500</f>
        <v>0</v>
      </c>
      <c r="AT497" s="31">
        <f>'mnt Data'!AF500</f>
        <v>0</v>
      </c>
      <c r="AU497" s="31">
        <f>'mnt Data'!AG500</f>
        <v>0</v>
      </c>
      <c r="AV497" s="31">
        <f>'mnt Data'!AH500</f>
        <v>0</v>
      </c>
      <c r="AW497" s="31">
        <f>'mnt Data'!AI500</f>
        <v>0</v>
      </c>
      <c r="AX497" s="31">
        <f>'mnt Data'!AJ500</f>
        <v>0</v>
      </c>
      <c r="AY497" s="31">
        <f>'mnt Data'!AK500</f>
        <v>0</v>
      </c>
    </row>
    <row r="498" spans="1:51" x14ac:dyDescent="0.25">
      <c r="A498">
        <v>497</v>
      </c>
      <c r="B498" s="32">
        <f t="shared" si="96"/>
        <v>0</v>
      </c>
      <c r="C498" s="32">
        <f t="shared" si="97"/>
        <v>0</v>
      </c>
      <c r="D498" s="32" t="str">
        <f t="shared" si="89"/>
        <v>No Gs</v>
      </c>
      <c r="E498" s="32">
        <f t="shared" si="93"/>
        <v>0</v>
      </c>
      <c r="F498" s="32" t="str">
        <f t="shared" si="94"/>
        <v>No Gs</v>
      </c>
      <c r="G498" s="32" t="str">
        <f t="shared" si="95"/>
        <v>No Gs</v>
      </c>
      <c r="H498" s="32" t="str">
        <f t="shared" si="98"/>
        <v>Gs is needed</v>
      </c>
      <c r="I498" s="32" t="str">
        <f t="shared" si="99"/>
        <v>Gs is needed</v>
      </c>
      <c r="J498" s="32" t="str">
        <f t="shared" si="100"/>
        <v>Gs is needed</v>
      </c>
      <c r="K498" s="32" t="str">
        <f t="shared" si="90"/>
        <v>Need Max and Min</v>
      </c>
      <c r="L498" s="32" t="str">
        <f t="shared" si="91"/>
        <v>Need Max and Min</v>
      </c>
      <c r="M498" s="32" t="str">
        <f t="shared" si="92"/>
        <v>Fail</v>
      </c>
      <c r="N498" s="32"/>
      <c r="O498" s="31">
        <f>'mnt Data'!A501</f>
        <v>0</v>
      </c>
      <c r="P498" s="31">
        <f>'mnt Data'!B501</f>
        <v>0</v>
      </c>
      <c r="Q498" s="31">
        <f>'mnt Data'!C501</f>
        <v>0</v>
      </c>
      <c r="R498" s="31">
        <f>'mnt Data'!D501</f>
        <v>0</v>
      </c>
      <c r="S498" s="31">
        <f>'mnt Data'!E501</f>
        <v>0</v>
      </c>
      <c r="T498" s="31">
        <f>'mnt Data'!F501</f>
        <v>0</v>
      </c>
      <c r="U498" s="31">
        <f>'mnt Data'!G501</f>
        <v>0</v>
      </c>
      <c r="V498" s="31">
        <f>'mnt Data'!H501</f>
        <v>0</v>
      </c>
      <c r="W498" s="31">
        <f>'mnt Data'!I501</f>
        <v>0</v>
      </c>
      <c r="X498" s="31">
        <f>'mnt Data'!J501</f>
        <v>0</v>
      </c>
      <c r="Y498" s="31">
        <f>'mnt Data'!K501</f>
        <v>0</v>
      </c>
      <c r="Z498" s="31">
        <f>'mnt Data'!L501</f>
        <v>0</v>
      </c>
      <c r="AA498" s="31">
        <f>'mnt Data'!M501</f>
        <v>0</v>
      </c>
      <c r="AB498" s="31">
        <f>'mnt Data'!N501</f>
        <v>0</v>
      </c>
      <c r="AC498" s="31">
        <f>'mnt Data'!O501</f>
        <v>0</v>
      </c>
      <c r="AD498" s="31">
        <f>'mnt Data'!P501</f>
        <v>0</v>
      </c>
      <c r="AE498" s="31">
        <f>'mnt Data'!Q501</f>
        <v>0</v>
      </c>
      <c r="AF498" s="31">
        <f>'mnt Data'!R501</f>
        <v>0</v>
      </c>
      <c r="AG498" s="31">
        <f>'mnt Data'!S501</f>
        <v>0</v>
      </c>
      <c r="AH498" s="31">
        <f>'mnt Data'!T501</f>
        <v>0</v>
      </c>
      <c r="AI498" s="31">
        <f>'mnt Data'!U501</f>
        <v>0</v>
      </c>
      <c r="AJ498" s="31">
        <f>'mnt Data'!V501</f>
        <v>0</v>
      </c>
      <c r="AK498" s="31">
        <f>'mnt Data'!W501</f>
        <v>0</v>
      </c>
      <c r="AL498" s="31">
        <f>'mnt Data'!X501</f>
        <v>0</v>
      </c>
      <c r="AM498" s="31">
        <f>'mnt Data'!Y501</f>
        <v>0</v>
      </c>
      <c r="AN498" s="31">
        <f>'mnt Data'!Z501</f>
        <v>0</v>
      </c>
      <c r="AO498" s="31">
        <f>'mnt Data'!AA501</f>
        <v>0</v>
      </c>
      <c r="AP498" s="31">
        <f>'mnt Data'!AB501</f>
        <v>0</v>
      </c>
      <c r="AQ498" s="31">
        <f>'mnt Data'!AC501</f>
        <v>0</v>
      </c>
      <c r="AR498" s="31">
        <f>'mnt Data'!AD501</f>
        <v>0</v>
      </c>
      <c r="AS498" s="31">
        <f>'mnt Data'!AE501</f>
        <v>0</v>
      </c>
      <c r="AT498" s="31">
        <f>'mnt Data'!AF501</f>
        <v>0</v>
      </c>
      <c r="AU498" s="31">
        <f>'mnt Data'!AG501</f>
        <v>0</v>
      </c>
      <c r="AV498" s="31">
        <f>'mnt Data'!AH501</f>
        <v>0</v>
      </c>
      <c r="AW498" s="31">
        <f>'mnt Data'!AI501</f>
        <v>0</v>
      </c>
      <c r="AX498" s="31">
        <f>'mnt Data'!AJ501</f>
        <v>0</v>
      </c>
      <c r="AY498" s="31">
        <f>'mnt Data'!AK501</f>
        <v>0</v>
      </c>
    </row>
    <row r="499" spans="1:51" x14ac:dyDescent="0.25">
      <c r="A499">
        <v>498</v>
      </c>
      <c r="B499" s="32">
        <f t="shared" si="96"/>
        <v>0</v>
      </c>
      <c r="C499" s="32">
        <f t="shared" si="97"/>
        <v>0</v>
      </c>
      <c r="D499" s="32" t="str">
        <f t="shared" si="89"/>
        <v>No Gs</v>
      </c>
      <c r="E499" s="32">
        <f t="shared" si="93"/>
        <v>0</v>
      </c>
      <c r="F499" s="32" t="str">
        <f t="shared" si="94"/>
        <v>No Gs</v>
      </c>
      <c r="G499" s="32" t="str">
        <f t="shared" si="95"/>
        <v>No Gs</v>
      </c>
      <c r="H499" s="32" t="str">
        <f t="shared" si="98"/>
        <v>Gs is needed</v>
      </c>
      <c r="I499" s="32" t="str">
        <f t="shared" si="99"/>
        <v>Gs is needed</v>
      </c>
      <c r="J499" s="32" t="str">
        <f t="shared" si="100"/>
        <v>Gs is needed</v>
      </c>
      <c r="K499" s="32" t="str">
        <f t="shared" si="90"/>
        <v>Need Max and Min</v>
      </c>
      <c r="L499" s="32" t="str">
        <f t="shared" si="91"/>
        <v>Need Max and Min</v>
      </c>
      <c r="M499" s="32" t="str">
        <f t="shared" si="92"/>
        <v>Fail</v>
      </c>
      <c r="N499" s="32"/>
      <c r="O499" s="31">
        <f>'mnt Data'!A502</f>
        <v>0</v>
      </c>
      <c r="P499" s="31">
        <f>'mnt Data'!B502</f>
        <v>0</v>
      </c>
      <c r="Q499" s="31">
        <f>'mnt Data'!C502</f>
        <v>0</v>
      </c>
      <c r="R499" s="31">
        <f>'mnt Data'!D502</f>
        <v>0</v>
      </c>
      <c r="S499" s="31">
        <f>'mnt Data'!E502</f>
        <v>0</v>
      </c>
      <c r="T499" s="31">
        <f>'mnt Data'!F502</f>
        <v>0</v>
      </c>
      <c r="U499" s="31">
        <f>'mnt Data'!G502</f>
        <v>0</v>
      </c>
      <c r="V499" s="31">
        <f>'mnt Data'!H502</f>
        <v>0</v>
      </c>
      <c r="W499" s="31">
        <f>'mnt Data'!I502</f>
        <v>0</v>
      </c>
      <c r="X499" s="31">
        <f>'mnt Data'!J502</f>
        <v>0</v>
      </c>
      <c r="Y499" s="31">
        <f>'mnt Data'!K502</f>
        <v>0</v>
      </c>
      <c r="Z499" s="31">
        <f>'mnt Data'!L502</f>
        <v>0</v>
      </c>
      <c r="AA499" s="31">
        <f>'mnt Data'!M502</f>
        <v>0</v>
      </c>
      <c r="AB499" s="31">
        <f>'mnt Data'!N502</f>
        <v>0</v>
      </c>
      <c r="AC499" s="31">
        <f>'mnt Data'!O502</f>
        <v>0</v>
      </c>
      <c r="AD499" s="31">
        <f>'mnt Data'!P502</f>
        <v>0</v>
      </c>
      <c r="AE499" s="31">
        <f>'mnt Data'!Q502</f>
        <v>0</v>
      </c>
      <c r="AF499" s="31">
        <f>'mnt Data'!R502</f>
        <v>0</v>
      </c>
      <c r="AG499" s="31">
        <f>'mnt Data'!S502</f>
        <v>0</v>
      </c>
      <c r="AH499" s="31">
        <f>'mnt Data'!T502</f>
        <v>0</v>
      </c>
      <c r="AI499" s="31">
        <f>'mnt Data'!U502</f>
        <v>0</v>
      </c>
      <c r="AJ499" s="31">
        <f>'mnt Data'!V502</f>
        <v>0</v>
      </c>
      <c r="AK499" s="31">
        <f>'mnt Data'!W502</f>
        <v>0</v>
      </c>
      <c r="AL499" s="31">
        <f>'mnt Data'!X502</f>
        <v>0</v>
      </c>
      <c r="AM499" s="31">
        <f>'mnt Data'!Y502</f>
        <v>0</v>
      </c>
      <c r="AN499" s="31">
        <f>'mnt Data'!Z502</f>
        <v>0</v>
      </c>
      <c r="AO499" s="31">
        <f>'mnt Data'!AA502</f>
        <v>0</v>
      </c>
      <c r="AP499" s="31">
        <f>'mnt Data'!AB502</f>
        <v>0</v>
      </c>
      <c r="AQ499" s="31">
        <f>'mnt Data'!AC502</f>
        <v>0</v>
      </c>
      <c r="AR499" s="31">
        <f>'mnt Data'!AD502</f>
        <v>0</v>
      </c>
      <c r="AS499" s="31">
        <f>'mnt Data'!AE502</f>
        <v>0</v>
      </c>
      <c r="AT499" s="31">
        <f>'mnt Data'!AF502</f>
        <v>0</v>
      </c>
      <c r="AU499" s="31">
        <f>'mnt Data'!AG502</f>
        <v>0</v>
      </c>
      <c r="AV499" s="31">
        <f>'mnt Data'!AH502</f>
        <v>0</v>
      </c>
      <c r="AW499" s="31">
        <f>'mnt Data'!AI502</f>
        <v>0</v>
      </c>
      <c r="AX499" s="31">
        <f>'mnt Data'!AJ502</f>
        <v>0</v>
      </c>
      <c r="AY499" s="31">
        <f>'mnt Data'!AK502</f>
        <v>0</v>
      </c>
    </row>
    <row r="500" spans="1:51" x14ac:dyDescent="0.25">
      <c r="A500">
        <v>499</v>
      </c>
      <c r="B500" s="32">
        <f t="shared" si="96"/>
        <v>0</v>
      </c>
      <c r="C500" s="32">
        <f t="shared" si="97"/>
        <v>0</v>
      </c>
      <c r="D500" s="32" t="str">
        <f t="shared" si="89"/>
        <v>No Gs</v>
      </c>
      <c r="E500" s="32">
        <f t="shared" si="93"/>
        <v>0</v>
      </c>
      <c r="F500" s="32" t="str">
        <f t="shared" si="94"/>
        <v>No Gs</v>
      </c>
      <c r="G500" s="32" t="str">
        <f t="shared" si="95"/>
        <v>No Gs</v>
      </c>
      <c r="H500" s="32" t="str">
        <f t="shared" si="98"/>
        <v>Gs is needed</v>
      </c>
      <c r="I500" s="32" t="str">
        <f t="shared" si="99"/>
        <v>Gs is needed</v>
      </c>
      <c r="J500" s="32" t="str">
        <f t="shared" si="100"/>
        <v>Gs is needed</v>
      </c>
      <c r="K500" s="32" t="str">
        <f t="shared" si="90"/>
        <v>Need Max and Min</v>
      </c>
      <c r="L500" s="32" t="str">
        <f t="shared" si="91"/>
        <v>Need Max and Min</v>
      </c>
      <c r="M500" s="32" t="str">
        <f t="shared" si="92"/>
        <v>Fail</v>
      </c>
      <c r="N500" s="32"/>
      <c r="O500" s="31">
        <f>'mnt Data'!A503</f>
        <v>0</v>
      </c>
      <c r="P500" s="31">
        <f>'mnt Data'!B503</f>
        <v>0</v>
      </c>
      <c r="Q500" s="31">
        <f>'mnt Data'!C503</f>
        <v>0</v>
      </c>
      <c r="R500" s="31">
        <f>'mnt Data'!D503</f>
        <v>0</v>
      </c>
      <c r="S500" s="31">
        <f>'mnt Data'!E503</f>
        <v>0</v>
      </c>
      <c r="T500" s="31">
        <f>'mnt Data'!F503</f>
        <v>0</v>
      </c>
      <c r="U500" s="31">
        <f>'mnt Data'!G503</f>
        <v>0</v>
      </c>
      <c r="V500" s="31">
        <f>'mnt Data'!H503</f>
        <v>0</v>
      </c>
      <c r="W500" s="31">
        <f>'mnt Data'!I503</f>
        <v>0</v>
      </c>
      <c r="X500" s="31">
        <f>'mnt Data'!J503</f>
        <v>0</v>
      </c>
      <c r="Y500" s="31">
        <f>'mnt Data'!K503</f>
        <v>0</v>
      </c>
      <c r="Z500" s="31">
        <f>'mnt Data'!L503</f>
        <v>0</v>
      </c>
      <c r="AA500" s="31">
        <f>'mnt Data'!M503</f>
        <v>0</v>
      </c>
      <c r="AB500" s="31">
        <f>'mnt Data'!N503</f>
        <v>0</v>
      </c>
      <c r="AC500" s="31">
        <f>'mnt Data'!O503</f>
        <v>0</v>
      </c>
      <c r="AD500" s="31">
        <f>'mnt Data'!P503</f>
        <v>0</v>
      </c>
      <c r="AE500" s="31">
        <f>'mnt Data'!Q503</f>
        <v>0</v>
      </c>
      <c r="AF500" s="31">
        <f>'mnt Data'!R503</f>
        <v>0</v>
      </c>
      <c r="AG500" s="31">
        <f>'mnt Data'!S503</f>
        <v>0</v>
      </c>
      <c r="AH500" s="31">
        <f>'mnt Data'!T503</f>
        <v>0</v>
      </c>
      <c r="AI500" s="31">
        <f>'mnt Data'!U503</f>
        <v>0</v>
      </c>
      <c r="AJ500" s="31">
        <f>'mnt Data'!V503</f>
        <v>0</v>
      </c>
      <c r="AK500" s="31">
        <f>'mnt Data'!W503</f>
        <v>0</v>
      </c>
      <c r="AL500" s="31">
        <f>'mnt Data'!X503</f>
        <v>0</v>
      </c>
      <c r="AM500" s="31">
        <f>'mnt Data'!Y503</f>
        <v>0</v>
      </c>
      <c r="AN500" s="31">
        <f>'mnt Data'!Z503</f>
        <v>0</v>
      </c>
      <c r="AO500" s="31">
        <f>'mnt Data'!AA503</f>
        <v>0</v>
      </c>
      <c r="AP500" s="31">
        <f>'mnt Data'!AB503</f>
        <v>0</v>
      </c>
      <c r="AQ500" s="31">
        <f>'mnt Data'!AC503</f>
        <v>0</v>
      </c>
      <c r="AR500" s="31">
        <f>'mnt Data'!AD503</f>
        <v>0</v>
      </c>
      <c r="AS500" s="31">
        <f>'mnt Data'!AE503</f>
        <v>0</v>
      </c>
      <c r="AT500" s="31">
        <f>'mnt Data'!AF503</f>
        <v>0</v>
      </c>
      <c r="AU500" s="31">
        <f>'mnt Data'!AG503</f>
        <v>0</v>
      </c>
      <c r="AV500" s="31">
        <f>'mnt Data'!AH503</f>
        <v>0</v>
      </c>
      <c r="AW500" s="31">
        <f>'mnt Data'!AI503</f>
        <v>0</v>
      </c>
      <c r="AX500" s="31">
        <f>'mnt Data'!AJ503</f>
        <v>0</v>
      </c>
      <c r="AY500" s="31">
        <f>'mnt Data'!AK503</f>
        <v>0</v>
      </c>
    </row>
    <row r="501" spans="1:51" x14ac:dyDescent="0.25">
      <c r="A501">
        <v>500</v>
      </c>
      <c r="B501" s="32">
        <f t="shared" si="96"/>
        <v>0</v>
      </c>
      <c r="C501" s="32">
        <f t="shared" si="97"/>
        <v>0</v>
      </c>
      <c r="D501" s="32" t="str">
        <f t="shared" si="89"/>
        <v>No Gs</v>
      </c>
      <c r="E501" s="32">
        <f t="shared" si="93"/>
        <v>0</v>
      </c>
      <c r="F501" s="32" t="str">
        <f t="shared" si="94"/>
        <v>No Gs</v>
      </c>
      <c r="G501" s="32" t="str">
        <f t="shared" si="95"/>
        <v>No Gs</v>
      </c>
      <c r="H501" s="32" t="str">
        <f t="shared" si="98"/>
        <v>Gs is needed</v>
      </c>
      <c r="I501" s="32" t="str">
        <f t="shared" si="99"/>
        <v>Gs is needed</v>
      </c>
      <c r="J501" s="32" t="str">
        <f t="shared" si="100"/>
        <v>Gs is needed</v>
      </c>
      <c r="K501" s="32" t="str">
        <f t="shared" si="90"/>
        <v>Need Max and Min</v>
      </c>
      <c r="L501" s="32" t="str">
        <f t="shared" si="91"/>
        <v>Need Max and Min</v>
      </c>
      <c r="M501" s="32" t="str">
        <f t="shared" si="92"/>
        <v>Fail</v>
      </c>
      <c r="N501" s="32"/>
      <c r="O501" s="31">
        <f>'mnt Data'!A504</f>
        <v>0</v>
      </c>
      <c r="P501" s="31">
        <f>'mnt Data'!B504</f>
        <v>0</v>
      </c>
      <c r="Q501" s="31">
        <f>'mnt Data'!C504</f>
        <v>0</v>
      </c>
      <c r="R501" s="31">
        <f>'mnt Data'!D504</f>
        <v>0</v>
      </c>
      <c r="S501" s="31">
        <f>'mnt Data'!E504</f>
        <v>0</v>
      </c>
      <c r="T501" s="31">
        <f>'mnt Data'!F504</f>
        <v>0</v>
      </c>
      <c r="U501" s="31">
        <f>'mnt Data'!G504</f>
        <v>0</v>
      </c>
      <c r="V501" s="31">
        <f>'mnt Data'!H504</f>
        <v>0</v>
      </c>
      <c r="W501" s="31">
        <f>'mnt Data'!I504</f>
        <v>0</v>
      </c>
      <c r="X501" s="31">
        <f>'mnt Data'!J504</f>
        <v>0</v>
      </c>
      <c r="Y501" s="31">
        <f>'mnt Data'!K504</f>
        <v>0</v>
      </c>
      <c r="Z501" s="31">
        <f>'mnt Data'!L504</f>
        <v>0</v>
      </c>
      <c r="AA501" s="31">
        <f>'mnt Data'!M504</f>
        <v>0</v>
      </c>
      <c r="AB501" s="31">
        <f>'mnt Data'!N504</f>
        <v>0</v>
      </c>
      <c r="AC501" s="31">
        <f>'mnt Data'!O504</f>
        <v>0</v>
      </c>
      <c r="AD501" s="31">
        <f>'mnt Data'!P504</f>
        <v>0</v>
      </c>
      <c r="AE501" s="31">
        <f>'mnt Data'!Q504</f>
        <v>0</v>
      </c>
      <c r="AF501" s="31">
        <f>'mnt Data'!R504</f>
        <v>0</v>
      </c>
      <c r="AG501" s="31">
        <f>'mnt Data'!S504</f>
        <v>0</v>
      </c>
      <c r="AH501" s="31">
        <f>'mnt Data'!T504</f>
        <v>0</v>
      </c>
      <c r="AI501" s="31">
        <f>'mnt Data'!U504</f>
        <v>0</v>
      </c>
      <c r="AJ501" s="31">
        <f>'mnt Data'!V504</f>
        <v>0</v>
      </c>
      <c r="AK501" s="31">
        <f>'mnt Data'!W504</f>
        <v>0</v>
      </c>
      <c r="AL501" s="31">
        <f>'mnt Data'!X504</f>
        <v>0</v>
      </c>
      <c r="AM501" s="31">
        <f>'mnt Data'!Y504</f>
        <v>0</v>
      </c>
      <c r="AN501" s="31">
        <f>'mnt Data'!Z504</f>
        <v>0</v>
      </c>
      <c r="AO501" s="31">
        <f>'mnt Data'!AA504</f>
        <v>0</v>
      </c>
      <c r="AP501" s="31">
        <f>'mnt Data'!AB504</f>
        <v>0</v>
      </c>
      <c r="AQ501" s="31">
        <f>'mnt Data'!AC504</f>
        <v>0</v>
      </c>
      <c r="AR501" s="31">
        <f>'mnt Data'!AD504</f>
        <v>0</v>
      </c>
      <c r="AS501" s="31">
        <f>'mnt Data'!AE504</f>
        <v>0</v>
      </c>
      <c r="AT501" s="31">
        <f>'mnt Data'!AF504</f>
        <v>0</v>
      </c>
      <c r="AU501" s="31">
        <f>'mnt Data'!AG504</f>
        <v>0</v>
      </c>
      <c r="AV501" s="31">
        <f>'mnt Data'!AH504</f>
        <v>0</v>
      </c>
      <c r="AW501" s="31">
        <f>'mnt Data'!AI504</f>
        <v>0</v>
      </c>
      <c r="AX501" s="31">
        <f>'mnt Data'!AJ504</f>
        <v>0</v>
      </c>
      <c r="AY501" s="31">
        <f>'mnt Data'!AK504</f>
        <v>0</v>
      </c>
    </row>
    <row r="502" spans="1:51" x14ac:dyDescent="0.25">
      <c r="A502">
        <v>501</v>
      </c>
      <c r="B502" s="32">
        <f t="shared" si="96"/>
        <v>0</v>
      </c>
      <c r="C502" s="32">
        <f t="shared" si="97"/>
        <v>0</v>
      </c>
      <c r="D502" s="32" t="str">
        <f t="shared" si="89"/>
        <v>No Gs</v>
      </c>
      <c r="E502" s="32">
        <f t="shared" si="93"/>
        <v>0</v>
      </c>
      <c r="F502" s="32" t="str">
        <f t="shared" si="94"/>
        <v>No Gs</v>
      </c>
      <c r="G502" s="32" t="str">
        <f t="shared" si="95"/>
        <v>No Gs</v>
      </c>
      <c r="H502" s="32" t="str">
        <f t="shared" si="98"/>
        <v>Gs is needed</v>
      </c>
      <c r="I502" s="32" t="str">
        <f t="shared" si="99"/>
        <v>Gs is needed</v>
      </c>
      <c r="J502" s="32" t="str">
        <f t="shared" si="100"/>
        <v>Gs is needed</v>
      </c>
      <c r="K502" s="32" t="str">
        <f t="shared" si="90"/>
        <v>Need Max and Min</v>
      </c>
      <c r="L502" s="32" t="str">
        <f t="shared" si="91"/>
        <v>Need Max and Min</v>
      </c>
      <c r="M502" s="32" t="str">
        <f t="shared" si="92"/>
        <v>Fail</v>
      </c>
      <c r="N502" s="32"/>
      <c r="O502" s="31">
        <f>'mnt Data'!A505</f>
        <v>0</v>
      </c>
      <c r="P502" s="31">
        <f>'mnt Data'!B505</f>
        <v>0</v>
      </c>
      <c r="Q502" s="31">
        <f>'mnt Data'!C505</f>
        <v>0</v>
      </c>
      <c r="R502" s="31">
        <f>'mnt Data'!D505</f>
        <v>0</v>
      </c>
      <c r="S502" s="31">
        <f>'mnt Data'!E505</f>
        <v>0</v>
      </c>
      <c r="T502" s="31">
        <f>'mnt Data'!F505</f>
        <v>0</v>
      </c>
      <c r="U502" s="31">
        <f>'mnt Data'!G505</f>
        <v>0</v>
      </c>
      <c r="V502" s="31">
        <f>'mnt Data'!H505</f>
        <v>0</v>
      </c>
      <c r="W502" s="31">
        <f>'mnt Data'!I505</f>
        <v>0</v>
      </c>
      <c r="X502" s="31">
        <f>'mnt Data'!J505</f>
        <v>0</v>
      </c>
      <c r="Y502" s="31">
        <f>'mnt Data'!K505</f>
        <v>0</v>
      </c>
      <c r="Z502" s="31">
        <f>'mnt Data'!L505</f>
        <v>0</v>
      </c>
      <c r="AA502" s="31">
        <f>'mnt Data'!M505</f>
        <v>0</v>
      </c>
      <c r="AB502" s="31">
        <f>'mnt Data'!N505</f>
        <v>0</v>
      </c>
      <c r="AC502" s="31">
        <f>'mnt Data'!O505</f>
        <v>0</v>
      </c>
      <c r="AD502" s="31">
        <f>'mnt Data'!P505</f>
        <v>0</v>
      </c>
      <c r="AE502" s="31">
        <f>'mnt Data'!Q505</f>
        <v>0</v>
      </c>
      <c r="AF502" s="31">
        <f>'mnt Data'!R505</f>
        <v>0</v>
      </c>
      <c r="AG502" s="31">
        <f>'mnt Data'!S505</f>
        <v>0</v>
      </c>
      <c r="AH502" s="31">
        <f>'mnt Data'!T505</f>
        <v>0</v>
      </c>
      <c r="AI502" s="31">
        <f>'mnt Data'!U505</f>
        <v>0</v>
      </c>
      <c r="AJ502" s="31">
        <f>'mnt Data'!V505</f>
        <v>0</v>
      </c>
      <c r="AK502" s="31">
        <f>'mnt Data'!W505</f>
        <v>0</v>
      </c>
      <c r="AL502" s="31">
        <f>'mnt Data'!X505</f>
        <v>0</v>
      </c>
      <c r="AM502" s="31">
        <f>'mnt Data'!Y505</f>
        <v>0</v>
      </c>
      <c r="AN502" s="31">
        <f>'mnt Data'!Z505</f>
        <v>0</v>
      </c>
      <c r="AO502" s="31">
        <f>'mnt Data'!AA505</f>
        <v>0</v>
      </c>
      <c r="AP502" s="31">
        <f>'mnt Data'!AB505</f>
        <v>0</v>
      </c>
      <c r="AQ502" s="31">
        <f>'mnt Data'!AC505</f>
        <v>0</v>
      </c>
      <c r="AR502" s="31">
        <f>'mnt Data'!AD505</f>
        <v>0</v>
      </c>
      <c r="AS502" s="31">
        <f>'mnt Data'!AE505</f>
        <v>0</v>
      </c>
      <c r="AT502" s="31">
        <f>'mnt Data'!AF505</f>
        <v>0</v>
      </c>
      <c r="AU502" s="31">
        <f>'mnt Data'!AG505</f>
        <v>0</v>
      </c>
      <c r="AV502" s="31">
        <f>'mnt Data'!AH505</f>
        <v>0</v>
      </c>
      <c r="AW502" s="31">
        <f>'mnt Data'!AI505</f>
        <v>0</v>
      </c>
      <c r="AX502" s="31">
        <f>'mnt Data'!AJ505</f>
        <v>0</v>
      </c>
      <c r="AY502" s="31">
        <f>'mnt Data'!AK505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Report</vt:lpstr>
      <vt:lpstr>mnt Data</vt:lpstr>
      <vt:lpstr>Vol Calcs</vt:lpstr>
      <vt:lpstr>DMax</vt:lpstr>
      <vt:lpstr>DMin</vt:lpstr>
      <vt:lpstr>Gs</vt:lpstr>
      <vt:lpstr>Max</vt:lpstr>
      <vt:lpstr>Min</vt:lpstr>
      <vt:lpstr>Report!Print_Titles</vt:lpstr>
      <vt:lpstr>Report</vt:lpstr>
    </vt:vector>
  </TitlesOfParts>
  <Company>...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</dc:creator>
  <cp:lastModifiedBy>Ron Berube</cp:lastModifiedBy>
  <cp:lastPrinted>2021-03-23T12:59:34Z</cp:lastPrinted>
  <dcterms:created xsi:type="dcterms:W3CDTF">2007-04-04T19:28:23Z</dcterms:created>
  <dcterms:modified xsi:type="dcterms:W3CDTF">2021-03-23T14:42:21Z</dcterms:modified>
</cp:coreProperties>
</file>