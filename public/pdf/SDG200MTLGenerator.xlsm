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e5b328f9171baa/TTS/excel tools/"/>
    </mc:Choice>
  </mc:AlternateContent>
  <xr:revisionPtr revIDLastSave="0" documentId="10_ncr:8000_{47921983-C707-4BAA-B752-E4FF5C151014}" xr6:coauthVersionLast="45" xr6:coauthVersionMax="45" xr10:uidLastSave="{00000000-0000-0000-0000-000000000000}"/>
  <workbookProtection workbookAlgorithmName="SHA-512" workbookHashValue="F/WcfvAYHYKTbjJKicJ+arzztV9lKJHovmu5JKNcRC3smYN2H5aACFDaVmbiDIeDnz20VjyPb6O+iMFtgvBf+w==" workbookSaltValue="IoXX7CzqP+UokNw4K29ToQ==" workbookSpinCount="100000" lockStructure="1"/>
  <bookViews>
    <workbookView showHorizontalScroll="0" showVerticalScroll="0" showSheetTabs="0" xWindow="-26835" yWindow="930" windowWidth="22845" windowHeight="14280" xr2:uid="{00000000-000D-0000-FFFF-FFFF00000000}"/>
  </bookViews>
  <sheets>
    <sheet name="Input" sheetId="4" r:id="rId1"/>
    <sheet name="Size Distribution Curve" sheetId="1" r:id="rId2"/>
    <sheet name="Data" sheetId="3" state="hidden" r:id="rId3"/>
  </sheets>
  <functionGroups builtInGroupCount="19"/>
  <definedNames>
    <definedName name="CC">'Size Distribution Curve'!$S$41</definedName>
    <definedName name="coarse">'Size Distribution Curve'!$S$34</definedName>
    <definedName name="cobbles">'Size Distribution Curve'!$S$33</definedName>
    <definedName name="CU">'Size Distribution Curve'!$S$40</definedName>
    <definedName name="Depth">Input!$K$28</definedName>
    <definedName name="Desc">Input!$K$26</definedName>
    <definedName name="FINES">'Size Distribution Curve'!$S$37</definedName>
    <definedName name="Grav">'Size Distribution Curve'!$S$35</definedName>
    <definedName name="ID">Input!$K$27</definedName>
    <definedName name="LL">Input!$K$34</definedName>
    <definedName name="MDD">Input!$K$29</definedName>
    <definedName name="OMC">Input!$K$30</definedName>
    <definedName name="PL">Input!$K$33</definedName>
    <definedName name="_xlnm.Print_Area" localSheetId="1">'Size Distribution Curve'!$A$2:$U$42</definedName>
    <definedName name="SAND">'Size Distribution Curve'!$S$36</definedName>
    <definedName name="Sieve">Input!$C$4:$D$30</definedName>
    <definedName name="Units">Input!$M$31</definedName>
    <definedName name="WDos">Input!$K$31</definedName>
    <definedName name="wos">Input!$K$32</definedName>
  </definedNames>
  <calcPr calcId="181029"/>
</workbook>
</file>

<file path=xl/calcChain.xml><?xml version="1.0" encoding="utf-8"?>
<calcChain xmlns="http://schemas.openxmlformats.org/spreadsheetml/2006/main">
  <c r="S41" i="1" l="1"/>
  <c r="S40" i="1"/>
  <c r="U7" i="1"/>
  <c r="U6" i="1"/>
  <c r="M33" i="1" l="1"/>
  <c r="R13" i="1"/>
  <c r="R12" i="1"/>
  <c r="R11" i="1"/>
  <c r="R10" i="1"/>
  <c r="R9" i="1"/>
  <c r="R8" i="1"/>
  <c r="R7" i="1"/>
  <c r="B54" i="3"/>
  <c r="R5" i="1"/>
  <c r="B56" i="3"/>
  <c r="B49" i="3"/>
  <c r="A107" i="1"/>
  <c r="A106" i="1"/>
  <c r="A103" i="1"/>
  <c r="S32" i="1"/>
  <c r="S31" i="1"/>
  <c r="S28" i="1"/>
  <c r="A56" i="3"/>
  <c r="C56" i="3"/>
  <c r="A55" i="3"/>
  <c r="C55" i="3" s="1"/>
  <c r="A54" i="3"/>
  <c r="C54" i="3"/>
  <c r="A53" i="3"/>
  <c r="C53" i="3"/>
  <c r="B53" i="3"/>
  <c r="A52" i="3"/>
  <c r="C52" i="3"/>
  <c r="A51" i="3"/>
  <c r="C51" i="3"/>
  <c r="A50" i="3"/>
  <c r="C50" i="3" s="1"/>
  <c r="B50" i="3"/>
  <c r="A49" i="3"/>
  <c r="C49" i="3" s="1"/>
  <c r="A48" i="3"/>
  <c r="C48" i="3" s="1"/>
  <c r="B48" i="3"/>
  <c r="A47" i="3"/>
  <c r="C47" i="3" s="1"/>
  <c r="A46" i="3"/>
  <c r="C46" i="3" s="1"/>
  <c r="B46" i="3"/>
  <c r="A45" i="3"/>
  <c r="C45" i="3" s="1"/>
  <c r="B45" i="3"/>
  <c r="A44" i="3"/>
  <c r="C44" i="3"/>
  <c r="B44" i="3"/>
  <c r="A43" i="3"/>
  <c r="C43" i="3" s="1"/>
  <c r="B43" i="3"/>
  <c r="A42" i="3"/>
  <c r="C42" i="3"/>
  <c r="B42" i="3"/>
  <c r="A41" i="3"/>
  <c r="C41" i="3"/>
  <c r="B41" i="3"/>
  <c r="A40" i="3"/>
  <c r="C40" i="3"/>
  <c r="B40" i="3"/>
  <c r="A39" i="3"/>
  <c r="C39" i="3"/>
  <c r="B39" i="3"/>
  <c r="A38" i="3"/>
  <c r="C38" i="3" s="1"/>
  <c r="B38" i="3"/>
  <c r="A37" i="3"/>
  <c r="C37" i="3" s="1"/>
  <c r="B37" i="3"/>
  <c r="S29" i="1"/>
  <c r="A104" i="1" s="1"/>
  <c r="S30" i="1"/>
  <c r="A105" i="1" s="1"/>
  <c r="S39" i="1"/>
  <c r="A114" i="1" s="1"/>
  <c r="S38" i="1"/>
  <c r="A113" i="1" s="1"/>
  <c r="F5" i="3"/>
  <c r="F6" i="3"/>
  <c r="F7" i="3"/>
  <c r="F8" i="3"/>
  <c r="F9" i="3"/>
  <c r="S26" i="1"/>
  <c r="R14" i="1"/>
  <c r="S27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4" i="1"/>
  <c r="M2" i="1"/>
  <c r="M1" i="1"/>
  <c r="I2" i="1"/>
  <c r="I1" i="1"/>
  <c r="J1" i="1"/>
  <c r="B2" i="1"/>
  <c r="B1" i="1"/>
  <c r="R15" i="1"/>
  <c r="R16" i="1"/>
  <c r="R17" i="1"/>
  <c r="R18" i="1"/>
  <c r="R19" i="1"/>
  <c r="R20" i="1"/>
  <c r="R21" i="1"/>
  <c r="R22" i="1"/>
  <c r="R23" i="1"/>
  <c r="W3" i="3"/>
  <c r="B47" i="3"/>
  <c r="B51" i="3"/>
  <c r="B52" i="3"/>
  <c r="R6" i="1"/>
  <c r="B55" i="3"/>
  <c r="R4" i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S42" i="1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D44" i="3" l="1"/>
  <c r="G695" i="3"/>
  <c r="G633" i="3"/>
  <c r="G121" i="3"/>
  <c r="G520" i="3"/>
  <c r="G1002" i="3"/>
  <c r="G684" i="3"/>
  <c r="G502" i="3"/>
  <c r="G732" i="3"/>
  <c r="G935" i="3"/>
  <c r="G867" i="3"/>
  <c r="G262" i="3"/>
  <c r="G517" i="3"/>
  <c r="G999" i="3"/>
  <c r="G345" i="3"/>
  <c r="G832" i="3"/>
  <c r="G729" i="3"/>
  <c r="G327" i="3"/>
  <c r="G522" i="3"/>
  <c r="G825" i="3"/>
  <c r="G531" i="3"/>
  <c r="G958" i="3"/>
  <c r="G104" i="3"/>
  <c r="G760" i="3"/>
  <c r="G79" i="3"/>
  <c r="G309" i="3"/>
  <c r="G160" i="3"/>
  <c r="G49" i="3"/>
  <c r="G824" i="3"/>
  <c r="G731" i="3"/>
  <c r="G464" i="3"/>
  <c r="G907" i="3"/>
  <c r="G611" i="3"/>
  <c r="G864" i="3"/>
  <c r="G879" i="3"/>
  <c r="G221" i="3"/>
  <c r="G608" i="3"/>
  <c r="G203" i="3"/>
  <c r="G540" i="3"/>
  <c r="G395" i="3"/>
  <c r="G240" i="3"/>
  <c r="G140" i="3"/>
  <c r="G352" i="3"/>
  <c r="G568" i="3"/>
  <c r="G946" i="3"/>
  <c r="G56" i="3"/>
  <c r="G768" i="3"/>
  <c r="G989" i="3"/>
  <c r="G630" i="3"/>
  <c r="G314" i="3"/>
  <c r="G290" i="3"/>
  <c r="G348" i="3"/>
  <c r="G646" i="3"/>
  <c r="G967" i="3"/>
  <c r="G369" i="3"/>
  <c r="G227" i="3"/>
  <c r="G985" i="3"/>
  <c r="G96" i="3"/>
  <c r="G689" i="3"/>
  <c r="G379" i="3"/>
  <c r="G208" i="3"/>
  <c r="G258" i="3"/>
  <c r="G123" i="3"/>
  <c r="G363" i="3"/>
  <c r="G450" i="3"/>
  <c r="G492" i="3"/>
  <c r="G228" i="3"/>
  <c r="G306" i="3"/>
  <c r="C9" i="3"/>
  <c r="G130" i="3"/>
  <c r="G201" i="3"/>
  <c r="G12" i="3"/>
  <c r="G836" i="3"/>
  <c r="G951" i="3"/>
  <c r="G116" i="3"/>
  <c r="G158" i="3"/>
  <c r="G246" i="3"/>
  <c r="G385" i="3"/>
  <c r="G45" i="3"/>
  <c r="G473" i="3"/>
  <c r="G710" i="3"/>
  <c r="G529" i="3"/>
  <c r="G727" i="3"/>
  <c r="G745" i="3"/>
  <c r="G777" i="3"/>
  <c r="G716" i="3"/>
  <c r="G26" i="3"/>
  <c r="G94" i="3"/>
  <c r="G361" i="3"/>
  <c r="G268" i="3"/>
  <c r="G147" i="3"/>
  <c r="G506" i="3"/>
  <c r="G386" i="3"/>
  <c r="G307" i="3"/>
  <c r="G20" i="3"/>
  <c r="G955" i="3"/>
  <c r="G169" i="3"/>
  <c r="G209" i="3"/>
  <c r="G720" i="3"/>
  <c r="G389" i="3"/>
  <c r="G652" i="3"/>
  <c r="G390" i="3"/>
  <c r="G733" i="3"/>
  <c r="G397" i="3"/>
  <c r="G269" i="3"/>
  <c r="G48" i="3"/>
  <c r="G741" i="3"/>
  <c r="G36" i="3"/>
  <c r="G766" i="3"/>
  <c r="G922" i="3"/>
  <c r="G771" i="3"/>
  <c r="G122" i="3"/>
  <c r="G100" i="3"/>
  <c r="G484" i="3"/>
  <c r="G415" i="3"/>
  <c r="G364" i="3"/>
  <c r="G360" i="3"/>
  <c r="G820" i="3"/>
  <c r="G682" i="3"/>
  <c r="G449" i="3"/>
  <c r="G378" i="3"/>
  <c r="G334" i="3"/>
  <c r="G843" i="3"/>
  <c r="G552" i="3"/>
  <c r="G193" i="3"/>
  <c r="G218" i="3"/>
  <c r="G898" i="3"/>
  <c r="G371" i="3"/>
  <c r="G403" i="3"/>
  <c r="G612" i="3"/>
  <c r="G7" i="3"/>
  <c r="G293" i="3"/>
  <c r="G202" i="3"/>
  <c r="G617" i="3"/>
  <c r="G171" i="3"/>
  <c r="G151" i="3"/>
  <c r="G212" i="3"/>
  <c r="G355" i="3"/>
  <c r="G452" i="3"/>
  <c r="G574" i="3"/>
  <c r="G605" i="3"/>
  <c r="G483" i="3"/>
  <c r="G40" i="3"/>
  <c r="G704" i="3"/>
  <c r="G173" i="3"/>
  <c r="G421" i="3"/>
  <c r="G482" i="3"/>
  <c r="G911" i="3"/>
  <c r="G41" i="3"/>
  <c r="G801" i="3"/>
  <c r="G764" i="3"/>
  <c r="G602" i="3"/>
  <c r="G253" i="3"/>
  <c r="G625" i="3"/>
  <c r="G712" i="3"/>
  <c r="G362" i="3"/>
  <c r="G359" i="3"/>
  <c r="G623" i="3"/>
  <c r="G215" i="3"/>
  <c r="G803" i="3"/>
  <c r="G675" i="3"/>
  <c r="G259" i="3"/>
  <c r="G381" i="3"/>
  <c r="G603" i="3"/>
  <c r="G153" i="3"/>
  <c r="G108" i="3"/>
  <c r="G945" i="3"/>
  <c r="G148" i="3"/>
  <c r="G51" i="3"/>
  <c r="G216" i="3"/>
  <c r="G943" i="3"/>
  <c r="G341" i="3"/>
  <c r="G86" i="3"/>
  <c r="G860" i="3"/>
  <c r="G154" i="3"/>
  <c r="G200" i="3"/>
  <c r="G939" i="3"/>
  <c r="G773" i="3"/>
  <c r="G750" i="3"/>
  <c r="G651" i="3"/>
  <c r="G654" i="3"/>
  <c r="G466" i="3"/>
  <c r="G662" i="3"/>
  <c r="G663" i="3"/>
  <c r="G527" i="3"/>
  <c r="G477" i="3"/>
  <c r="G797" i="3"/>
  <c r="G535" i="3"/>
  <c r="G441" i="3"/>
  <c r="G358" i="3"/>
  <c r="G491" i="3"/>
  <c r="G655" i="3"/>
  <c r="G808" i="3"/>
  <c r="G582" i="3"/>
  <c r="G340" i="3"/>
  <c r="G596" i="3"/>
  <c r="G724" i="3"/>
  <c r="B32" i="3"/>
  <c r="G701" i="3"/>
  <c r="G279" i="3"/>
  <c r="G937" i="3"/>
  <c r="G993" i="3"/>
  <c r="G342" i="3"/>
  <c r="G928" i="3"/>
  <c r="G544" i="3"/>
  <c r="G986" i="3"/>
  <c r="G688" i="3"/>
  <c r="G115" i="3"/>
  <c r="G487" i="3"/>
  <c r="G590" i="3"/>
  <c r="G266" i="3"/>
  <c r="G965" i="3"/>
  <c r="G620" i="3"/>
  <c r="G996" i="3"/>
  <c r="G748" i="3"/>
  <c r="G703" i="3"/>
  <c r="G932" i="3"/>
  <c r="G493" i="3"/>
  <c r="G387" i="3"/>
  <c r="G957" i="3"/>
  <c r="G798" i="3"/>
  <c r="G370" i="3"/>
  <c r="G699" i="3"/>
  <c r="G377" i="3"/>
  <c r="G97" i="3"/>
  <c r="G252" i="3"/>
  <c r="G91" i="3"/>
  <c r="G700" i="3"/>
  <c r="G418" i="3"/>
  <c r="G55" i="3"/>
  <c r="G658" i="3"/>
  <c r="G570" i="3"/>
  <c r="G637" i="3"/>
  <c r="G926" i="3"/>
  <c r="G469" i="3"/>
  <c r="G866" i="3"/>
  <c r="G178" i="3"/>
  <c r="G664" i="3"/>
  <c r="G470" i="3"/>
  <c r="G992" i="3"/>
  <c r="G521" i="3"/>
  <c r="G302" i="3"/>
  <c r="G751" i="3"/>
  <c r="G187" i="3"/>
  <c r="G543" i="3"/>
  <c r="G432" i="3"/>
  <c r="G947" i="3"/>
  <c r="G749" i="3"/>
  <c r="G320" i="3"/>
  <c r="G32" i="3"/>
  <c r="G186" i="3"/>
  <c r="G423" i="3"/>
  <c r="G769" i="3"/>
  <c r="G88" i="3"/>
  <c r="G311" i="3"/>
  <c r="G300" i="3"/>
  <c r="G245" i="3"/>
  <c r="G219" i="3"/>
  <c r="G713" i="3"/>
  <c r="G156" i="3"/>
  <c r="G599" i="3"/>
  <c r="G934" i="3"/>
  <c r="G310" i="3"/>
  <c r="G191" i="3"/>
  <c r="G507" i="3"/>
  <c r="G726" i="3"/>
  <c r="G686" i="3"/>
  <c r="G235" i="3"/>
  <c r="G554" i="3"/>
  <c r="G757" i="3"/>
  <c r="G365" i="3"/>
  <c r="G6" i="3"/>
  <c r="G566" i="3"/>
  <c r="G990" i="3"/>
  <c r="G914" i="3"/>
  <c r="G949" i="3"/>
  <c r="G52" i="3"/>
  <c r="G559" i="3"/>
  <c r="G873" i="3"/>
  <c r="G557" i="3"/>
  <c r="G380" i="3"/>
  <c r="G995" i="3"/>
  <c r="G942" i="3"/>
  <c r="G635" i="3"/>
  <c r="G232" i="3"/>
  <c r="G231" i="3"/>
  <c r="G587" i="3"/>
  <c r="G717" i="3"/>
  <c r="G124" i="3"/>
  <c r="G244" i="3"/>
  <c r="G22" i="3"/>
  <c r="G457" i="3"/>
  <c r="G514" i="3"/>
  <c r="G62" i="3"/>
  <c r="G643" i="3"/>
  <c r="G237" i="3"/>
  <c r="G61" i="3"/>
  <c r="G305" i="3"/>
  <c r="G564" i="3"/>
  <c r="G112" i="3"/>
  <c r="G69" i="3"/>
  <c r="G600" i="3"/>
  <c r="G406" i="3"/>
  <c r="G560" i="3"/>
  <c r="G283" i="3"/>
  <c r="G463" i="3"/>
  <c r="G551" i="3"/>
  <c r="G863" i="3"/>
  <c r="G372" i="3"/>
  <c r="G526" i="3"/>
  <c r="G636" i="3"/>
  <c r="G420" i="3"/>
  <c r="G550" i="3"/>
  <c r="G301" i="3"/>
  <c r="G763" i="3"/>
  <c r="G10" i="3"/>
  <c r="G607" i="3"/>
  <c r="G897" i="3"/>
  <c r="G747" i="3"/>
  <c r="G474" i="3"/>
  <c r="G685" i="3"/>
  <c r="G481" i="3"/>
  <c r="G438" i="3"/>
  <c r="G648" i="3"/>
  <c r="G111" i="3"/>
  <c r="G42" i="3"/>
  <c r="G852" i="3"/>
  <c r="G594" i="3"/>
  <c r="B29" i="3"/>
  <c r="G523" i="3"/>
  <c r="G930" i="3"/>
  <c r="G295" i="3"/>
  <c r="G424" i="3"/>
  <c r="G653" i="3"/>
  <c r="G578" i="3"/>
  <c r="G982" i="3"/>
  <c r="G288" i="3"/>
  <c r="G670" i="3"/>
  <c r="G770" i="3"/>
  <c r="G393" i="3"/>
  <c r="G970" i="3"/>
  <c r="G125" i="3"/>
  <c r="G1000" i="3"/>
  <c r="G944" i="3"/>
  <c r="G880" i="3"/>
  <c r="G962" i="3"/>
  <c r="G534" i="3"/>
  <c r="G656" i="3"/>
  <c r="G325" i="3"/>
  <c r="G419" i="3"/>
  <c r="G335" i="3"/>
  <c r="G155" i="3"/>
  <c r="G579" i="3"/>
  <c r="G28" i="3"/>
  <c r="G442" i="3"/>
  <c r="G471" i="3"/>
  <c r="G510" i="3"/>
  <c r="G434" i="3"/>
  <c r="G454" i="3"/>
  <c r="G984" i="3"/>
  <c r="G433" i="3"/>
  <c r="G869" i="3"/>
  <c r="G336" i="3"/>
  <c r="G621" i="3"/>
  <c r="G182" i="3"/>
  <c r="G207" i="3"/>
  <c r="G117" i="3"/>
  <c r="G856" i="3"/>
  <c r="G254" i="3"/>
  <c r="G792" i="3"/>
  <c r="G536" i="3"/>
  <c r="G238" i="3"/>
  <c r="G476" i="3"/>
  <c r="G511" i="3"/>
  <c r="G407" i="3"/>
  <c r="G909" i="3"/>
  <c r="G220" i="3"/>
  <c r="G105" i="3"/>
  <c r="G346" i="3"/>
  <c r="G339" i="3"/>
  <c r="G640" i="3"/>
  <c r="G754" i="3"/>
  <c r="G425" i="3"/>
  <c r="G456" i="3"/>
  <c r="G983" i="3"/>
  <c r="G21" i="3"/>
  <c r="G779" i="3"/>
  <c r="G398" i="3"/>
  <c r="G410" i="3"/>
  <c r="G585" i="3"/>
  <c r="G905" i="3"/>
  <c r="G912" i="3"/>
  <c r="G338" i="3"/>
  <c r="G23" i="3"/>
  <c r="G30" i="3"/>
  <c r="G638" i="3"/>
  <c r="G435" i="3"/>
  <c r="G59" i="3"/>
  <c r="G113" i="3"/>
  <c r="G375" i="3"/>
  <c r="G313" i="3"/>
  <c r="G71" i="3"/>
  <c r="G149" i="3"/>
  <c r="G224" i="3"/>
  <c r="G392" i="3"/>
  <c r="G542" i="3"/>
  <c r="G933" i="3"/>
  <c r="G650" i="3"/>
  <c r="G988" i="3"/>
  <c r="G326" i="3"/>
  <c r="G518" i="3"/>
  <c r="G351" i="3"/>
  <c r="G667" i="3"/>
  <c r="G195" i="3"/>
  <c r="G150" i="3"/>
  <c r="G781" i="3"/>
  <c r="G1001" i="3"/>
  <c r="G174" i="3"/>
  <c r="G54" i="3"/>
  <c r="G479" i="3"/>
  <c r="G952" i="3"/>
  <c r="G513" i="3"/>
  <c r="G249" i="3"/>
  <c r="G705" i="3"/>
  <c r="G501" i="3"/>
  <c r="G616" i="3"/>
  <c r="G126" i="3"/>
  <c r="G72" i="3"/>
  <c r="G964" i="3"/>
  <c r="G239" i="3"/>
  <c r="G366" i="3"/>
  <c r="G913" i="3"/>
  <c r="G47" i="3"/>
  <c r="G772" i="3"/>
  <c r="G276" i="3"/>
  <c r="G25" i="3"/>
  <c r="G877" i="3"/>
  <c r="G278" i="3"/>
  <c r="G799" i="3"/>
  <c r="G631" i="3"/>
  <c r="G225" i="3"/>
  <c r="G734" i="3"/>
  <c r="G318" i="3"/>
  <c r="G948" i="3"/>
  <c r="G791" i="3"/>
  <c r="G146" i="3"/>
  <c r="G60" i="3"/>
  <c r="G888" i="3"/>
  <c r="G285" i="3"/>
  <c r="G505" i="3"/>
  <c r="G114" i="3"/>
  <c r="G796" i="3"/>
  <c r="G896" i="3"/>
  <c r="G267" i="3"/>
  <c r="G756" i="3"/>
  <c r="G837" i="3"/>
  <c r="G583" i="3"/>
  <c r="G850" i="3"/>
  <c r="G451" i="3"/>
  <c r="G373" i="3"/>
  <c r="G447" i="3"/>
  <c r="G234" i="3"/>
  <c r="G73" i="3"/>
  <c r="G343" i="3"/>
  <c r="G217" i="3"/>
  <c r="G795" i="3"/>
  <c r="G759" i="3"/>
  <c r="G959" i="3"/>
  <c r="G956" i="3"/>
  <c r="G127" i="3"/>
  <c r="G834" i="3"/>
  <c r="G24" i="3"/>
  <c r="G110" i="3"/>
  <c r="G412" i="3"/>
  <c r="G512" i="3"/>
  <c r="G93" i="3"/>
  <c r="G752" i="3"/>
  <c r="G874" i="3"/>
  <c r="G138" i="3"/>
  <c r="G129" i="3"/>
  <c r="G277" i="3"/>
  <c r="G595" i="3"/>
  <c r="G46" i="3"/>
  <c r="G758" i="3"/>
  <c r="G497" i="3"/>
  <c r="G541" i="3"/>
  <c r="G157" i="3"/>
  <c r="G539" i="3"/>
  <c r="G785" i="3"/>
  <c r="G37" i="3"/>
  <c r="G70" i="3"/>
  <c r="G519" i="3"/>
  <c r="G901" i="3"/>
  <c r="G368" i="3"/>
  <c r="G671" i="3"/>
  <c r="G296" i="3"/>
  <c r="G9" i="3"/>
  <c r="G354" i="3"/>
  <c r="G161" i="3"/>
  <c r="G319" i="3"/>
  <c r="G794" i="3"/>
  <c r="G931" i="3"/>
  <c r="G383" i="3"/>
  <c r="G953" i="3"/>
  <c r="G606" i="3"/>
  <c r="G132" i="3"/>
  <c r="G95" i="3"/>
  <c r="G172" i="3"/>
  <c r="G396" i="3"/>
  <c r="G968" i="3"/>
  <c r="G979" i="3"/>
  <c r="G831" i="3"/>
  <c r="G615" i="3"/>
  <c r="G255" i="3"/>
  <c r="G461" i="3"/>
  <c r="G332" i="3"/>
  <c r="G790" i="3"/>
  <c r="C10" i="3"/>
  <c r="G774" i="3"/>
  <c r="G19" i="3"/>
  <c r="G960" i="3"/>
  <c r="G413" i="3"/>
  <c r="G287" i="3"/>
  <c r="G918" i="3"/>
  <c r="G776" i="3"/>
  <c r="G847" i="3"/>
  <c r="G567" i="3"/>
  <c r="G669" i="3"/>
  <c r="G439" i="3"/>
  <c r="G830" i="3"/>
  <c r="G783" i="3"/>
  <c r="G242" i="3"/>
  <c r="G920" i="3"/>
  <c r="G308" i="3"/>
  <c r="G649" i="3"/>
  <c r="G468" i="3"/>
  <c r="G107" i="3"/>
  <c r="G443" i="3"/>
  <c r="G815" i="3"/>
  <c r="G709" i="3"/>
  <c r="G367" i="3"/>
  <c r="G904" i="3"/>
  <c r="G101" i="3"/>
  <c r="G499" i="3"/>
  <c r="G822" i="3"/>
  <c r="G317" i="3"/>
  <c r="G609" i="3"/>
  <c r="G707" i="3"/>
  <c r="G571" i="3"/>
  <c r="G921" i="3"/>
  <c r="G257" i="3"/>
  <c r="G190" i="3"/>
  <c r="G281" i="3"/>
  <c r="G329" i="3"/>
  <c r="G271" i="3"/>
  <c r="G260" i="3"/>
  <c r="G213" i="3"/>
  <c r="G299" i="3"/>
  <c r="G775" i="3"/>
  <c r="G16" i="3"/>
  <c r="G628" i="3"/>
  <c r="G223" i="3"/>
  <c r="G903" i="3"/>
  <c r="G353" i="3"/>
  <c r="G891" i="3"/>
  <c r="G229" i="3"/>
  <c r="G698" i="3"/>
  <c r="G247" i="3"/>
  <c r="G143" i="3"/>
  <c r="G975" i="3"/>
  <c r="G357" i="3"/>
  <c r="G494" i="3"/>
  <c r="G128" i="3"/>
  <c r="G561" i="3"/>
  <c r="G89" i="3"/>
  <c r="G528" i="3"/>
  <c r="G744" i="3"/>
  <c r="G243" i="3"/>
  <c r="G194" i="3"/>
  <c r="G742" i="3"/>
  <c r="G563" i="3"/>
  <c r="G141" i="3"/>
  <c r="G489" i="3"/>
  <c r="G994" i="3"/>
  <c r="G639" i="3"/>
  <c r="G761" i="3"/>
  <c r="G941" i="3"/>
  <c r="G572" i="3"/>
  <c r="G853" i="3"/>
  <c r="G179" i="3"/>
  <c r="G275" i="3"/>
  <c r="G5" i="3"/>
  <c r="G478" i="3"/>
  <c r="G458" i="3"/>
  <c r="G811" i="3"/>
  <c r="G31" i="3"/>
  <c r="C8" i="3"/>
  <c r="G446" i="3"/>
  <c r="G736" i="3"/>
  <c r="G402" i="3"/>
  <c r="G855" i="3"/>
  <c r="G144" i="3"/>
  <c r="G906" i="3"/>
  <c r="G923" i="3"/>
  <c r="G711" i="3"/>
  <c r="G241" i="3"/>
  <c r="G230" i="3"/>
  <c r="G851" i="3"/>
  <c r="G694" i="3"/>
  <c r="G214" i="3"/>
  <c r="G841" i="3"/>
  <c r="G666" i="3"/>
  <c r="G696" i="3"/>
  <c r="G344" i="3"/>
  <c r="G98" i="3"/>
  <c r="G816" i="3"/>
  <c r="G39" i="3"/>
  <c r="G426" i="3"/>
  <c r="G15" i="3"/>
  <c r="G206" i="3"/>
  <c r="G894" i="3"/>
  <c r="G495" i="3"/>
  <c r="B30" i="3"/>
  <c r="G347" i="3"/>
  <c r="G197" i="3"/>
  <c r="G462" i="3"/>
  <c r="G272" i="3"/>
  <c r="G136" i="3"/>
  <c r="G356" i="3"/>
  <c r="G677" i="3"/>
  <c r="G902" i="3"/>
  <c r="G735" i="3"/>
  <c r="G92" i="3"/>
  <c r="G455" i="3"/>
  <c r="G829" i="3"/>
  <c r="G498" i="3"/>
  <c r="G802" i="3"/>
  <c r="G577" i="3"/>
  <c r="G805" i="3"/>
  <c r="G175" i="3"/>
  <c r="G43" i="3"/>
  <c r="B31" i="3"/>
  <c r="G721" i="3"/>
  <c r="G488" i="3"/>
  <c r="G297" i="3"/>
  <c r="G29" i="3"/>
  <c r="G969" i="3"/>
  <c r="G610" i="3"/>
  <c r="G725" i="3"/>
  <c r="G812" i="3"/>
  <c r="G400" i="3"/>
  <c r="G294" i="3"/>
  <c r="G87" i="3"/>
  <c r="G205" i="3"/>
  <c r="G692" i="3"/>
  <c r="G120" i="3"/>
  <c r="G810" i="3"/>
  <c r="G537" i="3"/>
  <c r="G1004" i="3"/>
  <c r="G192" i="3"/>
  <c r="G828" i="3"/>
  <c r="G196" i="3"/>
  <c r="G404" i="3"/>
  <c r="G634" i="3"/>
  <c r="G665" i="3"/>
  <c r="G58" i="3"/>
  <c r="G460" i="3"/>
  <c r="G135" i="3"/>
  <c r="G613" i="3"/>
  <c r="G485" i="3"/>
  <c r="G263" i="3"/>
  <c r="G929" i="3"/>
  <c r="G715" i="3"/>
  <c r="G503" i="3"/>
  <c r="G291" i="3"/>
  <c r="G835" i="3"/>
  <c r="G963" i="3"/>
  <c r="G516" i="3"/>
  <c r="G34" i="3"/>
  <c r="G76" i="3"/>
  <c r="G981" i="3"/>
  <c r="G718" i="3"/>
  <c r="G530" i="3"/>
  <c r="G142" i="3"/>
  <c r="G11" i="3"/>
  <c r="G629" i="3"/>
  <c r="G778" i="3"/>
  <c r="G890" i="3"/>
  <c r="G592" i="3"/>
  <c r="G533" i="3"/>
  <c r="G440" i="3"/>
  <c r="G743" i="3"/>
  <c r="G63" i="3"/>
  <c r="G787" i="3"/>
  <c r="G800" i="3"/>
  <c r="G57" i="3"/>
  <c r="G273" i="3"/>
  <c r="G251" i="3"/>
  <c r="G13" i="3"/>
  <c r="G139" i="3"/>
  <c r="G722" i="3"/>
  <c r="G839" i="3"/>
  <c r="G679" i="3"/>
  <c r="G813" i="3"/>
  <c r="G924" i="3"/>
  <c r="G168" i="3"/>
  <c r="G706" i="3"/>
  <c r="G845" i="3"/>
  <c r="G14" i="3"/>
  <c r="G678" i="3"/>
  <c r="G145" i="3"/>
  <c r="G872" i="3"/>
  <c r="G842" i="3"/>
  <c r="G323" i="3"/>
  <c r="G453" i="3"/>
  <c r="G189" i="3"/>
  <c r="G588" i="3"/>
  <c r="G198" i="3"/>
  <c r="G4" i="3"/>
  <c r="G84" i="3"/>
  <c r="G659" i="3"/>
  <c r="G292" i="3"/>
  <c r="G618" i="3"/>
  <c r="G927" i="3"/>
  <c r="G264" i="3"/>
  <c r="G961" i="3"/>
  <c r="G35" i="3"/>
  <c r="G895" i="3"/>
  <c r="G737" i="3"/>
  <c r="G917" i="3"/>
  <c r="G882" i="3"/>
  <c r="G417" i="3"/>
  <c r="G152" i="3"/>
  <c r="G814" i="3"/>
  <c r="G274" i="3"/>
  <c r="G298" i="3"/>
  <c r="G467" i="3"/>
  <c r="G256" i="3"/>
  <c r="G331" i="3"/>
  <c r="G723" i="3"/>
  <c r="G431" i="3"/>
  <c r="G524" i="3"/>
  <c r="G188" i="3"/>
  <c r="G854" i="3"/>
  <c r="G475" i="3"/>
  <c r="G177" i="3"/>
  <c r="G780" i="3"/>
  <c r="G936" i="3"/>
  <c r="G807" i="3"/>
  <c r="G465" i="3"/>
  <c r="G823" i="3"/>
  <c r="G827" i="3"/>
  <c r="G719" i="3"/>
  <c r="G875" i="3"/>
  <c r="G556" i="3"/>
  <c r="G876" i="3"/>
  <c r="G99" i="3"/>
  <c r="G915" i="3"/>
  <c r="G846" i="3"/>
  <c r="G408" i="3"/>
  <c r="G167" i="3"/>
  <c r="G919" i="3"/>
  <c r="G673" i="3"/>
  <c r="G66" i="3"/>
  <c r="G405" i="3"/>
  <c r="G739" i="3"/>
  <c r="G350" i="3"/>
  <c r="G821" i="3"/>
  <c r="G762" i="3"/>
  <c r="G753" i="3"/>
  <c r="G954" i="3"/>
  <c r="G900" i="3"/>
  <c r="G1003" i="3"/>
  <c r="G303" i="3"/>
  <c r="G74" i="3"/>
  <c r="G538" i="3"/>
  <c r="G584" i="3"/>
  <c r="G270" i="3"/>
  <c r="G280" i="3"/>
  <c r="G250" i="3"/>
  <c r="G826" i="3"/>
  <c r="G204" i="3"/>
  <c r="G580" i="3"/>
  <c r="G998" i="3"/>
  <c r="G883" i="3"/>
  <c r="G782" i="3"/>
  <c r="G448" i="3"/>
  <c r="G337" i="3"/>
  <c r="G565" i="3"/>
  <c r="G755" i="3"/>
  <c r="G90" i="3"/>
  <c r="G312" i="3"/>
  <c r="G322" i="3"/>
  <c r="G624" i="3"/>
  <c r="G282" i="3"/>
  <c r="G304" i="3"/>
  <c r="G102" i="3"/>
  <c r="G553" i="3"/>
  <c r="G593" i="3"/>
  <c r="G391" i="3"/>
  <c r="G436" i="3"/>
  <c r="G862" i="3"/>
  <c r="G868" i="3"/>
  <c r="G728" i="3"/>
  <c r="G546" i="3"/>
  <c r="G75" i="3"/>
  <c r="G987" i="3"/>
  <c r="G374" i="3"/>
  <c r="G184" i="3"/>
  <c r="G809" i="3"/>
  <c r="G416" i="3"/>
  <c r="G555" i="3"/>
  <c r="G893" i="3"/>
  <c r="G459" i="3"/>
  <c r="G180" i="3"/>
  <c r="G490" i="3"/>
  <c r="G940" i="3"/>
  <c r="G644" i="3"/>
  <c r="G908" i="3"/>
  <c r="G444" i="3"/>
  <c r="G569" i="3"/>
  <c r="G547" i="3"/>
  <c r="G974" i="3"/>
  <c r="G330" i="3"/>
  <c r="G399" i="3"/>
  <c r="G789" i="3"/>
  <c r="G316" i="3"/>
  <c r="G85" i="3"/>
  <c r="G997" i="3"/>
  <c r="G687" i="3"/>
  <c r="G991" i="3"/>
  <c r="G324" i="3"/>
  <c r="G840" i="3"/>
  <c r="G887" i="3"/>
  <c r="G619" i="3"/>
  <c r="G645" i="3"/>
  <c r="G562" i="3"/>
  <c r="G284" i="3"/>
  <c r="G838" i="3"/>
  <c r="G165" i="3"/>
  <c r="G681" i="3"/>
  <c r="G702" i="3"/>
  <c r="G401" i="3"/>
  <c r="G672" i="3"/>
  <c r="G430" i="3"/>
  <c r="G848" i="3"/>
  <c r="G938" i="3"/>
  <c r="G472" i="3"/>
  <c r="G674" i="3"/>
  <c r="G349" i="3"/>
  <c r="G81" i="3"/>
  <c r="G591" i="3"/>
  <c r="G248" i="3"/>
  <c r="G170" i="3"/>
  <c r="G849" i="3"/>
  <c r="G765" i="3"/>
  <c r="G626" i="3"/>
  <c r="G844" i="3"/>
  <c r="G394" i="3"/>
  <c r="G950" i="3"/>
  <c r="G163" i="3"/>
  <c r="G861" i="3"/>
  <c r="G972" i="3"/>
  <c r="G532" i="3"/>
  <c r="G614" i="3"/>
  <c r="G642" i="3"/>
  <c r="G119" i="3"/>
  <c r="G973" i="3"/>
  <c r="G740" i="3"/>
  <c r="G661" i="3"/>
  <c r="G164" i="3"/>
  <c r="G445" i="3"/>
  <c r="G925" i="3"/>
  <c r="G78" i="3"/>
  <c r="G384" i="3"/>
  <c r="G641" i="3"/>
  <c r="G261" i="3"/>
  <c r="G714" i="3"/>
  <c r="G525" i="3"/>
  <c r="G137" i="3"/>
  <c r="G976" i="3"/>
  <c r="G67" i="3"/>
  <c r="G767" i="3"/>
  <c r="G676" i="3"/>
  <c r="G870" i="3"/>
  <c r="G429" i="3"/>
  <c r="G328" i="3"/>
  <c r="G693" i="3"/>
  <c r="G118" i="3"/>
  <c r="G222" i="3"/>
  <c r="G784" i="3"/>
  <c r="G859" i="3"/>
  <c r="G738" i="3"/>
  <c r="G77" i="3"/>
  <c r="G786" i="3"/>
  <c r="G548" i="3"/>
  <c r="G64" i="3"/>
  <c r="G683" i="3"/>
  <c r="G857" i="3"/>
  <c r="G858" i="3"/>
  <c r="G545" i="3"/>
  <c r="G176" i="3"/>
  <c r="G833" i="3"/>
  <c r="G109" i="3"/>
  <c r="G819" i="3"/>
  <c r="G818" i="3"/>
  <c r="G558" i="3"/>
  <c r="G8" i="3"/>
  <c r="G892" i="3"/>
  <c r="G427" i="3"/>
  <c r="G53" i="3"/>
  <c r="G573" i="3"/>
  <c r="G910" i="3"/>
  <c r="G885" i="3"/>
  <c r="G211" i="3"/>
  <c r="G730" i="3"/>
  <c r="G804" i="3"/>
  <c r="G162" i="3"/>
  <c r="G210" i="3"/>
  <c r="G604" i="3"/>
  <c r="G185" i="3"/>
  <c r="G746" i="3"/>
  <c r="G690" i="3"/>
  <c r="G515" i="3"/>
  <c r="G409" i="3"/>
  <c r="G376" i="3"/>
  <c r="G508" i="3"/>
  <c r="G315" i="3"/>
  <c r="G181" i="3"/>
  <c r="G601" i="3"/>
  <c r="G886" i="3"/>
  <c r="G871" i="3"/>
  <c r="G576" i="3"/>
  <c r="G504" i="3"/>
  <c r="G103" i="3"/>
  <c r="G159" i="3"/>
  <c r="G44" i="3"/>
  <c r="G916" i="3"/>
  <c r="G881" i="3"/>
  <c r="G589" i="3"/>
  <c r="G18" i="3"/>
  <c r="G65" i="3"/>
  <c r="G632" i="3"/>
  <c r="G289" i="3"/>
  <c r="G581" i="3"/>
  <c r="G131" i="3"/>
  <c r="G133" i="3"/>
  <c r="G500" i="3"/>
  <c r="G597" i="3"/>
  <c r="G549" i="3"/>
  <c r="G233" i="3"/>
  <c r="G80" i="3"/>
  <c r="G496" i="3"/>
  <c r="G691" i="3"/>
  <c r="G660" i="3"/>
  <c r="G509" i="3"/>
  <c r="G622" i="3"/>
  <c r="G166" i="3"/>
  <c r="G708" i="3"/>
  <c r="G422" i="3"/>
  <c r="G977" i="3"/>
  <c r="G106" i="3"/>
  <c r="G598" i="3"/>
  <c r="G286" i="3"/>
  <c r="G183" i="3"/>
  <c r="G236" i="3"/>
  <c r="G865" i="3"/>
  <c r="G50" i="3"/>
  <c r="G817" i="3"/>
  <c r="G788" i="3"/>
  <c r="G428" i="3"/>
  <c r="G388" i="3"/>
  <c r="G627" i="3"/>
  <c r="G586" i="3"/>
  <c r="G657" i="3"/>
  <c r="G899" i="3"/>
  <c r="G480" i="3"/>
  <c r="G33" i="3"/>
  <c r="G437" i="3"/>
  <c r="G226" i="3"/>
  <c r="G971" i="3"/>
  <c r="G966" i="3"/>
  <c r="G878" i="3"/>
  <c r="G575" i="3"/>
  <c r="G697" i="3"/>
  <c r="G414" i="3"/>
  <c r="G980" i="3"/>
  <c r="G321" i="3"/>
  <c r="G884" i="3"/>
  <c r="G82" i="3"/>
  <c r="G486" i="3"/>
  <c r="G680" i="3"/>
  <c r="G889" i="3"/>
  <c r="G793" i="3"/>
  <c r="G265" i="3"/>
  <c r="G668" i="3"/>
  <c r="G68" i="3"/>
  <c r="G647" i="3"/>
  <c r="G134" i="3"/>
  <c r="G27" i="3"/>
  <c r="G38" i="3"/>
  <c r="G17" i="3"/>
  <c r="G83" i="3"/>
  <c r="G199" i="3"/>
  <c r="G382" i="3"/>
  <c r="G978" i="3"/>
  <c r="G333" i="3"/>
  <c r="G806" i="3"/>
  <c r="G411" i="3"/>
  <c r="D47" i="3"/>
  <c r="H411" i="3" l="1"/>
  <c r="H806" i="3"/>
  <c r="H333" i="3"/>
  <c r="H978" i="3"/>
  <c r="H382" i="3"/>
  <c r="H199" i="3"/>
  <c r="H83" i="3"/>
  <c r="H17" i="3"/>
  <c r="H38" i="3"/>
  <c r="H27" i="3"/>
  <c r="H134" i="3"/>
  <c r="H647" i="3"/>
  <c r="H68" i="3"/>
  <c r="H668" i="3"/>
  <c r="H265" i="3"/>
  <c r="H793" i="3"/>
  <c r="H889" i="3"/>
  <c r="H680" i="3"/>
  <c r="H486" i="3"/>
  <c r="H82" i="3"/>
  <c r="H884" i="3"/>
  <c r="H321" i="3"/>
  <c r="H980" i="3"/>
  <c r="H414" i="3"/>
  <c r="H697" i="3"/>
  <c r="H575" i="3"/>
  <c r="H878" i="3"/>
  <c r="H966" i="3"/>
  <c r="H971" i="3"/>
  <c r="H226" i="3"/>
  <c r="H437" i="3"/>
  <c r="H33" i="3"/>
  <c r="H480" i="3"/>
  <c r="H899" i="3"/>
  <c r="H657" i="3"/>
  <c r="H586" i="3"/>
  <c r="H627" i="3"/>
  <c r="H388" i="3"/>
  <c r="H428" i="3"/>
  <c r="H788" i="3"/>
  <c r="H817" i="3"/>
  <c r="H50" i="3"/>
  <c r="H865" i="3"/>
  <c r="H236" i="3"/>
  <c r="H183" i="3"/>
  <c r="H286" i="3"/>
  <c r="H598" i="3"/>
  <c r="H106" i="3"/>
  <c r="H977" i="3"/>
  <c r="H422" i="3"/>
  <c r="H708" i="3"/>
  <c r="H166" i="3"/>
  <c r="H622" i="3"/>
  <c r="H509" i="3"/>
  <c r="H660" i="3"/>
  <c r="H691" i="3"/>
  <c r="H496" i="3"/>
  <c r="H80" i="3"/>
  <c r="H233" i="3"/>
  <c r="H549" i="3"/>
  <c r="H597" i="3"/>
  <c r="H500" i="3"/>
  <c r="H133" i="3"/>
  <c r="H131" i="3"/>
  <c r="H581" i="3"/>
  <c r="H289" i="3"/>
  <c r="H632" i="3"/>
  <c r="H65" i="3"/>
  <c r="H18" i="3"/>
  <c r="H589" i="3"/>
  <c r="H881" i="3"/>
  <c r="H916" i="3"/>
  <c r="H44" i="3"/>
  <c r="H159" i="3"/>
  <c r="H103" i="3"/>
  <c r="H504" i="3"/>
  <c r="H576" i="3"/>
  <c r="H871" i="3"/>
  <c r="H886" i="3"/>
  <c r="H601" i="3"/>
  <c r="H181" i="3"/>
  <c r="H315" i="3"/>
  <c r="H508" i="3"/>
  <c r="H376" i="3"/>
  <c r="H409" i="3"/>
  <c r="H515" i="3"/>
  <c r="H690" i="3"/>
  <c r="H746" i="3"/>
  <c r="H185" i="3"/>
  <c r="H604" i="3"/>
  <c r="H210" i="3"/>
  <c r="H162" i="3"/>
  <c r="H804" i="3"/>
  <c r="H730" i="3"/>
  <c r="H211" i="3"/>
  <c r="H885" i="3"/>
  <c r="H910" i="3"/>
  <c r="H573" i="3"/>
  <c r="H53" i="3"/>
  <c r="H427" i="3"/>
  <c r="H892" i="3"/>
  <c r="H8" i="3"/>
  <c r="H558" i="3"/>
  <c r="H818" i="3"/>
  <c r="H819" i="3"/>
  <c r="H109" i="3"/>
  <c r="H833" i="3"/>
  <c r="H176" i="3"/>
  <c r="H545" i="3"/>
  <c r="H858" i="3"/>
  <c r="H857" i="3"/>
  <c r="H683" i="3"/>
  <c r="H64" i="3"/>
  <c r="H548" i="3"/>
  <c r="H786" i="3"/>
  <c r="H77" i="3"/>
  <c r="H738" i="3"/>
  <c r="H859" i="3"/>
  <c r="H784" i="3"/>
  <c r="H222" i="3"/>
  <c r="H118" i="3"/>
  <c r="H693" i="3"/>
  <c r="H328" i="3"/>
  <c r="H429" i="3"/>
  <c r="H870" i="3"/>
  <c r="H676" i="3"/>
  <c r="H767" i="3"/>
  <c r="H67" i="3"/>
  <c r="H976" i="3"/>
  <c r="H137" i="3"/>
  <c r="H525" i="3"/>
  <c r="H714" i="3"/>
  <c r="H261" i="3"/>
  <c r="H641" i="3"/>
  <c r="H384" i="3"/>
  <c r="H78" i="3"/>
  <c r="H925" i="3"/>
  <c r="H445" i="3"/>
  <c r="H164" i="3"/>
  <c r="H661" i="3"/>
  <c r="H740" i="3"/>
  <c r="H973" i="3"/>
  <c r="H119" i="3"/>
  <c r="H642" i="3"/>
  <c r="H614" i="3"/>
  <c r="H532" i="3"/>
  <c r="H972" i="3"/>
  <c r="H861" i="3"/>
  <c r="H163" i="3"/>
  <c r="H950" i="3"/>
  <c r="H394" i="3"/>
  <c r="H844" i="3"/>
  <c r="H626" i="3"/>
  <c r="H765" i="3"/>
  <c r="H849" i="3"/>
  <c r="H170" i="3"/>
  <c r="H248" i="3"/>
  <c r="H591" i="3"/>
  <c r="H81" i="3"/>
  <c r="H349" i="3"/>
  <c r="H674" i="3"/>
  <c r="H472" i="3"/>
  <c r="H938" i="3"/>
  <c r="H848" i="3"/>
  <c r="H430" i="3"/>
  <c r="H672" i="3"/>
  <c r="H401" i="3"/>
  <c r="H702" i="3"/>
  <c r="H681" i="3"/>
  <c r="H165" i="3"/>
  <c r="H838" i="3"/>
  <c r="H284" i="3"/>
  <c r="H562" i="3"/>
  <c r="H645" i="3"/>
  <c r="H619" i="3"/>
  <c r="H887" i="3"/>
  <c r="H840" i="3"/>
  <c r="H324" i="3"/>
  <c r="H991" i="3"/>
  <c r="H687" i="3"/>
  <c r="H997" i="3"/>
  <c r="H85" i="3"/>
  <c r="H316" i="3"/>
  <c r="H789" i="3"/>
  <c r="H399" i="3"/>
  <c r="H330" i="3"/>
  <c r="H974" i="3"/>
  <c r="H547" i="3"/>
  <c r="H569" i="3"/>
  <c r="H444" i="3"/>
  <c r="H908" i="3"/>
  <c r="H644" i="3"/>
  <c r="H940" i="3"/>
  <c r="H490" i="3"/>
  <c r="H180" i="3"/>
  <c r="H459" i="3"/>
  <c r="H893" i="3"/>
  <c r="H555" i="3"/>
  <c r="H416" i="3"/>
  <c r="H809" i="3"/>
  <c r="H184" i="3"/>
  <c r="H374" i="3"/>
  <c r="H987" i="3"/>
  <c r="H75" i="3"/>
  <c r="H546" i="3"/>
  <c r="H728" i="3"/>
  <c r="H868" i="3"/>
  <c r="H862" i="3"/>
  <c r="H436" i="3"/>
  <c r="H391" i="3"/>
  <c r="H593" i="3"/>
  <c r="H553" i="3"/>
  <c r="H102" i="3"/>
  <c r="H304" i="3"/>
  <c r="H282" i="3"/>
  <c r="H624" i="3"/>
  <c r="H322" i="3"/>
  <c r="H312" i="3"/>
  <c r="H90" i="3"/>
  <c r="H755" i="3"/>
  <c r="H565" i="3"/>
  <c r="H337" i="3"/>
  <c r="H448" i="3"/>
  <c r="H782" i="3"/>
  <c r="H883" i="3"/>
  <c r="H998" i="3"/>
  <c r="H580" i="3"/>
  <c r="H204" i="3"/>
  <c r="H826" i="3"/>
  <c r="H250" i="3"/>
  <c r="H280" i="3"/>
  <c r="H270" i="3"/>
  <c r="H584" i="3"/>
  <c r="H538" i="3"/>
  <c r="H74" i="3"/>
  <c r="H303" i="3"/>
  <c r="H1003" i="3"/>
  <c r="H900" i="3"/>
  <c r="H954" i="3"/>
  <c r="H753" i="3"/>
  <c r="H762" i="3"/>
  <c r="H821" i="3"/>
  <c r="H350" i="3"/>
  <c r="H739" i="3"/>
  <c r="H405" i="3"/>
  <c r="H66" i="3"/>
  <c r="H673" i="3"/>
  <c r="H919" i="3"/>
  <c r="H167" i="3"/>
  <c r="H408" i="3"/>
  <c r="H846" i="3"/>
  <c r="H915" i="3"/>
  <c r="H99" i="3"/>
  <c r="H876" i="3"/>
  <c r="H556" i="3"/>
  <c r="H875" i="3"/>
  <c r="H719" i="3"/>
  <c r="H827" i="3"/>
  <c r="H823" i="3"/>
  <c r="H465" i="3"/>
  <c r="H807" i="3"/>
  <c r="H936" i="3"/>
  <c r="H780" i="3"/>
  <c r="H177" i="3"/>
  <c r="H475" i="3"/>
  <c r="H854" i="3"/>
  <c r="H188" i="3"/>
  <c r="H524" i="3"/>
  <c r="H431" i="3"/>
  <c r="H723" i="3"/>
  <c r="H331" i="3"/>
  <c r="H256" i="3"/>
  <c r="H467" i="3"/>
  <c r="H298" i="3"/>
  <c r="H274" i="3"/>
  <c r="H814" i="3"/>
  <c r="H152" i="3"/>
  <c r="H417" i="3"/>
  <c r="H882" i="3"/>
  <c r="H917" i="3"/>
  <c r="H737" i="3"/>
  <c r="H895" i="3"/>
  <c r="H35" i="3"/>
  <c r="H961" i="3"/>
  <c r="H264" i="3"/>
  <c r="H927" i="3"/>
  <c r="H618" i="3"/>
  <c r="H292" i="3"/>
  <c r="H659" i="3"/>
  <c r="H84" i="3"/>
  <c r="H4" i="3"/>
  <c r="H198" i="3"/>
  <c r="H588" i="3"/>
  <c r="H189" i="3"/>
  <c r="H453" i="3"/>
  <c r="H323" i="3"/>
  <c r="H842" i="3"/>
  <c r="H872" i="3"/>
  <c r="H145" i="3"/>
  <c r="H678" i="3"/>
  <c r="H14" i="3"/>
  <c r="H845" i="3"/>
  <c r="H706" i="3"/>
  <c r="H168" i="3"/>
  <c r="H924" i="3"/>
  <c r="H813" i="3"/>
  <c r="H679" i="3"/>
  <c r="H839" i="3"/>
  <c r="H722" i="3"/>
  <c r="H139" i="3"/>
  <c r="H13" i="3"/>
  <c r="H251" i="3"/>
  <c r="H273" i="3"/>
  <c r="H57" i="3"/>
  <c r="H800" i="3"/>
  <c r="H787" i="3"/>
  <c r="H63" i="3"/>
  <c r="H743" i="3"/>
  <c r="H440" i="3"/>
  <c r="H533" i="3"/>
  <c r="H592" i="3"/>
  <c r="H890" i="3"/>
  <c r="H778" i="3"/>
  <c r="H629" i="3"/>
  <c r="H11" i="3"/>
  <c r="H142" i="3"/>
  <c r="H530" i="3"/>
  <c r="H718" i="3"/>
  <c r="H981" i="3"/>
  <c r="H76" i="3"/>
  <c r="H34" i="3"/>
  <c r="H516" i="3"/>
  <c r="H963" i="3"/>
  <c r="H835" i="3"/>
  <c r="H291" i="3"/>
  <c r="H503" i="3"/>
  <c r="H715" i="3"/>
  <c r="H929" i="3"/>
  <c r="H263" i="3"/>
  <c r="H485" i="3"/>
  <c r="H613" i="3"/>
  <c r="H135" i="3"/>
  <c r="H460" i="3"/>
  <c r="H58" i="3"/>
  <c r="H665" i="3"/>
  <c r="H634" i="3"/>
  <c r="H404" i="3"/>
  <c r="H196" i="3"/>
  <c r="H828" i="3"/>
  <c r="H192" i="3"/>
  <c r="H1004" i="3"/>
  <c r="H537" i="3"/>
  <c r="H810" i="3"/>
  <c r="H120" i="3"/>
  <c r="H692" i="3"/>
  <c r="H205" i="3"/>
  <c r="H87" i="3"/>
  <c r="H294" i="3"/>
  <c r="H400" i="3"/>
  <c r="H812" i="3"/>
  <c r="H725" i="3"/>
  <c r="H610" i="3"/>
  <c r="H969" i="3"/>
  <c r="H29" i="3"/>
  <c r="H297" i="3"/>
  <c r="H488" i="3"/>
  <c r="H721" i="3"/>
  <c r="B11" i="3"/>
  <c r="C31" i="3"/>
  <c r="S37" i="1" s="1"/>
  <c r="A112" i="1" s="1"/>
  <c r="H43" i="3"/>
  <c r="H175" i="3"/>
  <c r="H805" i="3"/>
  <c r="H577" i="3"/>
  <c r="H802" i="3"/>
  <c r="H498" i="3"/>
  <c r="H829" i="3"/>
  <c r="H455" i="3"/>
  <c r="H92" i="3"/>
  <c r="H735" i="3"/>
  <c r="H902" i="3"/>
  <c r="H677" i="3"/>
  <c r="H356" i="3"/>
  <c r="H136" i="3"/>
  <c r="H272" i="3"/>
  <c r="H462" i="3"/>
  <c r="H197" i="3"/>
  <c r="H347" i="3"/>
  <c r="C30" i="3"/>
  <c r="S36" i="1" s="1"/>
  <c r="A111" i="1" s="1"/>
  <c r="H495" i="3"/>
  <c r="H894" i="3"/>
  <c r="H206" i="3"/>
  <c r="H15" i="3"/>
  <c r="H426" i="3"/>
  <c r="H39" i="3"/>
  <c r="H816" i="3"/>
  <c r="H98" i="3"/>
  <c r="H344" i="3"/>
  <c r="H696" i="3"/>
  <c r="H666" i="3"/>
  <c r="H841" i="3"/>
  <c r="H214" i="3"/>
  <c r="H694" i="3"/>
  <c r="H851" i="3"/>
  <c r="H230" i="3"/>
  <c r="H241" i="3"/>
  <c r="H711" i="3"/>
  <c r="H923" i="3"/>
  <c r="H906" i="3"/>
  <c r="H144" i="3"/>
  <c r="H855" i="3"/>
  <c r="H402" i="3"/>
  <c r="H736" i="3"/>
  <c r="H446" i="3"/>
  <c r="U3" i="1"/>
  <c r="H31" i="3"/>
  <c r="H811" i="3"/>
  <c r="H458" i="3"/>
  <c r="H478" i="3"/>
  <c r="H5" i="3"/>
  <c r="H275" i="3"/>
  <c r="H179" i="3"/>
  <c r="H853" i="3"/>
  <c r="H572" i="3"/>
  <c r="H941" i="3"/>
  <c r="H761" i="3"/>
  <c r="H639" i="3"/>
  <c r="H994" i="3"/>
  <c r="H489" i="3"/>
  <c r="H141" i="3"/>
  <c r="H563" i="3"/>
  <c r="H742" i="3"/>
  <c r="H194" i="3"/>
  <c r="H243" i="3"/>
  <c r="H744" i="3"/>
  <c r="H528" i="3"/>
  <c r="H89" i="3"/>
  <c r="H561" i="3"/>
  <c r="H128" i="3"/>
  <c r="H494" i="3"/>
  <c r="H357" i="3"/>
  <c r="H975" i="3"/>
  <c r="H143" i="3"/>
  <c r="H247" i="3"/>
  <c r="H698" i="3"/>
  <c r="H229" i="3"/>
  <c r="H891" i="3"/>
  <c r="H353" i="3"/>
  <c r="H903" i="3"/>
  <c r="H223" i="3"/>
  <c r="H628" i="3"/>
  <c r="H16" i="3"/>
  <c r="H775" i="3"/>
  <c r="H299" i="3"/>
  <c r="H213" i="3"/>
  <c r="H260" i="3"/>
  <c r="H271" i="3"/>
  <c r="H329" i="3"/>
  <c r="H281" i="3"/>
  <c r="H190" i="3"/>
  <c r="H257" i="3"/>
  <c r="H921" i="3"/>
  <c r="H571" i="3"/>
  <c r="H707" i="3"/>
  <c r="H609" i="3"/>
  <c r="H317" i="3"/>
  <c r="H822" i="3"/>
  <c r="H499" i="3"/>
  <c r="H101" i="3"/>
  <c r="H904" i="3"/>
  <c r="H367" i="3"/>
  <c r="H709" i="3"/>
  <c r="H815" i="3"/>
  <c r="H443" i="3"/>
  <c r="H107" i="3"/>
  <c r="H468" i="3"/>
  <c r="H649" i="3"/>
  <c r="H308" i="3"/>
  <c r="H920" i="3"/>
  <c r="H242" i="3"/>
  <c r="H783" i="3"/>
  <c r="H830" i="3"/>
  <c r="H439" i="3"/>
  <c r="H669" i="3"/>
  <c r="H567" i="3"/>
  <c r="H847" i="3"/>
  <c r="H776" i="3"/>
  <c r="H918" i="3"/>
  <c r="H287" i="3"/>
  <c r="H413" i="3"/>
  <c r="H960" i="3"/>
  <c r="H19" i="3"/>
  <c r="H774" i="3"/>
  <c r="U5" i="1"/>
  <c r="D10" i="3"/>
  <c r="E10" i="3" s="1"/>
  <c r="H790" i="3"/>
  <c r="H332" i="3"/>
  <c r="H461" i="3"/>
  <c r="H255" i="3"/>
  <c r="H615" i="3"/>
  <c r="H831" i="3"/>
  <c r="H979" i="3"/>
  <c r="H968" i="3"/>
  <c r="H396" i="3"/>
  <c r="H172" i="3"/>
  <c r="H95" i="3"/>
  <c r="H132" i="3"/>
  <c r="H606" i="3"/>
  <c r="H953" i="3"/>
  <c r="H383" i="3"/>
  <c r="H931" i="3"/>
  <c r="H794" i="3"/>
  <c r="H319" i="3"/>
  <c r="H161" i="3"/>
  <c r="H354" i="3"/>
  <c r="H9" i="3"/>
  <c r="H296" i="3"/>
  <c r="H671" i="3"/>
  <c r="H368" i="3"/>
  <c r="H901" i="3"/>
  <c r="H519" i="3"/>
  <c r="H70" i="3"/>
  <c r="H37" i="3"/>
  <c r="H785" i="3"/>
  <c r="H539" i="3"/>
  <c r="H157" i="3"/>
  <c r="H541" i="3"/>
  <c r="H497" i="3"/>
  <c r="H758" i="3"/>
  <c r="H46" i="3"/>
  <c r="H595" i="3"/>
  <c r="H277" i="3"/>
  <c r="H129" i="3"/>
  <c r="H138" i="3"/>
  <c r="H874" i="3"/>
  <c r="H752" i="3"/>
  <c r="H93" i="3"/>
  <c r="H512" i="3"/>
  <c r="H412" i="3"/>
  <c r="H110" i="3"/>
  <c r="H24" i="3"/>
  <c r="H834" i="3"/>
  <c r="H127" i="3"/>
  <c r="H956" i="3"/>
  <c r="H959" i="3"/>
  <c r="H759" i="3"/>
  <c r="H795" i="3"/>
  <c r="H217" i="3"/>
  <c r="H343" i="3"/>
  <c r="H73" i="3"/>
  <c r="H234" i="3"/>
  <c r="H447" i="3"/>
  <c r="H373" i="3"/>
  <c r="H451" i="3"/>
  <c r="H850" i="3"/>
  <c r="H583" i="3"/>
  <c r="H837" i="3"/>
  <c r="H756" i="3"/>
  <c r="H267" i="3"/>
  <c r="H896" i="3"/>
  <c r="H796" i="3"/>
  <c r="H114" i="3"/>
  <c r="H505" i="3"/>
  <c r="H285" i="3"/>
  <c r="H888" i="3"/>
  <c r="H60" i="3"/>
  <c r="H146" i="3"/>
  <c r="H791" i="3"/>
  <c r="H948" i="3"/>
  <c r="H318" i="3"/>
  <c r="H734" i="3"/>
  <c r="H225" i="3"/>
  <c r="H631" i="3"/>
  <c r="H799" i="3"/>
  <c r="H278" i="3"/>
  <c r="H877" i="3"/>
  <c r="H25" i="3"/>
  <c r="H276" i="3"/>
  <c r="H772" i="3"/>
  <c r="H47" i="3"/>
  <c r="H913" i="3"/>
  <c r="H366" i="3"/>
  <c r="H239" i="3"/>
  <c r="H964" i="3"/>
  <c r="H72" i="3"/>
  <c r="H126" i="3"/>
  <c r="H616" i="3"/>
  <c r="H501" i="3"/>
  <c r="H705" i="3"/>
  <c r="H249" i="3"/>
  <c r="H513" i="3"/>
  <c r="H952" i="3"/>
  <c r="H479" i="3"/>
  <c r="H54" i="3"/>
  <c r="H174" i="3"/>
  <c r="H1001" i="3"/>
  <c r="H781" i="3"/>
  <c r="H150" i="3"/>
  <c r="H195" i="3"/>
  <c r="H667" i="3"/>
  <c r="H351" i="3"/>
  <c r="H518" i="3"/>
  <c r="H326" i="3"/>
  <c r="H988" i="3"/>
  <c r="H650" i="3"/>
  <c r="H933" i="3"/>
  <c r="H542" i="3"/>
  <c r="H392" i="3"/>
  <c r="H224" i="3"/>
  <c r="H149" i="3"/>
  <c r="H71" i="3"/>
  <c r="H313" i="3"/>
  <c r="H375" i="3"/>
  <c r="H113" i="3"/>
  <c r="H59" i="3"/>
  <c r="H435" i="3"/>
  <c r="H638" i="3"/>
  <c r="H30" i="3"/>
  <c r="H23" i="3"/>
  <c r="H338" i="3"/>
  <c r="H912" i="3"/>
  <c r="H905" i="3"/>
  <c r="H585" i="3"/>
  <c r="H410" i="3"/>
  <c r="H398" i="3"/>
  <c r="H779" i="3"/>
  <c r="H21" i="3"/>
  <c r="H983" i="3"/>
  <c r="H456" i="3"/>
  <c r="H425" i="3"/>
  <c r="H754" i="3"/>
  <c r="H640" i="3"/>
  <c r="H339" i="3"/>
  <c r="H346" i="3"/>
  <c r="H105" i="3"/>
  <c r="H220" i="3"/>
  <c r="H909" i="3"/>
  <c r="H407" i="3"/>
  <c r="H511" i="3"/>
  <c r="H476" i="3"/>
  <c r="H238" i="3"/>
  <c r="H536" i="3"/>
  <c r="H792" i="3"/>
  <c r="H254" i="3"/>
  <c r="H856" i="3"/>
  <c r="H117" i="3"/>
  <c r="H207" i="3"/>
  <c r="H182" i="3"/>
  <c r="H621" i="3"/>
  <c r="H336" i="3"/>
  <c r="H869" i="3"/>
  <c r="H433" i="3"/>
  <c r="H984" i="3"/>
  <c r="H454" i="3"/>
  <c r="H434" i="3"/>
  <c r="H510" i="3"/>
  <c r="H471" i="3"/>
  <c r="H442" i="3"/>
  <c r="H28" i="3"/>
  <c r="H579" i="3"/>
  <c r="H155" i="3"/>
  <c r="H335" i="3"/>
  <c r="H419" i="3"/>
  <c r="H325" i="3"/>
  <c r="H656" i="3"/>
  <c r="H534" i="3"/>
  <c r="H962" i="3"/>
  <c r="H880" i="3"/>
  <c r="H944" i="3"/>
  <c r="H1000" i="3"/>
  <c r="H125" i="3"/>
  <c r="H970" i="3"/>
  <c r="H393" i="3"/>
  <c r="H770" i="3"/>
  <c r="H670" i="3"/>
  <c r="H288" i="3"/>
  <c r="H982" i="3"/>
  <c r="H578" i="3"/>
  <c r="H653" i="3"/>
  <c r="H424" i="3"/>
  <c r="H295" i="3"/>
  <c r="H930" i="3"/>
  <c r="H523" i="3"/>
  <c r="C28" i="3"/>
  <c r="C29" i="3"/>
  <c r="S35" i="1" s="1"/>
  <c r="A110" i="1" s="1"/>
  <c r="S33" i="1"/>
  <c r="A108" i="1" s="1"/>
  <c r="H594" i="3"/>
  <c r="H852" i="3"/>
  <c r="H42" i="3"/>
  <c r="H111" i="3"/>
  <c r="H648" i="3"/>
  <c r="H438" i="3"/>
  <c r="H481" i="3"/>
  <c r="H685" i="3"/>
  <c r="H474" i="3"/>
  <c r="H747" i="3"/>
  <c r="H897" i="3"/>
  <c r="H607" i="3"/>
  <c r="H10" i="3"/>
  <c r="H763" i="3"/>
  <c r="H301" i="3"/>
  <c r="H550" i="3"/>
  <c r="H420" i="3"/>
  <c r="H636" i="3"/>
  <c r="H526" i="3"/>
  <c r="H372" i="3"/>
  <c r="H863" i="3"/>
  <c r="H551" i="3"/>
  <c r="H463" i="3"/>
  <c r="H283" i="3"/>
  <c r="H560" i="3"/>
  <c r="H406" i="3"/>
  <c r="H600" i="3"/>
  <c r="H69" i="3"/>
  <c r="H112" i="3"/>
  <c r="H564" i="3"/>
  <c r="H305" i="3"/>
  <c r="H61" i="3"/>
  <c r="H237" i="3"/>
  <c r="H643" i="3"/>
  <c r="H62" i="3"/>
  <c r="H514" i="3"/>
  <c r="H457" i="3"/>
  <c r="H22" i="3"/>
  <c r="H244" i="3"/>
  <c r="H124" i="3"/>
  <c r="H717" i="3"/>
  <c r="H587" i="3"/>
  <c r="H231" i="3"/>
  <c r="H232" i="3"/>
  <c r="H635" i="3"/>
  <c r="H942" i="3"/>
  <c r="H995" i="3"/>
  <c r="H380" i="3"/>
  <c r="H557" i="3"/>
  <c r="H873" i="3"/>
  <c r="H559" i="3"/>
  <c r="H52" i="3"/>
  <c r="H949" i="3"/>
  <c r="H914" i="3"/>
  <c r="H990" i="3"/>
  <c r="H566" i="3"/>
  <c r="H6" i="3"/>
  <c r="H365" i="3"/>
  <c r="H757" i="3"/>
  <c r="H554" i="3"/>
  <c r="H235" i="3"/>
  <c r="H686" i="3"/>
  <c r="H726" i="3"/>
  <c r="H507" i="3"/>
  <c r="H191" i="3"/>
  <c r="H310" i="3"/>
  <c r="H934" i="3"/>
  <c r="H599" i="3"/>
  <c r="H156" i="3"/>
  <c r="H713" i="3"/>
  <c r="H219" i="3"/>
  <c r="H245" i="3"/>
  <c r="H300" i="3"/>
  <c r="H311" i="3"/>
  <c r="H88" i="3"/>
  <c r="H769" i="3"/>
  <c r="H423" i="3"/>
  <c r="H186" i="3"/>
  <c r="H32" i="3"/>
  <c r="H320" i="3"/>
  <c r="H749" i="3"/>
  <c r="H947" i="3"/>
  <c r="H432" i="3"/>
  <c r="H543" i="3"/>
  <c r="H187" i="3"/>
  <c r="H751" i="3"/>
  <c r="H302" i="3"/>
  <c r="H521" i="3"/>
  <c r="H992" i="3"/>
  <c r="H470" i="3"/>
  <c r="H664" i="3"/>
  <c r="H178" i="3"/>
  <c r="H866" i="3"/>
  <c r="H469" i="3"/>
  <c r="H926" i="3"/>
  <c r="H637" i="3"/>
  <c r="H570" i="3"/>
  <c r="H658" i="3"/>
  <c r="H55" i="3"/>
  <c r="H418" i="3"/>
  <c r="H700" i="3"/>
  <c r="H91" i="3"/>
  <c r="H252" i="3"/>
  <c r="H97" i="3"/>
  <c r="H377" i="3"/>
  <c r="H699" i="3"/>
  <c r="H370" i="3"/>
  <c r="H798" i="3"/>
  <c r="H957" i="3"/>
  <c r="H387" i="3"/>
  <c r="H493" i="3"/>
  <c r="H932" i="3"/>
  <c r="H703" i="3"/>
  <c r="H748" i="3"/>
  <c r="H996" i="3"/>
  <c r="H620" i="3"/>
  <c r="H965" i="3"/>
  <c r="H266" i="3"/>
  <c r="H590" i="3"/>
  <c r="H487" i="3"/>
  <c r="H115" i="3"/>
  <c r="H688" i="3"/>
  <c r="H986" i="3"/>
  <c r="H544" i="3"/>
  <c r="H928" i="3"/>
  <c r="H342" i="3"/>
  <c r="H993" i="3"/>
  <c r="H937" i="3"/>
  <c r="H279" i="3"/>
  <c r="H701" i="3"/>
  <c r="C32" i="3"/>
  <c r="S34" i="1"/>
  <c r="A109" i="1" s="1"/>
  <c r="H724" i="3"/>
  <c r="H596" i="3"/>
  <c r="H340" i="3"/>
  <c r="H582" i="3"/>
  <c r="H808" i="3"/>
  <c r="H655" i="3"/>
  <c r="H491" i="3"/>
  <c r="H358" i="3"/>
  <c r="H441" i="3"/>
  <c r="H535" i="3"/>
  <c r="H797" i="3"/>
  <c r="H477" i="3"/>
  <c r="H527" i="3"/>
  <c r="H663" i="3"/>
  <c r="H662" i="3"/>
  <c r="H466" i="3"/>
  <c r="H654" i="3"/>
  <c r="H651" i="3"/>
  <c r="H750" i="3"/>
  <c r="H773" i="3"/>
  <c r="H939" i="3"/>
  <c r="H200" i="3"/>
  <c r="H154" i="3"/>
  <c r="H860" i="3"/>
  <c r="H86" i="3"/>
  <c r="H341" i="3"/>
  <c r="H943" i="3"/>
  <c r="H216" i="3"/>
  <c r="H51" i="3"/>
  <c r="H148" i="3"/>
  <c r="H945" i="3"/>
  <c r="H108" i="3"/>
  <c r="H153" i="3"/>
  <c r="H603" i="3"/>
  <c r="H381" i="3"/>
  <c r="H259" i="3"/>
  <c r="H675" i="3"/>
  <c r="H803" i="3"/>
  <c r="H215" i="3"/>
  <c r="H623" i="3"/>
  <c r="H359" i="3"/>
  <c r="H362" i="3"/>
  <c r="H712" i="3"/>
  <c r="H625" i="3"/>
  <c r="H253" i="3"/>
  <c r="H602" i="3"/>
  <c r="H764" i="3"/>
  <c r="H801" i="3"/>
  <c r="H41" i="3"/>
  <c r="H911" i="3"/>
  <c r="H482" i="3"/>
  <c r="H421" i="3"/>
  <c r="H173" i="3"/>
  <c r="H704" i="3"/>
  <c r="H40" i="3"/>
  <c r="H483" i="3"/>
  <c r="H605" i="3"/>
  <c r="H574" i="3"/>
  <c r="H452" i="3"/>
  <c r="H355" i="3"/>
  <c r="H212" i="3"/>
  <c r="H151" i="3"/>
  <c r="H171" i="3"/>
  <c r="H617" i="3"/>
  <c r="H202" i="3"/>
  <c r="H293" i="3"/>
  <c r="H7" i="3"/>
  <c r="H612" i="3"/>
  <c r="H403" i="3"/>
  <c r="H371" i="3"/>
  <c r="H898" i="3"/>
  <c r="H218" i="3"/>
  <c r="H193" i="3"/>
  <c r="H552" i="3"/>
  <c r="H843" i="3"/>
  <c r="H334" i="3"/>
  <c r="H378" i="3"/>
  <c r="H449" i="3"/>
  <c r="H682" i="3"/>
  <c r="H820" i="3"/>
  <c r="H360" i="3"/>
  <c r="H364" i="3"/>
  <c r="H415" i="3"/>
  <c r="H484" i="3"/>
  <c r="H100" i="3"/>
  <c r="H122" i="3"/>
  <c r="H771" i="3"/>
  <c r="H922" i="3"/>
  <c r="H766" i="3"/>
  <c r="H36" i="3"/>
  <c r="H741" i="3"/>
  <c r="H48" i="3"/>
  <c r="H269" i="3"/>
  <c r="H397" i="3"/>
  <c r="H733" i="3"/>
  <c r="H390" i="3"/>
  <c r="H652" i="3"/>
  <c r="H389" i="3"/>
  <c r="H720" i="3"/>
  <c r="H209" i="3"/>
  <c r="H169" i="3"/>
  <c r="H955" i="3"/>
  <c r="H20" i="3"/>
  <c r="H307" i="3"/>
  <c r="H386" i="3"/>
  <c r="H506" i="3"/>
  <c r="H147" i="3"/>
  <c r="H268" i="3"/>
  <c r="H361" i="3"/>
  <c r="H94" i="3"/>
  <c r="H26" i="3"/>
  <c r="H716" i="3"/>
  <c r="H777" i="3"/>
  <c r="H745" i="3"/>
  <c r="H727" i="3"/>
  <c r="H529" i="3"/>
  <c r="H710" i="3"/>
  <c r="H473" i="3"/>
  <c r="H45" i="3"/>
  <c r="H385" i="3"/>
  <c r="H246" i="3"/>
  <c r="H158" i="3"/>
  <c r="H116" i="3"/>
  <c r="H951" i="3"/>
  <c r="H836" i="3"/>
  <c r="H12" i="3"/>
  <c r="H201" i="3"/>
  <c r="H130" i="3"/>
  <c r="D9" i="3"/>
  <c r="E9" i="3" s="1"/>
  <c r="U4" i="1"/>
  <c r="H306" i="3"/>
  <c r="H228" i="3"/>
  <c r="H492" i="3"/>
  <c r="H450" i="3"/>
  <c r="H363" i="3"/>
  <c r="H123" i="3"/>
  <c r="H258" i="3"/>
  <c r="H208" i="3"/>
  <c r="H379" i="3"/>
  <c r="H689" i="3"/>
  <c r="H96" i="3"/>
  <c r="H985" i="3"/>
  <c r="H227" i="3"/>
  <c r="H369" i="3"/>
  <c r="H967" i="3"/>
  <c r="H646" i="3"/>
  <c r="H348" i="3"/>
  <c r="H290" i="3"/>
  <c r="H314" i="3"/>
  <c r="H630" i="3"/>
  <c r="H989" i="3"/>
  <c r="H768" i="3"/>
  <c r="H56" i="3"/>
  <c r="H946" i="3"/>
  <c r="H568" i="3"/>
  <c r="H352" i="3"/>
  <c r="H140" i="3"/>
  <c r="H240" i="3"/>
  <c r="H395" i="3"/>
  <c r="H540" i="3"/>
  <c r="H203" i="3"/>
  <c r="H608" i="3"/>
  <c r="H221" i="3"/>
  <c r="H879" i="3"/>
  <c r="H864" i="3"/>
  <c r="H611" i="3"/>
  <c r="H907" i="3"/>
  <c r="H464" i="3"/>
  <c r="H731" i="3"/>
  <c r="H824" i="3"/>
  <c r="H49" i="3"/>
  <c r="H160" i="3"/>
  <c r="H309" i="3"/>
  <c r="H79" i="3"/>
  <c r="H760" i="3"/>
  <c r="H104" i="3"/>
  <c r="H958" i="3"/>
  <c r="H531" i="3"/>
  <c r="H825" i="3"/>
  <c r="H522" i="3"/>
  <c r="H327" i="3"/>
  <c r="H729" i="3"/>
  <c r="H832" i="3"/>
  <c r="H345" i="3"/>
  <c r="H999" i="3"/>
  <c r="H517" i="3"/>
  <c r="H262" i="3"/>
  <c r="H867" i="3"/>
  <c r="H935" i="3"/>
  <c r="H732" i="3"/>
  <c r="H502" i="3"/>
  <c r="H684" i="3"/>
  <c r="H1002" i="3"/>
  <c r="H520" i="3"/>
  <c r="H121" i="3"/>
  <c r="H633" i="3"/>
  <c r="H695" i="3"/>
  <c r="D8" i="3"/>
  <c r="E8" i="3" s="1"/>
  <c r="J7" i="3"/>
  <c r="I41" i="3"/>
  <c r="I89" i="3"/>
  <c r="J292" i="3"/>
  <c r="I29" i="3"/>
  <c r="J76" i="3"/>
  <c r="J28" i="3"/>
  <c r="I329" i="3"/>
  <c r="I585" i="3"/>
  <c r="I78" i="3"/>
  <c r="J145" i="3"/>
  <c r="J125" i="3"/>
  <c r="J396" i="3"/>
  <c r="J115" i="3"/>
  <c r="I180" i="3"/>
  <c r="J173" i="3"/>
  <c r="J433" i="3"/>
  <c r="J87" i="3"/>
  <c r="I155" i="3"/>
  <c r="I49" i="3"/>
  <c r="I217" i="3"/>
  <c r="J473" i="3"/>
  <c r="I138" i="3"/>
  <c r="J410" i="3"/>
  <c r="J101" i="3"/>
  <c r="I94" i="3"/>
  <c r="I161" i="3"/>
  <c r="J144" i="3"/>
  <c r="I412" i="3"/>
  <c r="J58" i="3"/>
  <c r="I351" i="3"/>
  <c r="J615" i="3"/>
  <c r="J46" i="3"/>
  <c r="J122" i="3"/>
  <c r="I490" i="3"/>
  <c r="J314" i="3"/>
  <c r="I124" i="3"/>
  <c r="I197" i="3"/>
  <c r="I597" i="3"/>
  <c r="J100" i="3"/>
  <c r="J68" i="3"/>
  <c r="I450" i="3"/>
  <c r="J272" i="3"/>
  <c r="J77" i="3"/>
  <c r="I144" i="3"/>
  <c r="I83" i="3"/>
  <c r="J199" i="3"/>
  <c r="I543" i="3"/>
  <c r="J365" i="3"/>
  <c r="I185" i="3"/>
  <c r="I271" i="3"/>
  <c r="I637" i="3"/>
  <c r="J893" i="3"/>
  <c r="J304" i="3"/>
  <c r="I129" i="3"/>
  <c r="I151" i="3"/>
  <c r="J503" i="3"/>
  <c r="I330" i="3"/>
  <c r="I136" i="3"/>
  <c r="J220" i="3"/>
  <c r="I606" i="3"/>
  <c r="I866" i="3"/>
  <c r="J275" i="3"/>
  <c r="J41" i="3"/>
  <c r="J73" i="3"/>
  <c r="J8" i="3"/>
  <c r="J324" i="3"/>
  <c r="I43" i="3"/>
  <c r="I108" i="3"/>
  <c r="I67" i="3"/>
  <c r="J361" i="3"/>
  <c r="I617" i="3"/>
  <c r="I110" i="3"/>
  <c r="I177" i="3"/>
  <c r="J163" i="3"/>
  <c r="I428" i="3"/>
  <c r="J147" i="3"/>
  <c r="J22" i="3"/>
  <c r="I209" i="3"/>
  <c r="J465" i="3"/>
  <c r="I24" i="3"/>
  <c r="J187" i="3"/>
  <c r="J113" i="3"/>
  <c r="I249" i="3"/>
  <c r="J505" i="3"/>
  <c r="J183" i="3"/>
  <c r="I442" i="3"/>
  <c r="J165" i="3"/>
  <c r="J126" i="3"/>
  <c r="I193" i="3"/>
  <c r="J189" i="3"/>
  <c r="J444" i="3"/>
  <c r="I103" i="3"/>
  <c r="J383" i="3"/>
  <c r="I66" i="3"/>
  <c r="J45" i="3"/>
  <c r="J180" i="3"/>
  <c r="I535" i="3"/>
  <c r="J352" i="3"/>
  <c r="J170" i="3"/>
  <c r="I255" i="3"/>
  <c r="J629" i="3"/>
  <c r="J65" i="3"/>
  <c r="J132" i="3"/>
  <c r="I495" i="3"/>
  <c r="I317" i="3"/>
  <c r="J128" i="3"/>
  <c r="I204" i="3"/>
  <c r="J244" i="3"/>
  <c r="I239" i="3"/>
  <c r="J591" i="3"/>
  <c r="I36" i="3"/>
  <c r="J229" i="3"/>
  <c r="I332" i="3"/>
  <c r="I669" i="3"/>
  <c r="J40" i="3"/>
  <c r="I105" i="3"/>
  <c r="J64" i="3"/>
  <c r="I356" i="3"/>
  <c r="J75" i="3"/>
  <c r="J140" i="3"/>
  <c r="I115" i="3"/>
  <c r="I393" i="3"/>
  <c r="J34" i="3"/>
  <c r="J142" i="3"/>
  <c r="J9" i="3"/>
  <c r="J204" i="3"/>
  <c r="I460" i="3"/>
  <c r="I179" i="3"/>
  <c r="J97" i="3"/>
  <c r="J241" i="3"/>
  <c r="J497" i="3"/>
  <c r="I32" i="3"/>
  <c r="I20" i="3"/>
  <c r="I70" i="3"/>
  <c r="J281" i="3"/>
  <c r="I537" i="3"/>
  <c r="I218" i="3"/>
  <c r="J479" i="3"/>
  <c r="I208" i="3"/>
  <c r="J158" i="3"/>
  <c r="J62" i="3"/>
  <c r="I220" i="3"/>
  <c r="J476" i="3"/>
  <c r="J148" i="3"/>
  <c r="J415" i="3"/>
  <c r="J109" i="3"/>
  <c r="I212" i="3"/>
  <c r="I231" i="3"/>
  <c r="J575" i="3"/>
  <c r="J29" i="3"/>
  <c r="I216" i="3"/>
  <c r="J316" i="3"/>
  <c r="I661" i="3"/>
  <c r="J61" i="3"/>
  <c r="I196" i="3"/>
  <c r="J538" i="3"/>
  <c r="I362" i="3"/>
  <c r="J174" i="3"/>
  <c r="J268" i="3"/>
  <c r="I372" i="3"/>
  <c r="J70" i="3"/>
  <c r="J137" i="3"/>
  <c r="I109" i="3"/>
  <c r="I388" i="3"/>
  <c r="J107" i="3"/>
  <c r="J172" i="3"/>
  <c r="J160" i="3"/>
  <c r="I425" i="3"/>
  <c r="I74" i="3"/>
  <c r="I174" i="3"/>
  <c r="J94" i="3"/>
  <c r="J236" i="3"/>
  <c r="I18" i="3"/>
  <c r="J24" i="3"/>
  <c r="J54" i="3"/>
  <c r="J273" i="3"/>
  <c r="J529" i="3"/>
  <c r="J16" i="3"/>
  <c r="I60" i="3"/>
  <c r="I121" i="3"/>
  <c r="J313" i="3"/>
  <c r="I569" i="3"/>
  <c r="I250" i="3"/>
  <c r="J511" i="3"/>
  <c r="I8" i="3"/>
  <c r="I190" i="3"/>
  <c r="I126" i="3"/>
  <c r="J252" i="3"/>
  <c r="I508" i="3"/>
  <c r="J186" i="3"/>
  <c r="I447" i="3"/>
  <c r="J168" i="3"/>
  <c r="I340" i="3"/>
  <c r="J271" i="3"/>
  <c r="I623" i="3"/>
  <c r="I127" i="3"/>
  <c r="J261" i="3"/>
  <c r="I380" i="3"/>
  <c r="I693" i="3"/>
  <c r="I225" i="3"/>
  <c r="J234" i="3"/>
  <c r="I586" i="3"/>
  <c r="J31" i="3"/>
  <c r="J226" i="3"/>
  <c r="I319" i="3"/>
  <c r="J484" i="3"/>
  <c r="J102" i="3"/>
  <c r="I169" i="3"/>
  <c r="J157" i="3"/>
  <c r="J420" i="3"/>
  <c r="I139" i="3"/>
  <c r="J12" i="3"/>
  <c r="I201" i="3"/>
  <c r="I457" i="3"/>
  <c r="J10" i="3"/>
  <c r="I28" i="3"/>
  <c r="J5" i="3"/>
  <c r="I268" i="3"/>
  <c r="I17" i="3"/>
  <c r="I52" i="3"/>
  <c r="J112" i="3"/>
  <c r="I305" i="3"/>
  <c r="I561" i="3"/>
  <c r="J20" i="3"/>
  <c r="J92" i="3"/>
  <c r="I48" i="3"/>
  <c r="I345" i="3"/>
  <c r="J601" i="3"/>
  <c r="J282" i="3"/>
  <c r="J546" i="3"/>
  <c r="J35" i="3"/>
  <c r="I31" i="3"/>
  <c r="I73" i="3"/>
  <c r="J284" i="3"/>
  <c r="J540" i="3"/>
  <c r="J223" i="3"/>
  <c r="I482" i="3"/>
  <c r="J218" i="3"/>
  <c r="I468" i="3"/>
  <c r="J311" i="3"/>
  <c r="J88" i="3"/>
  <c r="J63" i="3"/>
  <c r="I306" i="3"/>
  <c r="I444" i="3"/>
  <c r="J725" i="3"/>
  <c r="I353" i="3"/>
  <c r="J274" i="3"/>
  <c r="J626" i="3"/>
  <c r="I135" i="3"/>
  <c r="I264" i="3"/>
  <c r="I54" i="3"/>
  <c r="I548" i="3"/>
  <c r="I367" i="3"/>
  <c r="I187" i="3"/>
  <c r="J32" i="3"/>
  <c r="I357" i="3"/>
  <c r="J504" i="3"/>
  <c r="J765" i="3"/>
  <c r="I149" i="3"/>
  <c r="J26" i="3"/>
  <c r="I492" i="3"/>
  <c r="J330" i="3"/>
  <c r="I122" i="3"/>
  <c r="I80" i="3"/>
  <c r="I322" i="3"/>
  <c r="I469" i="3"/>
  <c r="I738" i="3"/>
  <c r="J66" i="3"/>
  <c r="I403" i="3"/>
  <c r="J134" i="3"/>
  <c r="I21" i="3"/>
  <c r="I195" i="3"/>
  <c r="I452" i="3"/>
  <c r="I171" i="3"/>
  <c r="J81" i="3"/>
  <c r="J233" i="3"/>
  <c r="I489" i="3"/>
  <c r="J13" i="3"/>
  <c r="J49" i="3"/>
  <c r="J105" i="3"/>
  <c r="I300" i="3"/>
  <c r="J17" i="3"/>
  <c r="J84" i="3"/>
  <c r="I37" i="3"/>
  <c r="J337" i="3"/>
  <c r="I593" i="3"/>
  <c r="I59" i="3"/>
  <c r="J124" i="3"/>
  <c r="I93" i="3"/>
  <c r="I377" i="3"/>
  <c r="J14" i="3"/>
  <c r="I314" i="3"/>
  <c r="J578" i="3"/>
  <c r="I33" i="3"/>
  <c r="I65" i="3"/>
  <c r="I14" i="3"/>
  <c r="I316" i="3"/>
  <c r="J572" i="3"/>
  <c r="J255" i="3"/>
  <c r="I514" i="3"/>
  <c r="I22" i="3"/>
  <c r="I532" i="3"/>
  <c r="I359" i="3"/>
  <c r="I157" i="3"/>
  <c r="I12" i="3"/>
  <c r="J344" i="3"/>
  <c r="J498" i="3"/>
  <c r="J757" i="3"/>
  <c r="I481" i="3"/>
  <c r="J322" i="3"/>
  <c r="I92" i="3"/>
  <c r="I72" i="3"/>
  <c r="I309" i="3"/>
  <c r="I182" i="3"/>
  <c r="I612" i="3"/>
  <c r="J407" i="3"/>
  <c r="I237" i="3"/>
  <c r="I27" i="3"/>
  <c r="I39" i="3"/>
  <c r="J539" i="3"/>
  <c r="J797" i="3"/>
  <c r="I166" i="3"/>
  <c r="J78" i="3"/>
  <c r="J228" i="3"/>
  <c r="J19" i="3"/>
  <c r="I4" i="3"/>
  <c r="I16" i="3"/>
  <c r="J265" i="3"/>
  <c r="J521" i="3"/>
  <c r="I15" i="3"/>
  <c r="I81" i="3"/>
  <c r="J33" i="3"/>
  <c r="J332" i="3"/>
  <c r="I51" i="3"/>
  <c r="J116" i="3"/>
  <c r="J80" i="3"/>
  <c r="I369" i="3"/>
  <c r="I625" i="3"/>
  <c r="I91" i="3"/>
  <c r="J156" i="3"/>
  <c r="J141" i="3"/>
  <c r="J409" i="3"/>
  <c r="J55" i="3"/>
  <c r="I346" i="3"/>
  <c r="I610" i="3"/>
  <c r="I34" i="3"/>
  <c r="I97" i="3"/>
  <c r="J51" i="3"/>
  <c r="I348" i="3"/>
  <c r="I604" i="3"/>
  <c r="J287" i="3"/>
  <c r="J551" i="3"/>
  <c r="J150" i="3"/>
  <c r="J596" i="3"/>
  <c r="I399" i="3"/>
  <c r="I224" i="3"/>
  <c r="J136" i="3"/>
  <c r="I389" i="3"/>
  <c r="J533" i="3"/>
  <c r="J37" i="3"/>
  <c r="I545" i="3"/>
  <c r="J362" i="3"/>
  <c r="I172" i="3"/>
  <c r="J27" i="3"/>
  <c r="J354" i="3"/>
  <c r="J121" i="3"/>
  <c r="J71" i="3"/>
  <c r="I455" i="3"/>
  <c r="I282" i="3"/>
  <c r="I90" i="3"/>
  <c r="J152" i="3"/>
  <c r="J571" i="3"/>
  <c r="I829" i="3"/>
  <c r="I240" i="3"/>
  <c r="J195" i="3"/>
  <c r="I620" i="3"/>
  <c r="I418" i="3"/>
  <c r="J240" i="3"/>
  <c r="J43" i="3"/>
  <c r="I56" i="3"/>
  <c r="I542" i="3"/>
  <c r="I802" i="3"/>
  <c r="J211" i="3"/>
  <c r="I470" i="3"/>
  <c r="J153" i="3"/>
  <c r="J90" i="3"/>
  <c r="I466" i="3"/>
  <c r="J288" i="3"/>
  <c r="J103" i="3"/>
  <c r="J167" i="3"/>
  <c r="I581" i="3"/>
  <c r="I837" i="3"/>
  <c r="J246" i="3"/>
  <c r="J518" i="3"/>
  <c r="I147" i="3"/>
  <c r="J210" i="3"/>
  <c r="J562" i="3"/>
  <c r="J381" i="3"/>
  <c r="J200" i="3"/>
  <c r="J300" i="3"/>
  <c r="J650" i="3"/>
  <c r="I906" i="3"/>
  <c r="J317" i="3"/>
  <c r="I607" i="3"/>
  <c r="J590" i="3"/>
  <c r="J15" i="3"/>
  <c r="J198" i="3"/>
  <c r="I7" i="3"/>
  <c r="I260" i="3"/>
  <c r="J23" i="3"/>
  <c r="I44" i="3"/>
  <c r="I102" i="3"/>
  <c r="I297" i="3"/>
  <c r="I553" i="3"/>
  <c r="I46" i="3"/>
  <c r="I113" i="3"/>
  <c r="I77" i="3"/>
  <c r="I364" i="3"/>
  <c r="J83" i="3"/>
  <c r="I148" i="3"/>
  <c r="I128" i="3"/>
  <c r="J401" i="3"/>
  <c r="I42" i="3"/>
  <c r="J123" i="3"/>
  <c r="I188" i="3"/>
  <c r="J179" i="3"/>
  <c r="J441" i="3"/>
  <c r="I100" i="3"/>
  <c r="J378" i="3"/>
  <c r="I58" i="3"/>
  <c r="I62" i="3"/>
  <c r="J129" i="3"/>
  <c r="J96" i="3"/>
  <c r="J380" i="3"/>
  <c r="J4" i="3"/>
  <c r="J319" i="3"/>
  <c r="J583" i="3"/>
  <c r="J89" i="3"/>
  <c r="J52" i="3"/>
  <c r="I439" i="3"/>
  <c r="I269" i="3"/>
  <c r="J69" i="3"/>
  <c r="J133" i="3"/>
  <c r="J565" i="3"/>
  <c r="I163" i="3"/>
  <c r="J609" i="3"/>
  <c r="J402" i="3"/>
  <c r="I234" i="3"/>
  <c r="J143" i="3"/>
  <c r="I25" i="3"/>
  <c r="J110" i="3"/>
  <c r="J135" i="3"/>
  <c r="I498" i="3"/>
  <c r="J320" i="3"/>
  <c r="I133" i="3"/>
  <c r="I207" i="3"/>
  <c r="I603" i="3"/>
  <c r="I861" i="3"/>
  <c r="I272" i="3"/>
  <c r="I132" i="3"/>
  <c r="I84" i="3"/>
  <c r="J463" i="3"/>
  <c r="I285" i="3"/>
  <c r="J98" i="3"/>
  <c r="J159" i="3"/>
  <c r="J574" i="3"/>
  <c r="I834" i="3"/>
  <c r="I243" i="3"/>
  <c r="J515" i="3"/>
  <c r="I57" i="3"/>
  <c r="J154" i="3"/>
  <c r="J506" i="3"/>
  <c r="J333" i="3"/>
  <c r="I140" i="3"/>
  <c r="I223" i="3"/>
  <c r="I613" i="3"/>
  <c r="J869" i="3"/>
  <c r="J278" i="3"/>
  <c r="I572" i="3"/>
  <c r="J289" i="3"/>
  <c r="I258" i="3"/>
  <c r="I602" i="3"/>
  <c r="I88" i="3"/>
  <c r="J245" i="3"/>
  <c r="J351" i="3"/>
  <c r="I682" i="3"/>
  <c r="J39" i="3"/>
  <c r="J349" i="3"/>
  <c r="I256" i="3"/>
  <c r="I685" i="3"/>
  <c r="I19" i="3"/>
  <c r="J701" i="3"/>
  <c r="I400" i="3"/>
  <c r="I290" i="3"/>
  <c r="I6" i="3"/>
  <c r="J399" i="3"/>
  <c r="I82" i="3"/>
  <c r="I659" i="3"/>
  <c r="I564" i="3"/>
  <c r="I559" i="3"/>
  <c r="J42" i="3"/>
  <c r="I370" i="3"/>
  <c r="J645" i="3"/>
  <c r="I87" i="3"/>
  <c r="I438" i="3"/>
  <c r="I417" i="3"/>
  <c r="I386" i="3"/>
  <c r="J298" i="3"/>
  <c r="J290" i="3"/>
  <c r="I520" i="3"/>
  <c r="I842" i="3"/>
  <c r="I381" i="3"/>
  <c r="J248" i="3"/>
  <c r="J321" i="3"/>
  <c r="J258" i="3"/>
  <c r="J909" i="3"/>
  <c r="I527" i="3"/>
  <c r="I856" i="3"/>
  <c r="I595" i="3"/>
  <c r="J520" i="3"/>
  <c r="I55" i="3"/>
  <c r="J786" i="3"/>
  <c r="J432" i="3"/>
  <c r="J795" i="3"/>
  <c r="J453" i="3"/>
  <c r="J423" i="3"/>
  <c r="I211" i="3"/>
  <c r="I671" i="3"/>
  <c r="I589" i="3"/>
  <c r="I510" i="3"/>
  <c r="J487" i="3"/>
  <c r="I96" i="3"/>
  <c r="I733" i="3"/>
  <c r="J67" i="3"/>
  <c r="J370" i="3"/>
  <c r="I47" i="3"/>
  <c r="J514" i="3"/>
  <c r="I160" i="3"/>
  <c r="J30" i="3"/>
  <c r="J628" i="3"/>
  <c r="I599" i="3"/>
  <c r="J85" i="3"/>
  <c r="I69" i="3"/>
  <c r="I677" i="3"/>
  <c r="J79" i="3"/>
  <c r="I473" i="3"/>
  <c r="I513" i="3"/>
  <c r="I426" i="3"/>
  <c r="I336" i="3"/>
  <c r="J328" i="3"/>
  <c r="I552" i="3"/>
  <c r="I874" i="3"/>
  <c r="J57" i="3"/>
  <c r="J95" i="3"/>
  <c r="I38" i="3"/>
  <c r="I120" i="3"/>
  <c r="J6" i="3"/>
  <c r="J607" i="3"/>
  <c r="J888" i="3"/>
  <c r="I709" i="3"/>
  <c r="J185" i="3"/>
  <c r="J111" i="3"/>
  <c r="I850" i="3"/>
  <c r="I11" i="3"/>
  <c r="I925" i="3"/>
  <c r="I99" i="3"/>
  <c r="I554" i="3"/>
  <c r="I189" i="3"/>
  <c r="J642" i="3"/>
  <c r="I307" i="3"/>
  <c r="I86" i="3"/>
  <c r="J207" i="3"/>
  <c r="I45" i="3"/>
  <c r="J72" i="3"/>
  <c r="I287" i="3"/>
  <c r="J709" i="3"/>
  <c r="I168" i="3"/>
  <c r="J632" i="3"/>
  <c r="I577" i="3"/>
  <c r="J471" i="3"/>
  <c r="J50" i="3"/>
  <c r="I373" i="3"/>
  <c r="J584" i="3"/>
  <c r="J91" i="3"/>
  <c r="I308" i="3"/>
  <c r="J364" i="3"/>
  <c r="J266" i="3"/>
  <c r="J367" i="3"/>
  <c r="I183" i="3"/>
  <c r="I664" i="3"/>
  <c r="I920" i="3"/>
  <c r="I888" i="3"/>
  <c r="J436" i="3"/>
  <c r="J293" i="3"/>
  <c r="I914" i="3"/>
  <c r="I540" i="3"/>
  <c r="I859" i="3"/>
  <c r="I614" i="3"/>
  <c r="J528" i="3"/>
  <c r="J297" i="3"/>
  <c r="J171" i="3"/>
  <c r="I678" i="3"/>
  <c r="I656" i="3"/>
  <c r="I304" i="3"/>
  <c r="I76" i="3"/>
  <c r="J74" i="3"/>
  <c r="I257" i="3"/>
  <c r="I594" i="3"/>
  <c r="I232" i="3"/>
  <c r="I674" i="3"/>
  <c r="J339" i="3"/>
  <c r="I9" i="3"/>
  <c r="I247" i="3"/>
  <c r="J130" i="3"/>
  <c r="J47" i="3"/>
  <c r="J348" i="3"/>
  <c r="J741" i="3"/>
  <c r="I214" i="3"/>
  <c r="I40" i="3"/>
  <c r="J21" i="3"/>
  <c r="J519" i="3"/>
  <c r="J93" i="3"/>
  <c r="J82" i="3"/>
  <c r="J616" i="3"/>
  <c r="J104" i="3"/>
  <c r="I5" i="3"/>
  <c r="I501" i="3"/>
  <c r="I434" i="3"/>
  <c r="I523" i="3"/>
  <c r="J256" i="3"/>
  <c r="I696" i="3"/>
  <c r="I200" i="3"/>
  <c r="I125" i="3"/>
  <c r="I116" i="3"/>
  <c r="J182" i="3"/>
  <c r="I10" i="3"/>
  <c r="J620" i="3"/>
  <c r="J891" i="3"/>
  <c r="I728" i="3"/>
  <c r="J569" i="3"/>
  <c r="J393" i="3"/>
  <c r="I289" i="3"/>
  <c r="I723" i="3"/>
  <c r="J720" i="3"/>
  <c r="J59" i="3"/>
  <c r="I274" i="3"/>
  <c r="I53" i="3"/>
  <c r="I385" i="3"/>
  <c r="I13" i="3"/>
  <c r="I277" i="3"/>
  <c r="I706" i="3"/>
  <c r="I371" i="3"/>
  <c r="J131" i="3"/>
  <c r="J295" i="3"/>
  <c r="J194" i="3"/>
  <c r="J197" i="3"/>
  <c r="J412" i="3"/>
  <c r="I773" i="3"/>
  <c r="I310" i="3"/>
  <c r="J99" i="3"/>
  <c r="J106" i="3"/>
  <c r="I71" i="3"/>
  <c r="I85" i="3"/>
  <c r="I178" i="3"/>
  <c r="J714" i="3"/>
  <c r="J175" i="3"/>
  <c r="I263" i="3"/>
  <c r="J762" i="3"/>
  <c r="J618" i="3"/>
  <c r="J600" i="3"/>
  <c r="I320" i="3"/>
  <c r="J728" i="3"/>
  <c r="I292" i="3"/>
  <c r="I315" i="3"/>
  <c r="J303" i="3"/>
  <c r="I383" i="3"/>
  <c r="I194" i="3"/>
  <c r="I667" i="3"/>
  <c r="J923" i="3"/>
  <c r="J920" i="3"/>
  <c r="J614" i="3"/>
  <c r="I435" i="3"/>
  <c r="J390" i="3"/>
  <c r="I181" i="3"/>
  <c r="J196" i="3"/>
  <c r="J120" i="3"/>
  <c r="I312" i="3"/>
  <c r="J208" i="3"/>
  <c r="I556" i="3"/>
  <c r="J191" i="3"/>
  <c r="I360" i="3"/>
  <c r="J770" i="3"/>
  <c r="J435" i="3"/>
  <c r="I276" i="3"/>
  <c r="J335" i="3"/>
  <c r="J250" i="3"/>
  <c r="J242" i="3"/>
  <c r="J472" i="3"/>
  <c r="I805" i="3"/>
  <c r="J342" i="3"/>
  <c r="J38" i="3"/>
  <c r="J164" i="3"/>
  <c r="J138" i="3"/>
  <c r="J56" i="3"/>
  <c r="I236" i="3"/>
  <c r="I746" i="3"/>
  <c r="J221" i="3"/>
  <c r="I431" i="3"/>
  <c r="J826" i="3"/>
  <c r="I266" i="3"/>
  <c r="J690" i="3"/>
  <c r="J384" i="3"/>
  <c r="J760" i="3"/>
  <c r="J404" i="3"/>
  <c r="I361" i="3"/>
  <c r="J474" i="3"/>
  <c r="I526" i="3"/>
  <c r="J259" i="3"/>
  <c r="I279" i="3"/>
  <c r="I396" i="3"/>
  <c r="J336" i="3"/>
  <c r="J202" i="3"/>
  <c r="I368" i="3"/>
  <c r="I284" i="3"/>
  <c r="J898" i="3"/>
  <c r="J559" i="3"/>
  <c r="I404" i="3"/>
  <c r="I375" i="3"/>
  <c r="I378" i="3"/>
  <c r="J280" i="3"/>
  <c r="J517" i="3"/>
  <c r="J901" i="3"/>
  <c r="J374" i="3"/>
  <c r="I164" i="3"/>
  <c r="I298" i="3"/>
  <c r="I202" i="3"/>
  <c r="I107" i="3"/>
  <c r="I415" i="3"/>
  <c r="J778" i="3"/>
  <c r="J253" i="3"/>
  <c r="I101" i="3"/>
  <c r="I890" i="3"/>
  <c r="I114" i="3"/>
  <c r="J781" i="3"/>
  <c r="I429" i="3"/>
  <c r="J792" i="3"/>
  <c r="J449" i="3"/>
  <c r="J411" i="3"/>
  <c r="I75" i="3"/>
  <c r="J619" i="3"/>
  <c r="I323" i="3"/>
  <c r="J731" i="3"/>
  <c r="I296" i="3"/>
  <c r="I325" i="3"/>
  <c r="J703" i="3"/>
  <c r="J581" i="3"/>
  <c r="J494" i="3"/>
  <c r="J394" i="3"/>
  <c r="J119" i="3"/>
  <c r="J193" i="3"/>
  <c r="J25" i="3"/>
  <c r="I106" i="3"/>
  <c r="J794" i="3"/>
  <c r="I448" i="3"/>
  <c r="J803" i="3"/>
  <c r="I475" i="3"/>
  <c r="J36" i="3"/>
  <c r="J114" i="3"/>
  <c r="I813" i="3"/>
  <c r="I451" i="3"/>
  <c r="I808" i="3"/>
  <c r="J478" i="3"/>
  <c r="I453" i="3"/>
  <c r="I229" i="3"/>
  <c r="J684" i="3"/>
  <c r="I608" i="3"/>
  <c r="I541" i="3"/>
  <c r="J48" i="3"/>
  <c r="J875" i="3"/>
  <c r="J516" i="3"/>
  <c r="J491" i="3"/>
  <c r="I563" i="3"/>
  <c r="I653" i="3"/>
  <c r="I567" i="3"/>
  <c r="J906" i="3"/>
  <c r="J937" i="3"/>
  <c r="I549" i="3"/>
  <c r="J588" i="3"/>
  <c r="I591" i="3"/>
  <c r="J677" i="3"/>
  <c r="I154" i="3"/>
  <c r="J176" i="3"/>
  <c r="I244" i="3"/>
  <c r="J373" i="3"/>
  <c r="J743" i="3"/>
  <c r="I718" i="3"/>
  <c r="I267" i="3"/>
  <c r="I833" i="3"/>
  <c r="J237" i="3"/>
  <c r="J184" i="3"/>
  <c r="J599" i="3"/>
  <c r="I596" i="3"/>
  <c r="I630" i="3"/>
  <c r="I765" i="3"/>
  <c r="J327" i="3"/>
  <c r="J466" i="3"/>
  <c r="J368" i="3"/>
  <c r="I242" i="3"/>
  <c r="I50" i="3"/>
  <c r="I335" i="3"/>
  <c r="J18" i="3"/>
  <c r="J623" i="3"/>
  <c r="I500" i="3"/>
  <c r="I423" i="3"/>
  <c r="I63" i="3"/>
  <c r="J325" i="3"/>
  <c r="J549" i="3"/>
  <c r="I26" i="3"/>
  <c r="J406" i="3"/>
  <c r="J86" i="3"/>
  <c r="J338" i="3"/>
  <c r="I253" i="3"/>
  <c r="J155" i="3"/>
  <c r="J482" i="3"/>
  <c r="I810" i="3"/>
  <c r="J285" i="3"/>
  <c r="J60" i="3"/>
  <c r="I68" i="3"/>
  <c r="I64" i="3"/>
  <c r="I845" i="3"/>
  <c r="J483" i="3"/>
  <c r="I824" i="3"/>
  <c r="I496" i="3"/>
  <c r="I471" i="3"/>
  <c r="I301" i="3"/>
  <c r="J698" i="3"/>
  <c r="I387" i="3"/>
  <c r="J763" i="3"/>
  <c r="I411" i="3"/>
  <c r="J366" i="3"/>
  <c r="I751" i="3"/>
  <c r="I639" i="3"/>
  <c r="I551" i="3"/>
  <c r="I432" i="3"/>
  <c r="J306" i="3"/>
  <c r="J428" i="3"/>
  <c r="J118" i="3"/>
  <c r="I159" i="3"/>
  <c r="I858" i="3"/>
  <c r="I499" i="3"/>
  <c r="I835" i="3"/>
  <c r="I550" i="3"/>
  <c r="I23" i="3"/>
  <c r="I162" i="3"/>
  <c r="I877" i="3"/>
  <c r="I502" i="3"/>
  <c r="J840" i="3"/>
  <c r="I565" i="3"/>
  <c r="J501" i="3"/>
  <c r="I270" i="3"/>
  <c r="I716" i="3"/>
  <c r="J649" i="3"/>
  <c r="I624" i="3"/>
  <c r="J227" i="3"/>
  <c r="I158" i="3"/>
  <c r="J577" i="3"/>
  <c r="I566" i="3"/>
  <c r="I619" i="3"/>
  <c r="J736" i="3"/>
  <c r="I605" i="3"/>
  <c r="I947" i="3"/>
  <c r="J974" i="3"/>
  <c r="I628" i="3"/>
  <c r="I221" i="3"/>
  <c r="J688" i="3"/>
  <c r="J991" i="3"/>
  <c r="J243" i="3"/>
  <c r="I344" i="3"/>
  <c r="J398" i="3"/>
  <c r="I440" i="3"/>
  <c r="I788" i="3"/>
  <c r="I775" i="3"/>
  <c r="I318" i="3"/>
  <c r="J897" i="3"/>
  <c r="I365" i="3"/>
  <c r="J400" i="3"/>
  <c r="J655" i="3"/>
  <c r="J662" i="3"/>
  <c r="I691" i="3"/>
  <c r="J827" i="3"/>
  <c r="I703" i="3"/>
  <c r="I536" i="3"/>
  <c r="I343" i="3"/>
  <c r="J634" i="3"/>
  <c r="J556" i="3"/>
  <c r="I112" i="3"/>
  <c r="J334" i="3"/>
  <c r="J341" i="3"/>
  <c r="J224" i="3"/>
  <c r="I744" i="3"/>
  <c r="J648" i="3"/>
  <c r="J636" i="3"/>
  <c r="J608" i="3"/>
  <c r="I694" i="3"/>
  <c r="I580" i="3"/>
  <c r="J747" i="3"/>
  <c r="I642" i="3"/>
  <c r="I150" i="3"/>
  <c r="I443" i="3"/>
  <c r="I650" i="3"/>
  <c r="J708" i="3"/>
  <c r="I410" i="3"/>
  <c r="J386" i="3"/>
  <c r="I880" i="3"/>
  <c r="J652" i="3"/>
  <c r="I454" i="3"/>
  <c r="J669" i="3"/>
  <c r="I660" i="3"/>
  <c r="I830" i="3"/>
  <c r="J557" i="3"/>
  <c r="I749" i="3"/>
  <c r="I493" i="3"/>
  <c r="J247" i="3"/>
  <c r="I517" i="3"/>
  <c r="J177" i="3"/>
  <c r="J663" i="3"/>
  <c r="J987" i="3"/>
  <c r="I173" i="3"/>
  <c r="I702" i="3"/>
  <c r="J508" i="3"/>
  <c r="J843" i="3"/>
  <c r="J964" i="3"/>
  <c r="J790" i="3"/>
  <c r="J944" i="3"/>
  <c r="I390" i="3"/>
  <c r="I419" i="3"/>
  <c r="I668" i="3"/>
  <c r="J665" i="3"/>
  <c r="J697" i="3"/>
  <c r="I203" i="3"/>
  <c r="J666" i="3"/>
  <c r="J990" i="3"/>
  <c r="J192" i="3"/>
  <c r="J705" i="3"/>
  <c r="I511" i="3"/>
  <c r="J485" i="3"/>
  <c r="J779" i="3"/>
  <c r="J385" i="3"/>
  <c r="I334" i="3"/>
  <c r="I472" i="3"/>
  <c r="J507" i="3"/>
  <c r="I503" i="3"/>
  <c r="J842" i="3"/>
  <c r="I852" i="3"/>
  <c r="I433" i="3"/>
  <c r="J188" i="3"/>
  <c r="J683" i="3"/>
  <c r="J419" i="3"/>
  <c r="I441" i="3"/>
  <c r="I684" i="3"/>
  <c r="J678" i="3"/>
  <c r="I710" i="3"/>
  <c r="J267" i="3"/>
  <c r="J679" i="3"/>
  <c r="J998" i="3"/>
  <c r="J203" i="3"/>
  <c r="J721" i="3"/>
  <c r="I519" i="3"/>
  <c r="J859" i="3"/>
  <c r="I975" i="3"/>
  <c r="J813" i="3"/>
  <c r="I968" i="3"/>
  <c r="I326" i="3"/>
  <c r="J656" i="3"/>
  <c r="I528" i="3"/>
  <c r="I633" i="3"/>
  <c r="J717" i="3"/>
  <c r="I142" i="3"/>
  <c r="I922" i="3"/>
  <c r="I675" i="3"/>
  <c r="J315" i="3"/>
  <c r="I524" i="3"/>
  <c r="J447" i="3"/>
  <c r="I352" i="3"/>
  <c r="I872" i="3"/>
  <c r="I959" i="3"/>
  <c r="I722" i="3"/>
  <c r="J206" i="3"/>
  <c r="J212" i="3"/>
  <c r="J376" i="3"/>
  <c r="I379" i="3"/>
  <c r="J767" i="3"/>
  <c r="J446" i="3"/>
  <c r="J151" i="3"/>
  <c r="J740" i="3"/>
  <c r="I820" i="3"/>
  <c r="J689" i="3"/>
  <c r="J53" i="3"/>
  <c r="I392" i="3"/>
  <c r="I302" i="3"/>
  <c r="I570" i="3"/>
  <c r="I156" i="3"/>
  <c r="I826" i="3"/>
  <c r="I942" i="3"/>
  <c r="I692" i="3"/>
  <c r="J467" i="3"/>
  <c r="I119" i="3"/>
  <c r="I416" i="3"/>
  <c r="J146" i="3"/>
  <c r="J377" i="3"/>
  <c r="J149" i="3"/>
  <c r="I262" i="3"/>
  <c r="I789" i="3"/>
  <c r="J346" i="3"/>
  <c r="I35" i="3"/>
  <c r="I707" i="3"/>
  <c r="J426" i="3"/>
  <c r="I170" i="3"/>
  <c r="J558" i="3"/>
  <c r="I413" i="3"/>
  <c r="I904" i="3"/>
  <c r="I206" i="3"/>
  <c r="J139" i="3"/>
  <c r="J340" i="3"/>
  <c r="J294" i="3"/>
  <c r="J658" i="3"/>
  <c r="J481" i="3"/>
  <c r="I238" i="3"/>
  <c r="I491" i="3"/>
  <c r="J323" i="3"/>
  <c r="I778" i="3"/>
  <c r="J884" i="3"/>
  <c r="I743" i="3"/>
  <c r="J230" i="3"/>
  <c r="J490" i="3"/>
  <c r="I408" i="3"/>
  <c r="J627" i="3"/>
  <c r="I327" i="3"/>
  <c r="I871" i="3"/>
  <c r="J982" i="3"/>
  <c r="I753" i="3"/>
  <c r="J604" i="3"/>
  <c r="J357" i="3"/>
  <c r="I497" i="3"/>
  <c r="I248" i="3"/>
  <c r="J443" i="3"/>
  <c r="I791" i="3"/>
  <c r="J785" i="3"/>
  <c r="I337" i="3"/>
  <c r="J903" i="3"/>
  <c r="J625" i="3"/>
  <c r="J956" i="3"/>
  <c r="J876" i="3"/>
  <c r="J979" i="3"/>
  <c r="J11" i="3"/>
  <c r="I704" i="3"/>
  <c r="I175" i="3"/>
  <c r="I261" i="3"/>
  <c r="J372" i="3"/>
  <c r="J413" i="3"/>
  <c r="J455" i="3"/>
  <c r="I794" i="3"/>
  <c r="J788" i="3"/>
  <c r="I350" i="3"/>
  <c r="J916" i="3"/>
  <c r="I635" i="3"/>
  <c r="I291" i="3"/>
  <c r="J260" i="3"/>
  <c r="J611" i="3"/>
  <c r="J630" i="3"/>
  <c r="J475" i="3"/>
  <c r="J597" i="3"/>
  <c r="I853" i="3"/>
  <c r="I338" i="3"/>
  <c r="I205" i="3"/>
  <c r="I739" i="3"/>
  <c r="I645" i="3"/>
  <c r="I354" i="3"/>
  <c r="J653" i="3"/>
  <c r="I575" i="3"/>
  <c r="I143" i="3"/>
  <c r="I339" i="3"/>
  <c r="I311" i="3"/>
  <c r="J427" i="3"/>
  <c r="I409" i="3"/>
  <c r="J355" i="3"/>
  <c r="J661" i="3"/>
  <c r="I293" i="3"/>
  <c r="J675" i="3"/>
  <c r="I363" i="3"/>
  <c r="I823" i="3"/>
  <c r="I123" i="3"/>
  <c r="J823" i="3"/>
  <c r="J358" i="3"/>
  <c r="I347" i="3"/>
  <c r="I494" i="3"/>
  <c r="I681" i="3"/>
  <c r="J492" i="3"/>
  <c r="I916" i="3"/>
  <c r="J162" i="3"/>
  <c r="I137" i="3"/>
  <c r="J691" i="3"/>
  <c r="I463" i="3"/>
  <c r="J700" i="3"/>
  <c r="I402" i="3"/>
  <c r="J495" i="3"/>
  <c r="I836" i="3"/>
  <c r="J836" i="3"/>
  <c r="J425" i="3"/>
  <c r="I152" i="3"/>
  <c r="I670" i="3"/>
  <c r="I988" i="3"/>
  <c r="I1002" i="3"/>
  <c r="I786" i="3"/>
  <c r="I313" i="3"/>
  <c r="I768" i="3"/>
  <c r="J371" i="3"/>
  <c r="I321" i="3"/>
  <c r="J468" i="3"/>
  <c r="J464" i="3"/>
  <c r="J499" i="3"/>
  <c r="J839" i="3"/>
  <c r="J846" i="3"/>
  <c r="J429" i="3"/>
  <c r="J178" i="3"/>
  <c r="I673" i="3"/>
  <c r="J416" i="3"/>
  <c r="J434" i="3"/>
  <c r="J671" i="3"/>
  <c r="J668" i="3"/>
  <c r="J707" i="3"/>
  <c r="J235" i="3"/>
  <c r="I676" i="3"/>
  <c r="J995" i="3"/>
  <c r="I199" i="3"/>
  <c r="J711" i="3"/>
  <c r="I515" i="3"/>
  <c r="I488" i="3"/>
  <c r="J784" i="3"/>
  <c r="J389" i="3"/>
  <c r="J353" i="3"/>
  <c r="I479" i="3"/>
  <c r="J513" i="3"/>
  <c r="I507" i="3"/>
  <c r="J852" i="3"/>
  <c r="I862" i="3"/>
  <c r="J437" i="3"/>
  <c r="J209" i="3"/>
  <c r="J686" i="3"/>
  <c r="J1001" i="3"/>
  <c r="J764" i="3"/>
  <c r="I818" i="3"/>
  <c r="I213" i="3"/>
  <c r="I736" i="3"/>
  <c r="I366" i="3"/>
  <c r="I658" i="3"/>
  <c r="I449" i="3"/>
  <c r="J917" i="3"/>
  <c r="J239" i="3"/>
  <c r="J269" i="3"/>
  <c r="I771" i="3"/>
  <c r="I760" i="3"/>
  <c r="I530" i="3"/>
  <c r="J730" i="3"/>
  <c r="I643" i="3"/>
  <c r="I246" i="3"/>
  <c r="J379" i="3"/>
  <c r="J405" i="3"/>
  <c r="I476" i="3"/>
  <c r="J451" i="3"/>
  <c r="J454" i="3"/>
  <c r="J983" i="3"/>
  <c r="I401" i="3"/>
  <c r="J729" i="3"/>
  <c r="J421" i="3"/>
  <c r="J868" i="3"/>
  <c r="J222" i="3"/>
  <c r="J887" i="3"/>
  <c r="I458" i="3"/>
  <c r="J460" i="3"/>
  <c r="J589" i="3"/>
  <c r="J127" i="3"/>
  <c r="J526" i="3"/>
  <c r="I950" i="3"/>
  <c r="I227" i="3"/>
  <c r="J215" i="3"/>
  <c r="I755" i="3"/>
  <c r="I539" i="3"/>
  <c r="J181" i="3"/>
  <c r="J461" i="3"/>
  <c r="J530" i="3"/>
  <c r="J874" i="3"/>
  <c r="I900" i="3"/>
  <c r="J462" i="3"/>
  <c r="I286" i="3"/>
  <c r="J715" i="3"/>
  <c r="J693" i="3"/>
  <c r="I803" i="3"/>
  <c r="J873" i="3"/>
  <c r="I754" i="3"/>
  <c r="I832" i="3"/>
  <c r="I467" i="3"/>
  <c r="I420" i="3"/>
  <c r="I525" i="3"/>
  <c r="J605" i="3"/>
  <c r="J537" i="3"/>
  <c r="I884" i="3"/>
  <c r="I910" i="3"/>
  <c r="I465" i="3"/>
  <c r="J305" i="3"/>
  <c r="I118" i="3"/>
  <c r="I505" i="3"/>
  <c r="I573" i="3"/>
  <c r="J735" i="3"/>
  <c r="J713" i="3"/>
  <c r="I486" i="3"/>
  <c r="I251" i="3"/>
  <c r="I79" i="3"/>
  <c r="I516" i="3"/>
  <c r="J431" i="3"/>
  <c r="I333" i="3"/>
  <c r="I867" i="3"/>
  <c r="J951" i="3"/>
  <c r="I153" i="3"/>
  <c r="J44" i="3"/>
  <c r="J680" i="3"/>
  <c r="J347" i="3"/>
  <c r="J547" i="3"/>
  <c r="J450" i="3"/>
  <c r="I522" i="3"/>
  <c r="J685" i="3"/>
  <c r="I588" i="3"/>
  <c r="J343" i="3"/>
  <c r="I649" i="3"/>
  <c r="I230" i="3"/>
  <c r="J488" i="3"/>
  <c r="I979" i="3"/>
  <c r="J263" i="3"/>
  <c r="J1004" i="3"/>
  <c r="I752" i="3"/>
  <c r="J535" i="3"/>
  <c r="I655" i="3"/>
  <c r="J458" i="3"/>
  <c r="I571" i="3"/>
  <c r="I982" i="3"/>
  <c r="J418" i="3"/>
  <c r="I384" i="3"/>
  <c r="J819" i="3"/>
  <c r="J719" i="3"/>
  <c r="I358" i="3"/>
  <c r="J582" i="3"/>
  <c r="J579" i="3"/>
  <c r="J919" i="3"/>
  <c r="J945" i="3"/>
  <c r="J564" i="3"/>
  <c r="J388" i="3"/>
  <c r="J753" i="3"/>
  <c r="J805" i="3"/>
  <c r="J895" i="3"/>
  <c r="I960" i="3"/>
  <c r="I30" i="3"/>
  <c r="J896" i="3"/>
  <c r="J550" i="3"/>
  <c r="J509" i="3"/>
  <c r="I578" i="3"/>
  <c r="I688" i="3"/>
  <c r="I582" i="3"/>
  <c r="J922" i="3"/>
  <c r="J950" i="3"/>
  <c r="I576" i="3"/>
  <c r="J392" i="3"/>
  <c r="J391" i="3"/>
  <c r="I648" i="3"/>
  <c r="J824" i="3"/>
  <c r="J201" i="3"/>
  <c r="J238" i="3"/>
  <c r="I280" i="3"/>
  <c r="J387" i="3"/>
  <c r="I759" i="3"/>
  <c r="I740" i="3"/>
  <c r="J286" i="3"/>
  <c r="J855" i="3"/>
  <c r="I598" i="3"/>
  <c r="I134" i="3"/>
  <c r="J912" i="3"/>
  <c r="I558" i="3"/>
  <c r="J532" i="3"/>
  <c r="J593" i="3"/>
  <c r="J704" i="3"/>
  <c r="I590" i="3"/>
  <c r="I934" i="3"/>
  <c r="I958" i="3"/>
  <c r="J598" i="3"/>
  <c r="I407" i="3"/>
  <c r="I769" i="3"/>
  <c r="J837" i="3"/>
  <c r="J927" i="3"/>
  <c r="J761" i="3"/>
  <c r="J885" i="3"/>
  <c r="I864" i="3"/>
  <c r="I483" i="3"/>
  <c r="I868" i="3"/>
  <c r="I699" i="3"/>
  <c r="I917" i="3"/>
  <c r="I909" i="3"/>
  <c r="I978" i="3"/>
  <c r="I210" i="3"/>
  <c r="J726" i="3"/>
  <c r="J217" i="3"/>
  <c r="I763" i="3"/>
  <c r="I996" i="3"/>
  <c r="I976" i="3"/>
  <c r="I767" i="3"/>
  <c r="J787" i="3"/>
  <c r="J637" i="3"/>
  <c r="I480" i="3"/>
  <c r="I827" i="3"/>
  <c r="I742" i="3"/>
  <c r="J860" i="3"/>
  <c r="J870" i="3"/>
  <c r="J512" i="3"/>
  <c r="J560" i="3"/>
  <c r="I342" i="3"/>
  <c r="I940" i="3"/>
  <c r="I822" i="3"/>
  <c r="J928" i="3"/>
  <c r="I783" i="3"/>
  <c r="J219" i="3"/>
  <c r="I772" i="3"/>
  <c r="J496" i="3"/>
  <c r="I985" i="3"/>
  <c r="I943" i="3"/>
  <c r="I806" i="3"/>
  <c r="J925" i="3"/>
  <c r="J283" i="3"/>
  <c r="J820" i="3"/>
  <c r="J523" i="3"/>
  <c r="I1004" i="3"/>
  <c r="J975" i="3"/>
  <c r="I879" i="3"/>
  <c r="J973" i="3"/>
  <c r="I795" i="3"/>
  <c r="I928" i="3"/>
  <c r="I844" i="3"/>
  <c r="I141" i="3"/>
  <c r="I924" i="3"/>
  <c r="I881" i="3"/>
  <c r="I973" i="3"/>
  <c r="J910" i="3"/>
  <c r="J573" i="3"/>
  <c r="I854" i="3"/>
  <c r="J775" i="3"/>
  <c r="I847" i="3"/>
  <c r="I374" i="3"/>
  <c r="J699" i="3"/>
  <c r="I506" i="3"/>
  <c r="J296" i="3"/>
  <c r="I167" i="3"/>
  <c r="I555" i="3"/>
  <c r="J397" i="3"/>
  <c r="J899" i="3"/>
  <c r="I184" i="3"/>
  <c r="I349" i="3"/>
  <c r="I117" i="3"/>
  <c r="J712" i="3"/>
  <c r="J430" i="3"/>
  <c r="I584" i="3"/>
  <c r="J525" i="3"/>
  <c r="J566" i="3"/>
  <c r="J749" i="3"/>
  <c r="I683" i="3"/>
  <c r="J438" i="3"/>
  <c r="J694" i="3"/>
  <c r="J363" i="3"/>
  <c r="J522" i="3"/>
  <c r="J631" i="3"/>
  <c r="J309" i="3"/>
  <c r="I254" i="3"/>
  <c r="I816" i="3"/>
  <c r="J592" i="3"/>
  <c r="I697" i="3"/>
  <c r="J563" i="3"/>
  <c r="I609" i="3"/>
  <c r="J647" i="3"/>
  <c r="J459" i="3"/>
  <c r="I303" i="3"/>
  <c r="I883" i="3"/>
  <c r="I165" i="3"/>
  <c r="I461" i="3"/>
  <c r="I672" i="3"/>
  <c r="I616" i="3"/>
  <c r="I955" i="3"/>
  <c r="I990" i="3"/>
  <c r="J641" i="3"/>
  <c r="I459" i="3"/>
  <c r="I798" i="3"/>
  <c r="I901" i="3"/>
  <c r="I967" i="3"/>
  <c r="J832" i="3"/>
  <c r="J262" i="3"/>
  <c r="I228" i="3"/>
  <c r="J603" i="3"/>
  <c r="I611" i="3"/>
  <c r="J643" i="3"/>
  <c r="J768" i="3"/>
  <c r="J624" i="3"/>
  <c r="J958" i="3"/>
  <c r="J993" i="3"/>
  <c r="J644" i="3"/>
  <c r="I462" i="3"/>
  <c r="I98" i="3"/>
  <c r="I715" i="3"/>
  <c r="I219" i="3"/>
  <c r="I265" i="3"/>
  <c r="I376" i="3"/>
  <c r="J417" i="3"/>
  <c r="J469" i="3"/>
  <c r="I804" i="3"/>
  <c r="J798" i="3"/>
  <c r="J369" i="3"/>
  <c r="J934" i="3"/>
  <c r="J638" i="3"/>
  <c r="I294" i="3"/>
  <c r="J264" i="3"/>
  <c r="I618" i="3"/>
  <c r="J633" i="3"/>
  <c r="J659" i="3"/>
  <c r="I784" i="3"/>
  <c r="I634" i="3"/>
  <c r="J966" i="3"/>
  <c r="I1001" i="3"/>
  <c r="J657" i="3"/>
  <c r="I485" i="3"/>
  <c r="I814" i="3"/>
  <c r="J932" i="3"/>
  <c r="I991" i="3"/>
  <c r="I892" i="3"/>
  <c r="I198" i="3"/>
  <c r="J567" i="3"/>
  <c r="I713" i="3"/>
  <c r="J213" i="3"/>
  <c r="J750" i="3"/>
  <c r="J988" i="3"/>
  <c r="I995" i="3"/>
  <c r="I761" i="3"/>
  <c r="J723" i="3"/>
  <c r="J548" i="3"/>
  <c r="J448" i="3"/>
  <c r="I817" i="3"/>
  <c r="J984" i="3"/>
  <c r="J850" i="3"/>
  <c r="J851" i="3"/>
  <c r="I592" i="3"/>
  <c r="I355" i="3"/>
  <c r="J804" i="3"/>
  <c r="J878" i="3"/>
  <c r="I962" i="3"/>
  <c r="J745" i="3"/>
  <c r="I949" i="3"/>
  <c r="I764" i="3"/>
  <c r="I730" i="3"/>
  <c r="J493" i="3"/>
  <c r="J980" i="3"/>
  <c r="I935" i="3"/>
  <c r="I793" i="3"/>
  <c r="I911" i="3"/>
  <c r="I544" i="3"/>
  <c r="J939" i="3"/>
  <c r="I568" i="3"/>
  <c r="I725" i="3"/>
  <c r="J780" i="3"/>
  <c r="J949" i="3"/>
  <c r="J812" i="3"/>
  <c r="J646" i="3"/>
  <c r="I974" i="3"/>
  <c r="J606" i="3"/>
  <c r="J789" i="3"/>
  <c r="J822" i="3"/>
  <c r="J774" i="3"/>
  <c r="I876" i="3"/>
  <c r="J996" i="3"/>
  <c r="I547" i="3"/>
  <c r="I799" i="3"/>
  <c r="I971" i="3"/>
  <c r="J742" i="3"/>
  <c r="I657" i="3"/>
  <c r="J946" i="3"/>
  <c r="I885" i="3"/>
  <c r="I615" i="3"/>
  <c r="I963" i="3"/>
  <c r="J299" i="3"/>
  <c r="J815" i="3"/>
  <c r="J829" i="3"/>
  <c r="J622" i="3"/>
  <c r="J776" i="3"/>
  <c r="J326" i="3"/>
  <c r="J502" i="3"/>
  <c r="I574" i="3"/>
  <c r="J759" i="3"/>
  <c r="J854" i="3"/>
  <c r="I732" i="3"/>
  <c r="I711" i="3"/>
  <c r="I546" i="3"/>
  <c r="I427" i="3"/>
  <c r="I781" i="3"/>
  <c r="J963" i="3"/>
  <c r="J654" i="3"/>
  <c r="I111" i="3"/>
  <c r="J251" i="3"/>
  <c r="I405" i="3"/>
  <c r="J477" i="3"/>
  <c r="I801" i="3"/>
  <c r="I961" i="3"/>
  <c r="I969" i="3"/>
  <c r="I1003" i="3"/>
  <c r="J672" i="3"/>
  <c r="J510" i="3"/>
  <c r="J531" i="3"/>
  <c r="I970" i="3"/>
  <c r="J864" i="3"/>
  <c r="J981" i="3"/>
  <c r="J318" i="3"/>
  <c r="I437" i="3"/>
  <c r="J808" i="3"/>
  <c r="I992" i="3"/>
  <c r="I870" i="3"/>
  <c r="J544" i="3"/>
  <c r="I273" i="3"/>
  <c r="I680" i="3"/>
  <c r="I931" i="3"/>
  <c r="I735" i="3"/>
  <c r="J555" i="3"/>
  <c r="I534" i="3"/>
  <c r="I712" i="3"/>
  <c r="J947" i="3"/>
  <c r="J879" i="3"/>
  <c r="J270" i="3"/>
  <c r="I295" i="3"/>
  <c r="J894" i="3"/>
  <c r="I873" i="3"/>
  <c r="J806" i="3"/>
  <c r="J329" i="3"/>
  <c r="J814" i="3"/>
  <c r="J801" i="3"/>
  <c r="I770" i="3"/>
  <c r="J954" i="3"/>
  <c r="I424" i="3"/>
  <c r="I819" i="3"/>
  <c r="J914" i="3"/>
  <c r="I849" i="3"/>
  <c r="I406" i="3"/>
  <c r="I283" i="3"/>
  <c r="I828" i="3"/>
  <c r="J948" i="3"/>
  <c r="J500" i="3"/>
  <c r="I644" i="3"/>
  <c r="I863" i="3"/>
  <c r="J527" i="3"/>
  <c r="I776" i="3"/>
  <c r="I560" i="3"/>
  <c r="J752" i="3"/>
  <c r="J331" i="3"/>
  <c r="I839" i="3"/>
  <c r="I918" i="3"/>
  <c r="J190" i="3"/>
  <c r="I756" i="3"/>
  <c r="J595" i="3"/>
  <c r="I512" i="3"/>
  <c r="J345" i="3"/>
  <c r="J676" i="3"/>
  <c r="I782" i="3"/>
  <c r="I821" i="3"/>
  <c r="J486" i="3"/>
  <c r="J536" i="3"/>
  <c r="J545" i="3"/>
  <c r="I919" i="3"/>
  <c r="I328" i="3"/>
  <c r="I741" i="3"/>
  <c r="I905" i="3"/>
  <c r="J800" i="3"/>
  <c r="J682" i="3"/>
  <c r="J610" i="3"/>
  <c r="I908" i="3"/>
  <c r="I984" i="3"/>
  <c r="I898" i="3"/>
  <c r="I518" i="3"/>
  <c r="J534" i="3"/>
  <c r="J935" i="3"/>
  <c r="I896" i="3"/>
  <c r="J997" i="3"/>
  <c r="I191" i="3"/>
  <c r="I456" i="3"/>
  <c r="J821" i="3"/>
  <c r="J739" i="3"/>
  <c r="I889" i="3"/>
  <c r="J216" i="3"/>
  <c r="J817" i="3"/>
  <c r="J853" i="3"/>
  <c r="J755" i="3"/>
  <c r="I957" i="3"/>
  <c r="I600" i="3"/>
  <c r="J613" i="3"/>
  <c r="I945" i="3"/>
  <c r="J955" i="3"/>
  <c r="J883" i="3"/>
  <c r="J639" i="3"/>
  <c r="J117" i="3"/>
  <c r="J862" i="3"/>
  <c r="J867" i="3"/>
  <c r="J751" i="3"/>
  <c r="J810" i="3"/>
  <c r="J957" i="3"/>
  <c r="I965" i="3"/>
  <c r="J773" i="3"/>
  <c r="I766" i="3"/>
  <c r="J424" i="3"/>
  <c r="I938" i="3"/>
  <c r="J967" i="3"/>
  <c r="I785" i="3"/>
  <c r="J960" i="3"/>
  <c r="J971" i="3"/>
  <c r="J722" i="3"/>
  <c r="J674" i="3"/>
  <c r="I695" i="3"/>
  <c r="I698" i="3"/>
  <c r="I708" i="3"/>
  <c r="J542" i="3"/>
  <c r="I729" i="3"/>
  <c r="J710" i="3"/>
  <c r="J670" i="3"/>
  <c r="J818" i="3"/>
  <c r="I529" i="3"/>
  <c r="J541" i="3"/>
  <c r="I913" i="3"/>
  <c r="I324" i="3"/>
  <c r="I521" i="3"/>
  <c r="J738" i="3"/>
  <c r="I186" i="3"/>
  <c r="J724" i="3"/>
  <c r="J249" i="3"/>
  <c r="I557" i="3"/>
  <c r="J994" i="3"/>
  <c r="J825" i="3"/>
  <c r="J445" i="3"/>
  <c r="I855" i="3"/>
  <c r="I811" i="3"/>
  <c r="I780" i="3"/>
  <c r="I893" i="3"/>
  <c r="J456" i="3"/>
  <c r="J692" i="3"/>
  <c r="J617" i="3"/>
  <c r="I946" i="3"/>
  <c r="J992" i="3"/>
  <c r="J930" i="3"/>
  <c r="J552" i="3"/>
  <c r="I538" i="3"/>
  <c r="J943" i="3"/>
  <c r="J924" i="3"/>
  <c r="J783" i="3"/>
  <c r="I640" i="3"/>
  <c r="J561" i="3"/>
  <c r="I948" i="3"/>
  <c r="I882" i="3"/>
  <c r="J793" i="3"/>
  <c r="J312" i="3"/>
  <c r="J871" i="3"/>
  <c r="I869" i="3"/>
  <c r="J771" i="3"/>
  <c r="J965" i="3"/>
  <c r="J439" i="3"/>
  <c r="J403" i="3"/>
  <c r="J913" i="3"/>
  <c r="J905" i="3"/>
  <c r="J838" i="3"/>
  <c r="J395" i="3"/>
  <c r="J733" i="3"/>
  <c r="J902" i="3"/>
  <c r="J848" i="3"/>
  <c r="I907" i="3"/>
  <c r="J480" i="3"/>
  <c r="I981" i="3"/>
  <c r="J952" i="3"/>
  <c r="I993" i="3"/>
  <c r="I104" i="3"/>
  <c r="J640" i="3"/>
  <c r="I652" i="3"/>
  <c r="J772" i="3"/>
  <c r="I894" i="3"/>
  <c r="J746" i="3"/>
  <c r="J587" i="3"/>
  <c r="I226" i="3"/>
  <c r="J225" i="3"/>
  <c r="I734" i="3"/>
  <c r="I130" i="3"/>
  <c r="J585" i="3"/>
  <c r="J586" i="3"/>
  <c r="J953" i="3"/>
  <c r="I395" i="3"/>
  <c r="J651" i="3"/>
  <c r="I215" i="3"/>
  <c r="J308" i="3"/>
  <c r="I762" i="3"/>
  <c r="J291" i="3"/>
  <c r="J602" i="3"/>
  <c r="I758" i="3"/>
  <c r="I192" i="3"/>
  <c r="J408" i="3"/>
  <c r="J1003" i="3"/>
  <c r="J865" i="3"/>
  <c r="I886" i="3"/>
  <c r="J802" i="3"/>
  <c r="I430" i="3"/>
  <c r="J858" i="3"/>
  <c r="J702" i="3"/>
  <c r="I790" i="3"/>
  <c r="I902" i="3"/>
  <c r="J568" i="3"/>
  <c r="J727" i="3"/>
  <c r="J621" i="3"/>
  <c r="J999" i="3"/>
  <c r="I1000" i="3"/>
  <c r="J882" i="3"/>
  <c r="J359" i="3"/>
  <c r="I651" i="3"/>
  <c r="J889" i="3"/>
  <c r="I777" i="3"/>
  <c r="J970" i="3"/>
  <c r="I717" i="3"/>
  <c r="J356" i="3"/>
  <c r="I956" i="3"/>
  <c r="J892" i="3"/>
  <c r="I797" i="3"/>
  <c r="I665" i="3"/>
  <c r="J673" i="3"/>
  <c r="J961" i="3"/>
  <c r="I987" i="3"/>
  <c r="I915" i="3"/>
  <c r="I504" i="3"/>
  <c r="J942" i="3"/>
  <c r="J834" i="3"/>
  <c r="I809" i="3"/>
  <c r="J872" i="3"/>
  <c r="J807" i="3"/>
  <c r="J968" i="3"/>
  <c r="I626" i="3"/>
  <c r="J758" i="3"/>
  <c r="I745" i="3"/>
  <c r="J232" i="3"/>
  <c r="I95" i="3"/>
  <c r="J452" i="3"/>
  <c r="I638" i="3"/>
  <c r="J660" i="3"/>
  <c r="J881" i="3"/>
  <c r="J489" i="3"/>
  <c r="J161" i="3"/>
  <c r="I235" i="3"/>
  <c r="I843" i="3"/>
  <c r="I646" i="3"/>
  <c r="I631" i="3"/>
  <c r="I998" i="3"/>
  <c r="J470" i="3"/>
  <c r="I720" i="3"/>
  <c r="I275" i="3"/>
  <c r="I421" i="3"/>
  <c r="I807" i="3"/>
  <c r="J382" i="3"/>
  <c r="I641" i="3"/>
  <c r="I930" i="3"/>
  <c r="J570" i="3"/>
  <c r="I687" i="3"/>
  <c r="J440" i="3"/>
  <c r="I923" i="3"/>
  <c r="I983" i="3"/>
  <c r="J847" i="3"/>
  <c r="I690" i="3"/>
  <c r="I414" i="3"/>
  <c r="I875" i="3"/>
  <c r="I899" i="3"/>
  <c r="I825" i="3"/>
  <c r="I509" i="3"/>
  <c r="J900" i="3"/>
  <c r="I705" i="3"/>
  <c r="J799" i="3"/>
  <c r="J921" i="3"/>
  <c r="I851" i="3"/>
  <c r="I903" i="3"/>
  <c r="J718" i="3"/>
  <c r="I812" i="3"/>
  <c r="I941" i="3"/>
  <c r="I145" i="3"/>
  <c r="I398" i="3"/>
  <c r="I654" i="3"/>
  <c r="J962" i="3"/>
  <c r="J796" i="3"/>
  <c r="I912" i="3"/>
  <c r="I436" i="3"/>
  <c r="J985" i="3"/>
  <c r="J904" i="3"/>
  <c r="J828" i="3"/>
  <c r="J989" i="3"/>
  <c r="J938" i="3"/>
  <c r="I621" i="3"/>
  <c r="I278" i="3"/>
  <c r="J911" i="3"/>
  <c r="I748" i="3"/>
  <c r="J977" i="3"/>
  <c r="I601" i="3"/>
  <c r="I815" i="3"/>
  <c r="I951" i="3"/>
  <c r="I972" i="3"/>
  <c r="J375" i="3"/>
  <c r="J205" i="3"/>
  <c r="I666" i="3"/>
  <c r="I61" i="3"/>
  <c r="I724" i="3"/>
  <c r="I926" i="3"/>
  <c r="J635" i="3"/>
  <c r="J276" i="3"/>
  <c r="I281" i="3"/>
  <c r="J907" i="3"/>
  <c r="J166" i="3"/>
  <c r="I714" i="3"/>
  <c r="I245" i="3"/>
  <c r="J553" i="3"/>
  <c r="I848" i="3"/>
  <c r="J442" i="3"/>
  <c r="I627" i="3"/>
  <c r="J890" i="3"/>
  <c r="I477" i="3"/>
  <c r="I731" i="3"/>
  <c r="J835" i="3"/>
  <c r="I587" i="3"/>
  <c r="J681" i="3"/>
  <c r="I727" i="3"/>
  <c r="I964" i="3"/>
  <c r="I831" i="3"/>
  <c r="I933" i="3"/>
  <c r="I397" i="3"/>
  <c r="I878" i="3"/>
  <c r="J929" i="3"/>
  <c r="I999" i="3"/>
  <c r="J986" i="3"/>
  <c r="J748" i="3"/>
  <c r="I686" i="3"/>
  <c r="J766" i="3"/>
  <c r="J918" i="3"/>
  <c r="J844" i="3"/>
  <c r="I629" i="3"/>
  <c r="J695" i="3"/>
  <c r="I779" i="3"/>
  <c r="J978" i="3"/>
  <c r="J866" i="3"/>
  <c r="J915" i="3"/>
  <c r="J594" i="3"/>
  <c r="I721" i="3"/>
  <c r="J816" i="3"/>
  <c r="I936" i="3"/>
  <c r="I176" i="3"/>
  <c r="I146" i="3"/>
  <c r="J414" i="3"/>
  <c r="I980" i="3"/>
  <c r="J936" i="3"/>
  <c r="I838" i="3"/>
  <c r="J959" i="3"/>
  <c r="J576" i="3"/>
  <c r="I636" i="3"/>
  <c r="I857" i="3"/>
  <c r="J886" i="3"/>
  <c r="J667" i="3"/>
  <c r="J969" i="3"/>
  <c r="J301" i="3"/>
  <c r="I796" i="3"/>
  <c r="I737" i="3"/>
  <c r="J214" i="3"/>
  <c r="I252" i="3"/>
  <c r="J811" i="3"/>
  <c r="J169" i="3"/>
  <c r="J696" i="3"/>
  <c r="J231" i="3"/>
  <c r="I989" i="3"/>
  <c r="I531" i="3"/>
  <c r="I341" i="3"/>
  <c r="J769" i="3"/>
  <c r="I478" i="3"/>
  <c r="J612" i="3"/>
  <c r="I887" i="3"/>
  <c r="I474" i="3"/>
  <c r="I131" i="3"/>
  <c r="J580" i="3"/>
  <c r="I719" i="3"/>
  <c r="J350" i="3"/>
  <c r="I679" i="3"/>
  <c r="J791" i="3"/>
  <c r="I897" i="3"/>
  <c r="J877" i="3"/>
  <c r="I445" i="3"/>
  <c r="I533" i="3"/>
  <c r="I222" i="3"/>
  <c r="I632" i="3"/>
  <c r="J841" i="3"/>
  <c r="I997" i="3"/>
  <c r="J687" i="3"/>
  <c r="J737" i="3"/>
  <c r="J972" i="3"/>
  <c r="I841" i="3"/>
  <c r="J941" i="3"/>
  <c r="I446" i="3"/>
  <c r="J926" i="3"/>
  <c r="I932" i="3"/>
  <c r="I952" i="3"/>
  <c r="J1002" i="3"/>
  <c r="J457" i="3"/>
  <c r="I929" i="3"/>
  <c r="J830" i="3"/>
  <c r="J732" i="3"/>
  <c r="I774" i="3"/>
  <c r="J856" i="3"/>
  <c r="J756" i="3"/>
  <c r="J782" i="3"/>
  <c r="I994" i="3"/>
  <c r="J908" i="3"/>
  <c r="J524" i="3"/>
  <c r="I484" i="3"/>
  <c r="I689" i="3"/>
  <c r="I954" i="3"/>
  <c r="I860" i="3"/>
  <c r="J422" i="3"/>
  <c r="J809" i="3"/>
  <c r="I846" i="3"/>
  <c r="I663" i="3"/>
  <c r="J940" i="3"/>
  <c r="I800" i="3"/>
  <c r="J754" i="3"/>
  <c r="J360" i="3"/>
  <c r="I233" i="3"/>
  <c r="J933" i="3"/>
  <c r="I953" i="3"/>
  <c r="I464" i="3"/>
  <c r="I288" i="3"/>
  <c r="I700" i="3"/>
  <c r="J716" i="3"/>
  <c r="J307" i="3"/>
  <c r="J277" i="3"/>
  <c r="I986" i="3"/>
  <c r="J744" i="3"/>
  <c r="I382" i="3"/>
  <c r="J849" i="3"/>
  <c r="J554" i="3"/>
  <c r="I701" i="3"/>
  <c r="J931" i="3"/>
  <c r="I579" i="3"/>
  <c r="I394" i="3"/>
  <c r="I840" i="3"/>
  <c r="J257" i="3"/>
  <c r="I391" i="3"/>
  <c r="I750" i="3"/>
  <c r="I865" i="3"/>
  <c r="I937" i="3"/>
  <c r="I939" i="3"/>
  <c r="J543" i="3"/>
  <c r="I299" i="3"/>
  <c r="I422" i="3"/>
  <c r="I792" i="3"/>
  <c r="I944" i="3"/>
  <c r="J861" i="3"/>
  <c r="I487" i="3"/>
  <c r="I241" i="3"/>
  <c r="J664" i="3"/>
  <c r="I927" i="3"/>
  <c r="J706" i="3"/>
  <c r="I726" i="3"/>
  <c r="J254" i="3"/>
  <c r="I977" i="3"/>
  <c r="J845" i="3"/>
  <c r="J777" i="3"/>
  <c r="J108" i="3"/>
  <c r="I259" i="3"/>
  <c r="I891" i="3"/>
  <c r="J863" i="3"/>
  <c r="I787" i="3"/>
  <c r="I562" i="3"/>
  <c r="I966" i="3"/>
  <c r="J833" i="3"/>
  <c r="J831" i="3"/>
  <c r="J1000" i="3"/>
  <c r="J310" i="3"/>
  <c r="I647" i="3"/>
  <c r="I747" i="3"/>
  <c r="J880" i="3"/>
  <c r="J976" i="3"/>
  <c r="J279" i="3"/>
  <c r="J857" i="3"/>
  <c r="I757" i="3"/>
  <c r="I583" i="3"/>
  <c r="J302" i="3"/>
  <c r="I921" i="3"/>
  <c r="I895" i="3"/>
  <c r="J734" i="3"/>
  <c r="I331" i="3"/>
  <c r="I662" i="3"/>
  <c r="I622" i="3"/>
  <c r="A115" i="1"/>
  <c r="A116" i="1"/>
  <c r="C14" i="3"/>
  <c r="C16" i="3"/>
  <c r="C11" i="3"/>
  <c r="C15" i="3"/>
  <c r="A100" i="1" l="1"/>
</calcChain>
</file>

<file path=xl/sharedStrings.xml><?xml version="1.0" encoding="utf-8"?>
<sst xmlns="http://schemas.openxmlformats.org/spreadsheetml/2006/main" count="254" uniqueCount="243">
  <si>
    <t>D10</t>
  </si>
  <si>
    <t>D30</t>
  </si>
  <si>
    <t>D60</t>
  </si>
  <si>
    <t xml:space="preserve"> </t>
  </si>
  <si>
    <t>% Passing</t>
  </si>
  <si>
    <t xml:space="preserve">Cu = </t>
  </si>
  <si>
    <t xml:space="preserve">Cc = </t>
  </si>
  <si>
    <t xml:space="preserve">% Gravel = </t>
  </si>
  <si>
    <t>% Fines =</t>
  </si>
  <si>
    <t>% &gt; 3/4 in. =</t>
  </si>
  <si>
    <t xml:space="preserve">% &gt; 3 in. = </t>
  </si>
  <si>
    <t>#60</t>
  </si>
  <si>
    <t>Y Value</t>
  </si>
  <si>
    <t>Plots for sand, gravel,fines</t>
  </si>
  <si>
    <t>Percentages of Sand, Gravel, Fines, +3, +3/4</t>
  </si>
  <si>
    <t>Inputs for Cu, Cc</t>
  </si>
  <si>
    <t>Limitations:</t>
  </si>
  <si>
    <t>Directions:</t>
  </si>
  <si>
    <t>Soil ID:</t>
  </si>
  <si>
    <t>Max Dry Density:</t>
  </si>
  <si>
    <t>Description:</t>
  </si>
  <si>
    <t>Optimum Moisture Content:</t>
  </si>
  <si>
    <t>Size</t>
  </si>
  <si>
    <t>Passing</t>
  </si>
  <si>
    <t>PL:</t>
  </si>
  <si>
    <t>LL:</t>
  </si>
  <si>
    <t>Y Plotted</t>
  </si>
  <si>
    <t>D#200</t>
  </si>
  <si>
    <t>D10 Logic</t>
  </si>
  <si>
    <t>X Value</t>
  </si>
  <si>
    <t xml:space="preserve">X Plotted </t>
  </si>
  <si>
    <r>
      <t xml:space="preserve">Y Plotted </t>
    </r>
    <r>
      <rPr>
        <sz val="10"/>
        <rFont val="Arial"/>
        <family val="2"/>
      </rPr>
      <t>values are only the values that are greater in diameter than the #200 sieve (.075mm)</t>
    </r>
  </si>
  <si>
    <r>
      <t xml:space="preserve">X Plotted </t>
    </r>
    <r>
      <rPr>
        <sz val="10"/>
        <rFont val="Arial"/>
        <family val="2"/>
      </rPr>
      <t>values are forced to be greater than zero</t>
    </r>
  </si>
  <si>
    <t>% Sand =</t>
  </si>
  <si>
    <t>View Size Distribution Curve</t>
  </si>
  <si>
    <t>View Input</t>
  </si>
  <si>
    <t>Input Screen</t>
  </si>
  <si>
    <t>Distribution Curve</t>
  </si>
  <si>
    <t>% Passing (B)</t>
  </si>
  <si>
    <t>Soil ID =</t>
  </si>
  <si>
    <t>Description =</t>
  </si>
  <si>
    <t>Max Dry Density =</t>
  </si>
  <si>
    <t>Optimum Moisture =</t>
  </si>
  <si>
    <t>Material Properties</t>
  </si>
  <si>
    <t xml:space="preserve">2) If 3", 3/4", #4, #200 Sieves are not used, the values of % Sand, % Gravel, % Fines, </t>
  </si>
  <si>
    <t xml:space="preserve">3) D10, D30, and D60 values are interpolated from the plot shown and are subject </t>
  </si>
  <si>
    <t xml:space="preserve">    to the error in the interpolation method</t>
  </si>
  <si>
    <t xml:space="preserve">Sieve Conversions  </t>
  </si>
  <si>
    <t>File Name</t>
  </si>
  <si>
    <t>5) Enter the Maximum dry density in pcf or kg/m³</t>
  </si>
  <si>
    <t xml:space="preserve">6) Enter the optimum moisture content in percent </t>
  </si>
  <si>
    <t>7) Enter the plastic limit</t>
  </si>
  <si>
    <t>8) Enter the liquid limit</t>
  </si>
  <si>
    <t>Material File Name</t>
  </si>
  <si>
    <t>9) Enter the material file name(maximum of 8 characters)</t>
  </si>
  <si>
    <t>mdd</t>
  </si>
  <si>
    <t>optm</t>
  </si>
  <si>
    <t>pl</t>
  </si>
  <si>
    <t>ll</t>
  </si>
  <si>
    <t>cu</t>
  </si>
  <si>
    <t>cc</t>
  </si>
  <si>
    <t>%g</t>
  </si>
  <si>
    <t>%s</t>
  </si>
  <si>
    <t>%f</t>
  </si>
  <si>
    <t>%3/4</t>
  </si>
  <si>
    <t xml:space="preserve">    %&gt;3, and %&gt;3/4 are interpolated from the gradation data entered</t>
  </si>
  <si>
    <t>Troubleshooting:</t>
  </si>
  <si>
    <t xml:space="preserve">     .mtl files saved in folders on the flash drive cannot be transferred to the SDG.</t>
  </si>
  <si>
    <t>3) The SDG will not recognize the file unless it has a .mtl extension.</t>
  </si>
  <si>
    <t>4) The SDG will not recognize the file unless its name is 8 characters or less.</t>
  </si>
  <si>
    <t>5) The SDG will only recognize the first 20 .mtl files saved on the flash drive.</t>
  </si>
  <si>
    <t>6) The SDG will only recognize the .mtl files in the root directory of the flash drive.  Any</t>
  </si>
  <si>
    <t>Sieve (mm)</t>
  </si>
  <si>
    <t>SI</t>
  </si>
  <si>
    <t>Metric</t>
  </si>
  <si>
    <t xml:space="preserve">4" </t>
  </si>
  <si>
    <t xml:space="preserve">100 mm </t>
  </si>
  <si>
    <t xml:space="preserve">3-1/2" </t>
  </si>
  <si>
    <t xml:space="preserve">90 mm </t>
  </si>
  <si>
    <t xml:space="preserve">3" </t>
  </si>
  <si>
    <t xml:space="preserve">75 mm </t>
  </si>
  <si>
    <t xml:space="preserve">2-1/2" </t>
  </si>
  <si>
    <t xml:space="preserve">63 mm </t>
  </si>
  <si>
    <t xml:space="preserve">2.12" </t>
  </si>
  <si>
    <t xml:space="preserve">53 mm </t>
  </si>
  <si>
    <t xml:space="preserve">2" </t>
  </si>
  <si>
    <t xml:space="preserve">50 mm </t>
  </si>
  <si>
    <t xml:space="preserve">1-3/4" </t>
  </si>
  <si>
    <t xml:space="preserve">45 mm </t>
  </si>
  <si>
    <t xml:space="preserve">1-1/2" </t>
  </si>
  <si>
    <t xml:space="preserve">37.5 mm </t>
  </si>
  <si>
    <t xml:space="preserve">1-1/4" </t>
  </si>
  <si>
    <t xml:space="preserve">31.5 mm </t>
  </si>
  <si>
    <t xml:space="preserve">1.06" </t>
  </si>
  <si>
    <t xml:space="preserve">26.5 mm </t>
  </si>
  <si>
    <t xml:space="preserve">1" </t>
  </si>
  <si>
    <t xml:space="preserve">25.0 mm </t>
  </si>
  <si>
    <t xml:space="preserve">7/8" </t>
  </si>
  <si>
    <t xml:space="preserve">22.4 mm </t>
  </si>
  <si>
    <t xml:space="preserve">3/4" </t>
  </si>
  <si>
    <t xml:space="preserve">19.0 mm </t>
  </si>
  <si>
    <t xml:space="preserve">5/8" </t>
  </si>
  <si>
    <t xml:space="preserve">16.0 mm </t>
  </si>
  <si>
    <t xml:space="preserve">0.530" </t>
  </si>
  <si>
    <t xml:space="preserve">13.2 mm </t>
  </si>
  <si>
    <t xml:space="preserve">1/2" </t>
  </si>
  <si>
    <t xml:space="preserve">12.5 mm </t>
  </si>
  <si>
    <t xml:space="preserve">7/16" </t>
  </si>
  <si>
    <t xml:space="preserve">11.2 mm </t>
  </si>
  <si>
    <t xml:space="preserve">3/8" </t>
  </si>
  <si>
    <t xml:space="preserve">9.5 mm </t>
  </si>
  <si>
    <t xml:space="preserve">5/16" </t>
  </si>
  <si>
    <t xml:space="preserve">8.0 mm </t>
  </si>
  <si>
    <t xml:space="preserve">0.265" </t>
  </si>
  <si>
    <t xml:space="preserve">6.7 mm </t>
  </si>
  <si>
    <t xml:space="preserve">1/4" </t>
  </si>
  <si>
    <t xml:space="preserve">6.3 mm </t>
  </si>
  <si>
    <t xml:space="preserve">No. 3-1/2 </t>
  </si>
  <si>
    <t xml:space="preserve">5.6 mm </t>
  </si>
  <si>
    <t xml:space="preserve">No. 4 </t>
  </si>
  <si>
    <t xml:space="preserve">4.75 mm </t>
  </si>
  <si>
    <t xml:space="preserve">No. 5 </t>
  </si>
  <si>
    <t xml:space="preserve">4.00 mm </t>
  </si>
  <si>
    <t xml:space="preserve">No. 6 </t>
  </si>
  <si>
    <t xml:space="preserve">3.35 mm </t>
  </si>
  <si>
    <t xml:space="preserve">No. 7 </t>
  </si>
  <si>
    <t xml:space="preserve">2.80 mm </t>
  </si>
  <si>
    <t xml:space="preserve">No. 8 </t>
  </si>
  <si>
    <t xml:space="preserve">2.36 mm </t>
  </si>
  <si>
    <t xml:space="preserve">No. 10 </t>
  </si>
  <si>
    <t xml:space="preserve">2.00 mm </t>
  </si>
  <si>
    <t xml:space="preserve">No. 12 </t>
  </si>
  <si>
    <t xml:space="preserve">1.70 mm </t>
  </si>
  <si>
    <t xml:space="preserve">No. 14 </t>
  </si>
  <si>
    <t xml:space="preserve">1.40 mm </t>
  </si>
  <si>
    <t xml:space="preserve">No. 16 </t>
  </si>
  <si>
    <t xml:space="preserve">1.18 mm </t>
  </si>
  <si>
    <t xml:space="preserve">No. 18 </t>
  </si>
  <si>
    <t xml:space="preserve">1.00 mm </t>
  </si>
  <si>
    <t xml:space="preserve">No. 20 </t>
  </si>
  <si>
    <t>0.850mm</t>
  </si>
  <si>
    <t xml:space="preserve">No. 25 </t>
  </si>
  <si>
    <t>0.710mm</t>
  </si>
  <si>
    <t xml:space="preserve">No. 30 </t>
  </si>
  <si>
    <t>0.600mm</t>
  </si>
  <si>
    <t xml:space="preserve">No. 35 </t>
  </si>
  <si>
    <t>0.500mm</t>
  </si>
  <si>
    <t xml:space="preserve">No. 40 </t>
  </si>
  <si>
    <t>0.425mm</t>
  </si>
  <si>
    <t xml:space="preserve">No. 45 </t>
  </si>
  <si>
    <t>0.355mm</t>
  </si>
  <si>
    <t xml:space="preserve">No. 50 </t>
  </si>
  <si>
    <t>0.300mm</t>
  </si>
  <si>
    <t xml:space="preserve">No. 60 </t>
  </si>
  <si>
    <t>0.250mm</t>
  </si>
  <si>
    <t xml:space="preserve">No. 70 </t>
  </si>
  <si>
    <t>0.212mm</t>
  </si>
  <si>
    <t xml:space="preserve">No. 80 </t>
  </si>
  <si>
    <t>0.180mm</t>
  </si>
  <si>
    <t xml:space="preserve">No. 100 </t>
  </si>
  <si>
    <t>0.150mm</t>
  </si>
  <si>
    <t xml:space="preserve">No. 120 </t>
  </si>
  <si>
    <t>0.125mm</t>
  </si>
  <si>
    <t xml:space="preserve">No. 140 </t>
  </si>
  <si>
    <t>0.106mm</t>
  </si>
  <si>
    <t xml:space="preserve">No. 170 </t>
  </si>
  <si>
    <t>0.090mm</t>
  </si>
  <si>
    <t xml:space="preserve">No. 200 </t>
  </si>
  <si>
    <t>0.075mm</t>
  </si>
  <si>
    <t xml:space="preserve">No. 230 </t>
  </si>
  <si>
    <t>0.063mm</t>
  </si>
  <si>
    <t xml:space="preserve">No. 270 </t>
  </si>
  <si>
    <t>0.053mm</t>
  </si>
  <si>
    <t xml:space="preserve">No. 325 </t>
  </si>
  <si>
    <t>0.045mm</t>
  </si>
  <si>
    <t xml:space="preserve">No. 400 </t>
  </si>
  <si>
    <t>0.038mm</t>
  </si>
  <si>
    <t xml:space="preserve">No. 450 </t>
  </si>
  <si>
    <t>0.032mm</t>
  </si>
  <si>
    <t xml:space="preserve">No. 500 </t>
  </si>
  <si>
    <t>0.025mm</t>
  </si>
  <si>
    <t xml:space="preserve">No. 635 </t>
  </si>
  <si>
    <t>0.020mm</t>
  </si>
  <si>
    <t xml:space="preserve">       the 25mm sieve will never be greater than the % passing the 50mm sieve.</t>
  </si>
  <si>
    <t>Identifies min sieve</t>
  </si>
  <si>
    <t>size used for plot of curve fit</t>
  </si>
  <si>
    <t>d10</t>
  </si>
  <si>
    <t>d30</t>
  </si>
  <si>
    <t>d60</t>
  </si>
  <si>
    <t>Cu</t>
  </si>
  <si>
    <t>Cc</t>
  </si>
  <si>
    <t>Interpolated</t>
  </si>
  <si>
    <t>D10, 30, 60</t>
  </si>
  <si>
    <t xml:space="preserve">y Ploted </t>
  </si>
  <si>
    <t>% Passing Min Sieve</t>
  </si>
  <si>
    <t>Min Sieve Used</t>
  </si>
  <si>
    <r>
      <t xml:space="preserve">D10 Logic </t>
    </r>
    <r>
      <rPr>
        <sz val="10"/>
        <rFont val="Arial"/>
        <family val="2"/>
      </rPr>
      <t>prevents d10 from being calculated when it is less than the smallest sieve used in the gradation analysis</t>
    </r>
  </si>
  <si>
    <t>Inputs for Cu, Cc on Extrapolated Line</t>
  </si>
  <si>
    <t>Extrapolated</t>
  </si>
  <si>
    <t>Extrapolated Y Plotted - not used - prevents y value from approaching zero - approaches approximately 70% of percent passing smallest sieve</t>
  </si>
  <si>
    <r>
      <t>Inputs for Cu, Cc on Extrapolated Line</t>
    </r>
    <r>
      <rPr>
        <sz val="10"/>
        <rFont val="Arial"/>
      </rPr>
      <t xml:space="preserve"> - not used - Cu, Cc from above - not used because it can prevent Cu and Cc from being calculated if 70% of the percent passing the smallest sieve is still greater than 60. 30, or 10%</t>
    </r>
  </si>
  <si>
    <t xml:space="preserve">1) D10, D30, and D60 are only calculated if the percent passing the smallest </t>
  </si>
  <si>
    <t xml:space="preserve">    sieve is less than 10, 30, or 60%.  When D10, D30 or D60 are not calculated, d10, </t>
  </si>
  <si>
    <t xml:space="preserve">   d30 and d60 will be calculated from an extrapolation of the particle size distribution</t>
  </si>
  <si>
    <t xml:space="preserve">  curve.  Cu and Cc values calculated from d10, d30, and d60 are not automatically</t>
  </si>
  <si>
    <t xml:space="preserve">  imported to the SDG, they need to be manually entered at the operators discretion.</t>
  </si>
  <si>
    <t>3) Enter the  Soil ID (Up to 8 characters, numbers only)</t>
  </si>
  <si>
    <t>4) Enter the Material Description (Up to 16 characters, alpha/numeric)</t>
  </si>
  <si>
    <t>Sieve Size (mm)      (A)</t>
  </si>
  <si>
    <t>PL =</t>
  </si>
  <si>
    <t>LL =</t>
  </si>
  <si>
    <t>Extrapolated Coefficients (see Limitations on Input Screen)</t>
  </si>
  <si>
    <t xml:space="preserve">10) The first time your PC tries to open the .mtl file it will not be able to.  Find the file on the desk top, </t>
  </si>
  <si>
    <t xml:space="preserve">      double click on it and open it with WordPad. All .mtl files will open properly after that.</t>
  </si>
  <si>
    <t>Sieve mm</t>
  </si>
  <si>
    <t>2) Define the material as described below</t>
  </si>
  <si>
    <t>3) View the particle distribution curve and material properties</t>
  </si>
  <si>
    <t>4) Save the material file in the desired location</t>
  </si>
  <si>
    <t>1) Select software version installed on the SDG</t>
  </si>
  <si>
    <r>
      <t>Define Materials As Follows</t>
    </r>
    <r>
      <rPr>
        <sz val="12"/>
        <rFont val="Cambria"/>
        <family val="1"/>
      </rPr>
      <t>:</t>
    </r>
  </si>
  <si>
    <r>
      <t xml:space="preserve">1) Enter the sieve sizes, in mm, in descending order, in Column </t>
    </r>
    <r>
      <rPr>
        <b/>
        <sz val="12"/>
        <rFont val="Cambria"/>
        <family val="1"/>
      </rPr>
      <t>A</t>
    </r>
  </si>
  <si>
    <r>
      <t xml:space="preserve">2) Enter the percent passing each sieve (% finer) in Column </t>
    </r>
    <r>
      <rPr>
        <b/>
        <sz val="12"/>
        <rFont val="Cambria"/>
        <family val="1"/>
      </rPr>
      <t>B</t>
    </r>
  </si>
  <si>
    <r>
      <t xml:space="preserve">1) Sieve Sizes in Column </t>
    </r>
    <r>
      <rPr>
        <b/>
        <sz val="12"/>
        <rFont val="Cambria"/>
        <family val="1"/>
      </rPr>
      <t>A</t>
    </r>
    <r>
      <rPr>
        <sz val="12"/>
        <rFont val="Cambria"/>
        <family val="1"/>
      </rPr>
      <t xml:space="preserve"> need to be entered in descending order.</t>
    </r>
  </si>
  <si>
    <r>
      <t xml:space="preserve">2) Values in Column </t>
    </r>
    <r>
      <rPr>
        <b/>
        <sz val="12"/>
        <rFont val="Cambria"/>
        <family val="1"/>
      </rPr>
      <t>B</t>
    </r>
    <r>
      <rPr>
        <sz val="12"/>
        <rFont val="Cambria"/>
        <family val="1"/>
      </rPr>
      <t xml:space="preserve"> will also be in descending order, for example, the % passing</t>
    </r>
  </si>
  <si>
    <r>
      <t xml:space="preserve">7) Any unused cells in Column </t>
    </r>
    <r>
      <rPr>
        <b/>
        <sz val="12"/>
        <rFont val="Cambria"/>
        <family val="1"/>
      </rPr>
      <t xml:space="preserve">A </t>
    </r>
    <r>
      <rPr>
        <sz val="12"/>
        <rFont val="Cambria"/>
        <family val="1"/>
      </rPr>
      <t>need to have zero entered in them.</t>
    </r>
  </si>
  <si>
    <r>
      <t xml:space="preserve">8) Any unused cells in Column </t>
    </r>
    <r>
      <rPr>
        <b/>
        <sz val="12"/>
        <rFont val="Cambria"/>
        <family val="1"/>
      </rPr>
      <t>B</t>
    </r>
    <r>
      <rPr>
        <sz val="12"/>
        <rFont val="Cambria"/>
        <family val="1"/>
      </rPr>
      <t xml:space="preserve"> need a zero entered in them.</t>
    </r>
  </si>
  <si>
    <r>
      <t>9) All files generated by this spreadsheet are initially saved to your</t>
    </r>
    <r>
      <rPr>
        <b/>
        <sz val="12"/>
        <rFont val="Cambria"/>
        <family val="1"/>
      </rPr>
      <t xml:space="preserve"> Desktop.</t>
    </r>
  </si>
  <si>
    <t>Depth:</t>
  </si>
  <si>
    <t>Depth =</t>
  </si>
  <si>
    <t xml:space="preserve">WD Offset = </t>
  </si>
  <si>
    <t xml:space="preserve">% Moisture Offset = </t>
  </si>
  <si>
    <t>WD Offset:</t>
  </si>
  <si>
    <t>% Moisture Offset:</t>
  </si>
  <si>
    <t>depth</t>
  </si>
  <si>
    <t>WD offset</t>
  </si>
  <si>
    <t>moisture offset</t>
  </si>
  <si>
    <t>Soil ID;</t>
  </si>
  <si>
    <t>Max Dry Density;</t>
  </si>
  <si>
    <t>LL;</t>
  </si>
  <si>
    <t>Description;</t>
  </si>
  <si>
    <t>Optimum Moisture Content;</t>
  </si>
  <si>
    <t>PL;</t>
  </si>
  <si>
    <t>Gradation;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</si>
</sst>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2"/>
      <name val="Cambria"/>
      <family val="1"/>
    </font>
    <font>
      <sz val="10"/>
      <name val="Cambria"/>
      <family val="1"/>
    </font>
    <font>
      <sz val="12"/>
      <name val="Cambria"/>
      <family val="1"/>
    </font>
    <font>
      <b/>
      <sz val="10"/>
      <name val="Cambria"/>
      <family val="1"/>
    </font>
    <font>
      <u/>
      <sz val="10"/>
      <name val="Cambria"/>
      <family val="1"/>
    </font>
    <font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2" fillId="0" borderId="0" xfId="0" applyFon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center"/>
      <protection hidden="1"/>
    </xf>
    <xf numFmtId="165" fontId="0" fillId="0" borderId="3" xfId="0" applyNumberFormat="1" applyBorder="1" applyAlignment="1" applyProtection="1">
      <alignment horizontal="center"/>
      <protection hidden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Protection="1">
      <protection hidden="1"/>
    </xf>
    <xf numFmtId="0" fontId="0" fillId="0" borderId="11" xfId="0" applyBorder="1" applyProtection="1">
      <protection hidden="1"/>
    </xf>
    <xf numFmtId="0" fontId="0" fillId="2" borderId="0" xfId="0" applyFill="1" applyAlignment="1">
      <alignment horizontal="left"/>
    </xf>
    <xf numFmtId="0" fontId="5" fillId="0" borderId="0" xfId="1" applyAlignment="1" applyProtection="1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5" fillId="0" borderId="0" xfId="1" quotePrefix="1" applyAlignment="1" applyProtection="1"/>
    <xf numFmtId="0" fontId="0" fillId="4" borderId="0" xfId="0" applyFill="1"/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165" fontId="0" fillId="0" borderId="0" xfId="0" applyNumberFormat="1"/>
    <xf numFmtId="2" fontId="0" fillId="0" borderId="0" xfId="0" applyNumberFormat="1"/>
    <xf numFmtId="0" fontId="2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5" borderId="0" xfId="0" applyFill="1" applyAlignment="1" applyProtection="1">
      <alignment horizontal="center"/>
      <protection hidden="1"/>
    </xf>
    <xf numFmtId="0" fontId="0" fillId="5" borderId="2" xfId="0" applyFill="1" applyBorder="1" applyProtection="1">
      <protection hidden="1"/>
    </xf>
    <xf numFmtId="0" fontId="2" fillId="0" borderId="6" xfId="0" applyFont="1" applyBorder="1" applyProtection="1">
      <protection hidden="1"/>
    </xf>
    <xf numFmtId="0" fontId="2" fillId="0" borderId="13" xfId="0" applyFont="1" applyBorder="1" applyProtection="1">
      <protection hidden="1"/>
    </xf>
    <xf numFmtId="0" fontId="2" fillId="0" borderId="11" xfId="0" applyFont="1" applyBorder="1" applyProtection="1">
      <protection hidden="1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8" fillId="0" borderId="9" xfId="0" applyFont="1" applyBorder="1"/>
    <xf numFmtId="0" fontId="8" fillId="0" borderId="10" xfId="0" applyFont="1" applyBorder="1"/>
    <xf numFmtId="165" fontId="8" fillId="2" borderId="15" xfId="0" applyNumberFormat="1" applyFont="1" applyFill="1" applyBorder="1" applyAlignment="1" applyProtection="1">
      <alignment horizontal="center"/>
      <protection locked="0"/>
    </xf>
    <xf numFmtId="0" fontId="8" fillId="2" borderId="15" xfId="0" applyFont="1" applyFill="1" applyBorder="1" applyAlignment="1" applyProtection="1">
      <alignment horizontal="center"/>
      <protection locked="0"/>
    </xf>
    <xf numFmtId="0" fontId="8" fillId="0" borderId="12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1" xfId="0" applyFont="1" applyBorder="1" applyAlignment="1">
      <alignment horizontal="center" wrapText="1"/>
    </xf>
    <xf numFmtId="0" fontId="8" fillId="0" borderId="22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0" fontId="8" fillId="0" borderId="7" xfId="0" applyFont="1" applyBorder="1" applyAlignment="1">
      <alignment horizontal="center" wrapText="1"/>
    </xf>
    <xf numFmtId="0" fontId="10" fillId="0" borderId="0" xfId="0" applyFont="1"/>
    <xf numFmtId="0" fontId="9" fillId="0" borderId="0" xfId="0" applyFont="1" applyAlignment="1">
      <alignment wrapText="1"/>
    </xf>
    <xf numFmtId="0" fontId="8" fillId="0" borderId="0" xfId="0" applyFont="1" applyAlignment="1">
      <alignment vertical="top" wrapText="1"/>
    </xf>
    <xf numFmtId="0" fontId="8" fillId="0" borderId="17" xfId="0" applyFont="1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11" fillId="0" borderId="0" xfId="1" applyFont="1" applyAlignment="1" applyProtection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 applyAlignment="1">
      <alignment vertical="top" wrapText="1"/>
    </xf>
    <xf numFmtId="49" fontId="8" fillId="0" borderId="0" xfId="0" applyNumberFormat="1" applyFont="1"/>
    <xf numFmtId="0" fontId="3" fillId="0" borderId="0" xfId="0" applyFont="1"/>
    <xf numFmtId="0" fontId="8" fillId="0" borderId="23" xfId="0" applyFont="1" applyBorder="1" applyAlignment="1">
      <alignment horizontal="right"/>
    </xf>
    <xf numFmtId="0" fontId="3" fillId="0" borderId="0" xfId="0" applyFont="1" applyProtection="1">
      <protection hidden="1"/>
    </xf>
    <xf numFmtId="0" fontId="5" fillId="0" borderId="0" xfId="1" applyAlignment="1" applyProtection="1">
      <protection locked="0" hidden="1"/>
    </xf>
    <xf numFmtId="0" fontId="12" fillId="0" borderId="0" xfId="0" applyFont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9" fontId="12" fillId="0" borderId="0" xfId="0" applyNumberFormat="1" applyFont="1" applyAlignment="1" applyProtection="1">
      <alignment horizontal="left"/>
      <protection hidden="1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0" xfId="0" applyFont="1" applyAlignment="1">
      <alignment horizontal="right"/>
    </xf>
    <xf numFmtId="0" fontId="8" fillId="0" borderId="23" xfId="0" applyFont="1" applyBorder="1" applyAlignment="1">
      <alignment horizontal="right"/>
    </xf>
    <xf numFmtId="164" fontId="8" fillId="2" borderId="24" xfId="2" applyNumberFormat="1" applyFont="1" applyFill="1" applyBorder="1" applyAlignment="1" applyProtection="1">
      <alignment horizontal="left"/>
      <protection locked="0"/>
    </xf>
    <xf numFmtId="164" fontId="8" fillId="2" borderId="25" xfId="2" applyNumberFormat="1" applyFont="1" applyFill="1" applyBorder="1" applyAlignment="1" applyProtection="1">
      <alignment horizontal="left"/>
      <protection locked="0"/>
    </xf>
    <xf numFmtId="3" fontId="8" fillId="2" borderId="24" xfId="0" applyNumberFormat="1" applyFont="1" applyFill="1" applyBorder="1" applyAlignment="1" applyProtection="1">
      <alignment horizontal="left"/>
      <protection locked="0"/>
    </xf>
    <xf numFmtId="0" fontId="8" fillId="2" borderId="25" xfId="0" applyFont="1" applyFill="1" applyBorder="1" applyAlignment="1" applyProtection="1">
      <alignment horizontal="left"/>
      <protection locked="0"/>
    </xf>
    <xf numFmtId="0" fontId="10" fillId="0" borderId="6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15" xfId="0" applyFont="1" applyBorder="1" applyAlignment="1">
      <alignment horizontal="center" wrapText="1"/>
    </xf>
    <xf numFmtId="0" fontId="8" fillId="2" borderId="24" xfId="0" applyFont="1" applyFill="1" applyBorder="1" applyAlignment="1" applyProtection="1">
      <alignment horizontal="left"/>
      <protection locked="0"/>
    </xf>
    <xf numFmtId="0" fontId="8" fillId="2" borderId="15" xfId="0" applyFont="1" applyFill="1" applyBorder="1" applyAlignment="1" applyProtection="1">
      <alignment horizontal="left"/>
      <protection locked="0"/>
    </xf>
    <xf numFmtId="0" fontId="2" fillId="0" borderId="18" xfId="0" applyFont="1" applyBorder="1" applyAlignment="1">
      <alignment horizontal="left" indent="1"/>
    </xf>
    <xf numFmtId="0" fontId="2" fillId="0" borderId="8" xfId="0" applyFont="1" applyBorder="1" applyAlignment="1">
      <alignment horizontal="left" indent="1"/>
    </xf>
    <xf numFmtId="164" fontId="2" fillId="0" borderId="15" xfId="0" applyNumberFormat="1" applyFont="1" applyBorder="1" applyAlignment="1">
      <alignment horizontal="left" indent="1"/>
    </xf>
    <xf numFmtId="164" fontId="2" fillId="0" borderId="7" xfId="0" applyNumberFormat="1" applyFont="1" applyBorder="1" applyAlignment="1">
      <alignment horizontal="left" indent="1"/>
    </xf>
    <xf numFmtId="2" fontId="2" fillId="0" borderId="15" xfId="0" applyNumberFormat="1" applyFont="1" applyBorder="1" applyAlignment="1">
      <alignment horizontal="left" indent="1"/>
    </xf>
    <xf numFmtId="2" fontId="2" fillId="0" borderId="7" xfId="0" applyNumberFormat="1" applyFont="1" applyBorder="1" applyAlignment="1">
      <alignment horizontal="left" indent="1"/>
    </xf>
    <xf numFmtId="0" fontId="0" fillId="0" borderId="27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2" fontId="2" fillId="0" borderId="28" xfId="0" applyNumberFormat="1" applyFont="1" applyBorder="1" applyAlignment="1">
      <alignment horizontal="left" indent="1"/>
    </xf>
    <xf numFmtId="2" fontId="2" fillId="0" borderId="10" xfId="0" applyNumberFormat="1" applyFont="1" applyBorder="1" applyAlignment="1">
      <alignment horizontal="left" indent="1"/>
    </xf>
    <xf numFmtId="1" fontId="2" fillId="0" borderId="15" xfId="0" applyNumberFormat="1" applyFont="1" applyBorder="1" applyAlignment="1">
      <alignment horizontal="left" indent="1"/>
    </xf>
    <xf numFmtId="1" fontId="2" fillId="0" borderId="7" xfId="0" applyNumberFormat="1" applyFont="1" applyBorder="1" applyAlignment="1">
      <alignment horizontal="left" indent="1"/>
    </xf>
    <xf numFmtId="0" fontId="2" fillId="0" borderId="16" xfId="0" applyFont="1" applyBorder="1" applyAlignment="1">
      <alignment horizontal="right"/>
    </xf>
    <xf numFmtId="0" fontId="2" fillId="0" borderId="15" xfId="0" applyFont="1" applyBorder="1" applyAlignment="1">
      <alignment horizontal="right"/>
    </xf>
    <xf numFmtId="0" fontId="0" fillId="0" borderId="0" xfId="0" applyAlignment="1">
      <alignment horizontal="right"/>
    </xf>
    <xf numFmtId="0" fontId="2" fillId="0" borderId="17" xfId="0" applyFont="1" applyBorder="1" applyAlignment="1">
      <alignment horizontal="right"/>
    </xf>
    <xf numFmtId="0" fontId="2" fillId="0" borderId="18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28" xfId="0" applyFont="1" applyBorder="1" applyAlignment="1">
      <alignment horizontal="right"/>
    </xf>
    <xf numFmtId="0" fontId="2" fillId="0" borderId="0" xfId="0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"/>
      <protection hidden="1"/>
    </xf>
    <xf numFmtId="0" fontId="0" fillId="0" borderId="11" xfId="0" applyBorder="1" applyAlignment="1" applyProtection="1">
      <alignment horizontal="center"/>
      <protection hidden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Particle Size Distribution - ASTM D 422</a:t>
            </a:r>
          </a:p>
        </c:rich>
      </c:tx>
      <c:layout>
        <c:manualLayout>
          <c:xMode val="edge"/>
          <c:yMode val="edge"/>
          <c:x val="0.17790358455821689"/>
          <c:y val="2.6350462771100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010713591369557E-2"/>
          <c:y val="0.24242424242424257"/>
          <c:w val="0.87045654790712657"/>
          <c:h val="0.58761528326745716"/>
        </c:manualLayout>
      </c:layout>
      <c:scatterChart>
        <c:scatterStyle val="lineMarker"/>
        <c:varyColors val="0"/>
        <c:ser>
          <c:idx val="8"/>
          <c:order val="0"/>
          <c:tx>
            <c:v>Extended Gradation Interpolation</c:v>
          </c:tx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Data!$H$4:$H$1004</c:f>
              <c:numCache>
                <c:formatCode>General</c:formatCode>
                <c:ptCount val="1001"/>
                <c:pt idx="0">
                  <c:v>1E-10</c:v>
                </c:pt>
                <c:pt idx="1">
                  <c:v>1E-10</c:v>
                </c:pt>
                <c:pt idx="2">
                  <c:v>1E-10</c:v>
                </c:pt>
                <c:pt idx="3">
                  <c:v>1E-10</c:v>
                </c:pt>
                <c:pt idx="4">
                  <c:v>1E-10</c:v>
                </c:pt>
                <c:pt idx="5">
                  <c:v>1E-10</c:v>
                </c:pt>
                <c:pt idx="6">
                  <c:v>1E-10</c:v>
                </c:pt>
                <c:pt idx="7">
                  <c:v>1E-10</c:v>
                </c:pt>
                <c:pt idx="8">
                  <c:v>1E-10</c:v>
                </c:pt>
                <c:pt idx="9">
                  <c:v>1E-10</c:v>
                </c:pt>
                <c:pt idx="10">
                  <c:v>1E-10</c:v>
                </c:pt>
                <c:pt idx="11">
                  <c:v>1E-10</c:v>
                </c:pt>
                <c:pt idx="12">
                  <c:v>1E-10</c:v>
                </c:pt>
                <c:pt idx="13">
                  <c:v>1E-10</c:v>
                </c:pt>
                <c:pt idx="14">
                  <c:v>1E-10</c:v>
                </c:pt>
                <c:pt idx="15">
                  <c:v>1E-10</c:v>
                </c:pt>
                <c:pt idx="16">
                  <c:v>1E-10</c:v>
                </c:pt>
                <c:pt idx="17">
                  <c:v>1E-10</c:v>
                </c:pt>
                <c:pt idx="18">
                  <c:v>1E-10</c:v>
                </c:pt>
                <c:pt idx="19">
                  <c:v>1E-10</c:v>
                </c:pt>
                <c:pt idx="20">
                  <c:v>1E-10</c:v>
                </c:pt>
                <c:pt idx="21">
                  <c:v>1E-10</c:v>
                </c:pt>
                <c:pt idx="22">
                  <c:v>1E-10</c:v>
                </c:pt>
                <c:pt idx="23">
                  <c:v>1E-10</c:v>
                </c:pt>
                <c:pt idx="24">
                  <c:v>1E-10</c:v>
                </c:pt>
                <c:pt idx="25">
                  <c:v>1E-10</c:v>
                </c:pt>
                <c:pt idx="26">
                  <c:v>1E-10</c:v>
                </c:pt>
                <c:pt idx="27">
                  <c:v>1E-10</c:v>
                </c:pt>
                <c:pt idx="28">
                  <c:v>1E-10</c:v>
                </c:pt>
                <c:pt idx="29">
                  <c:v>1E-10</c:v>
                </c:pt>
                <c:pt idx="30">
                  <c:v>1E-10</c:v>
                </c:pt>
                <c:pt idx="31">
                  <c:v>1E-10</c:v>
                </c:pt>
                <c:pt idx="32">
                  <c:v>1E-10</c:v>
                </c:pt>
                <c:pt idx="33">
                  <c:v>1E-10</c:v>
                </c:pt>
                <c:pt idx="34">
                  <c:v>1E-10</c:v>
                </c:pt>
                <c:pt idx="35">
                  <c:v>1E-10</c:v>
                </c:pt>
                <c:pt idx="36">
                  <c:v>1E-10</c:v>
                </c:pt>
                <c:pt idx="37">
                  <c:v>1E-10</c:v>
                </c:pt>
                <c:pt idx="38">
                  <c:v>1E-10</c:v>
                </c:pt>
                <c:pt idx="39">
                  <c:v>1E-10</c:v>
                </c:pt>
                <c:pt idx="40">
                  <c:v>1E-10</c:v>
                </c:pt>
                <c:pt idx="41">
                  <c:v>1E-10</c:v>
                </c:pt>
                <c:pt idx="42">
                  <c:v>1E-10</c:v>
                </c:pt>
                <c:pt idx="43">
                  <c:v>1E-10</c:v>
                </c:pt>
                <c:pt idx="44">
                  <c:v>1E-10</c:v>
                </c:pt>
                <c:pt idx="45">
                  <c:v>1E-10</c:v>
                </c:pt>
                <c:pt idx="46">
                  <c:v>1E-10</c:v>
                </c:pt>
                <c:pt idx="47">
                  <c:v>1E-10</c:v>
                </c:pt>
                <c:pt idx="48">
                  <c:v>1E-10</c:v>
                </c:pt>
                <c:pt idx="49">
                  <c:v>1E-10</c:v>
                </c:pt>
                <c:pt idx="50">
                  <c:v>1E-10</c:v>
                </c:pt>
                <c:pt idx="51">
                  <c:v>1E-10</c:v>
                </c:pt>
                <c:pt idx="52">
                  <c:v>1E-10</c:v>
                </c:pt>
                <c:pt idx="53">
                  <c:v>1E-10</c:v>
                </c:pt>
                <c:pt idx="54">
                  <c:v>1E-10</c:v>
                </c:pt>
                <c:pt idx="55">
                  <c:v>1E-10</c:v>
                </c:pt>
                <c:pt idx="56">
                  <c:v>1E-10</c:v>
                </c:pt>
                <c:pt idx="57">
                  <c:v>1E-10</c:v>
                </c:pt>
                <c:pt idx="58">
                  <c:v>1E-10</c:v>
                </c:pt>
                <c:pt idx="59">
                  <c:v>1E-10</c:v>
                </c:pt>
                <c:pt idx="60">
                  <c:v>1E-10</c:v>
                </c:pt>
                <c:pt idx="61">
                  <c:v>1E-10</c:v>
                </c:pt>
                <c:pt idx="62">
                  <c:v>1E-10</c:v>
                </c:pt>
                <c:pt idx="63">
                  <c:v>1E-10</c:v>
                </c:pt>
                <c:pt idx="64">
                  <c:v>1E-10</c:v>
                </c:pt>
                <c:pt idx="65">
                  <c:v>1E-10</c:v>
                </c:pt>
                <c:pt idx="66">
                  <c:v>1E-10</c:v>
                </c:pt>
                <c:pt idx="67">
                  <c:v>1E-10</c:v>
                </c:pt>
                <c:pt idx="68">
                  <c:v>1E-10</c:v>
                </c:pt>
                <c:pt idx="69">
                  <c:v>1E-10</c:v>
                </c:pt>
                <c:pt idx="70">
                  <c:v>1E-10</c:v>
                </c:pt>
                <c:pt idx="71">
                  <c:v>1E-10</c:v>
                </c:pt>
                <c:pt idx="72">
                  <c:v>1E-10</c:v>
                </c:pt>
                <c:pt idx="73">
                  <c:v>1E-10</c:v>
                </c:pt>
                <c:pt idx="74">
                  <c:v>1E-10</c:v>
                </c:pt>
                <c:pt idx="75">
                  <c:v>1E-10</c:v>
                </c:pt>
                <c:pt idx="76">
                  <c:v>1E-10</c:v>
                </c:pt>
                <c:pt idx="77">
                  <c:v>1E-10</c:v>
                </c:pt>
                <c:pt idx="78">
                  <c:v>1E-10</c:v>
                </c:pt>
                <c:pt idx="79">
                  <c:v>1E-10</c:v>
                </c:pt>
                <c:pt idx="80">
                  <c:v>1E-10</c:v>
                </c:pt>
                <c:pt idx="81">
                  <c:v>1E-10</c:v>
                </c:pt>
                <c:pt idx="82">
                  <c:v>1E-10</c:v>
                </c:pt>
                <c:pt idx="83">
                  <c:v>1E-10</c:v>
                </c:pt>
                <c:pt idx="84">
                  <c:v>1E-10</c:v>
                </c:pt>
                <c:pt idx="85">
                  <c:v>1E-10</c:v>
                </c:pt>
                <c:pt idx="86">
                  <c:v>1E-10</c:v>
                </c:pt>
                <c:pt idx="87">
                  <c:v>1E-10</c:v>
                </c:pt>
                <c:pt idx="88">
                  <c:v>1E-10</c:v>
                </c:pt>
                <c:pt idx="89">
                  <c:v>1E-10</c:v>
                </c:pt>
                <c:pt idx="90">
                  <c:v>1E-10</c:v>
                </c:pt>
                <c:pt idx="91">
                  <c:v>1E-10</c:v>
                </c:pt>
                <c:pt idx="92">
                  <c:v>1E-10</c:v>
                </c:pt>
                <c:pt idx="93">
                  <c:v>1E-10</c:v>
                </c:pt>
                <c:pt idx="94">
                  <c:v>1E-10</c:v>
                </c:pt>
                <c:pt idx="95">
                  <c:v>1E-10</c:v>
                </c:pt>
                <c:pt idx="96">
                  <c:v>1E-10</c:v>
                </c:pt>
                <c:pt idx="97">
                  <c:v>1E-10</c:v>
                </c:pt>
                <c:pt idx="98">
                  <c:v>1E-10</c:v>
                </c:pt>
                <c:pt idx="99">
                  <c:v>1E-10</c:v>
                </c:pt>
                <c:pt idx="100">
                  <c:v>1E-10</c:v>
                </c:pt>
                <c:pt idx="101">
                  <c:v>1E-10</c:v>
                </c:pt>
                <c:pt idx="102">
                  <c:v>1E-10</c:v>
                </c:pt>
                <c:pt idx="103">
                  <c:v>1E-10</c:v>
                </c:pt>
                <c:pt idx="104">
                  <c:v>1E-10</c:v>
                </c:pt>
                <c:pt idx="105">
                  <c:v>1E-10</c:v>
                </c:pt>
                <c:pt idx="106">
                  <c:v>1E-10</c:v>
                </c:pt>
                <c:pt idx="107">
                  <c:v>1E-10</c:v>
                </c:pt>
                <c:pt idx="108">
                  <c:v>1E-10</c:v>
                </c:pt>
                <c:pt idx="109">
                  <c:v>1E-10</c:v>
                </c:pt>
                <c:pt idx="110">
                  <c:v>1E-10</c:v>
                </c:pt>
                <c:pt idx="111">
                  <c:v>1E-10</c:v>
                </c:pt>
                <c:pt idx="112">
                  <c:v>1E-10</c:v>
                </c:pt>
                <c:pt idx="113">
                  <c:v>1E-10</c:v>
                </c:pt>
                <c:pt idx="114">
                  <c:v>1E-10</c:v>
                </c:pt>
                <c:pt idx="115">
                  <c:v>1E-10</c:v>
                </c:pt>
                <c:pt idx="116">
                  <c:v>1E-10</c:v>
                </c:pt>
                <c:pt idx="117">
                  <c:v>1E-10</c:v>
                </c:pt>
                <c:pt idx="118">
                  <c:v>1E-10</c:v>
                </c:pt>
                <c:pt idx="119">
                  <c:v>1E-10</c:v>
                </c:pt>
                <c:pt idx="120">
                  <c:v>1E-10</c:v>
                </c:pt>
                <c:pt idx="121">
                  <c:v>1E-10</c:v>
                </c:pt>
                <c:pt idx="122">
                  <c:v>1E-10</c:v>
                </c:pt>
                <c:pt idx="123">
                  <c:v>1E-10</c:v>
                </c:pt>
                <c:pt idx="124">
                  <c:v>1E-10</c:v>
                </c:pt>
                <c:pt idx="125">
                  <c:v>1E-10</c:v>
                </c:pt>
                <c:pt idx="126">
                  <c:v>1E-10</c:v>
                </c:pt>
                <c:pt idx="127">
                  <c:v>1E-10</c:v>
                </c:pt>
                <c:pt idx="128">
                  <c:v>1E-10</c:v>
                </c:pt>
                <c:pt idx="129">
                  <c:v>1E-10</c:v>
                </c:pt>
                <c:pt idx="130">
                  <c:v>1E-10</c:v>
                </c:pt>
                <c:pt idx="131">
                  <c:v>1E-10</c:v>
                </c:pt>
                <c:pt idx="132">
                  <c:v>1E-10</c:v>
                </c:pt>
                <c:pt idx="133">
                  <c:v>1E-10</c:v>
                </c:pt>
                <c:pt idx="134">
                  <c:v>1E-10</c:v>
                </c:pt>
                <c:pt idx="135">
                  <c:v>1E-10</c:v>
                </c:pt>
                <c:pt idx="136">
                  <c:v>1E-10</c:v>
                </c:pt>
                <c:pt idx="137">
                  <c:v>1E-10</c:v>
                </c:pt>
                <c:pt idx="138">
                  <c:v>1E-10</c:v>
                </c:pt>
                <c:pt idx="139">
                  <c:v>1E-10</c:v>
                </c:pt>
                <c:pt idx="140">
                  <c:v>1E-10</c:v>
                </c:pt>
                <c:pt idx="141">
                  <c:v>1E-10</c:v>
                </c:pt>
                <c:pt idx="142">
                  <c:v>1E-10</c:v>
                </c:pt>
                <c:pt idx="143">
                  <c:v>1E-10</c:v>
                </c:pt>
                <c:pt idx="144">
                  <c:v>1E-10</c:v>
                </c:pt>
                <c:pt idx="145">
                  <c:v>1E-10</c:v>
                </c:pt>
                <c:pt idx="146">
                  <c:v>1E-10</c:v>
                </c:pt>
                <c:pt idx="147">
                  <c:v>1E-10</c:v>
                </c:pt>
                <c:pt idx="148">
                  <c:v>1E-10</c:v>
                </c:pt>
                <c:pt idx="149">
                  <c:v>1E-10</c:v>
                </c:pt>
                <c:pt idx="150">
                  <c:v>1E-10</c:v>
                </c:pt>
                <c:pt idx="151">
                  <c:v>1E-10</c:v>
                </c:pt>
                <c:pt idx="152">
                  <c:v>1E-10</c:v>
                </c:pt>
                <c:pt idx="153">
                  <c:v>1E-10</c:v>
                </c:pt>
                <c:pt idx="154">
                  <c:v>1E-10</c:v>
                </c:pt>
                <c:pt idx="155">
                  <c:v>1E-10</c:v>
                </c:pt>
                <c:pt idx="156">
                  <c:v>1E-10</c:v>
                </c:pt>
                <c:pt idx="157">
                  <c:v>1E-10</c:v>
                </c:pt>
                <c:pt idx="158">
                  <c:v>1E-10</c:v>
                </c:pt>
                <c:pt idx="159">
                  <c:v>1E-10</c:v>
                </c:pt>
                <c:pt idx="160">
                  <c:v>1E-10</c:v>
                </c:pt>
                <c:pt idx="161">
                  <c:v>1E-10</c:v>
                </c:pt>
                <c:pt idx="162">
                  <c:v>1E-10</c:v>
                </c:pt>
                <c:pt idx="163">
                  <c:v>1E-10</c:v>
                </c:pt>
                <c:pt idx="164">
                  <c:v>1E-10</c:v>
                </c:pt>
                <c:pt idx="165">
                  <c:v>1E-10</c:v>
                </c:pt>
                <c:pt idx="166">
                  <c:v>1E-10</c:v>
                </c:pt>
                <c:pt idx="167">
                  <c:v>1E-10</c:v>
                </c:pt>
                <c:pt idx="168">
                  <c:v>1E-10</c:v>
                </c:pt>
                <c:pt idx="169">
                  <c:v>1E-10</c:v>
                </c:pt>
                <c:pt idx="170">
                  <c:v>1E-10</c:v>
                </c:pt>
                <c:pt idx="171">
                  <c:v>1E-10</c:v>
                </c:pt>
                <c:pt idx="172">
                  <c:v>1E-10</c:v>
                </c:pt>
                <c:pt idx="173">
                  <c:v>1E-10</c:v>
                </c:pt>
                <c:pt idx="174">
                  <c:v>1E-10</c:v>
                </c:pt>
                <c:pt idx="175">
                  <c:v>1E-10</c:v>
                </c:pt>
                <c:pt idx="176">
                  <c:v>1E-10</c:v>
                </c:pt>
                <c:pt idx="177">
                  <c:v>1E-10</c:v>
                </c:pt>
                <c:pt idx="178">
                  <c:v>1E-10</c:v>
                </c:pt>
                <c:pt idx="179">
                  <c:v>1E-10</c:v>
                </c:pt>
                <c:pt idx="180">
                  <c:v>1E-10</c:v>
                </c:pt>
                <c:pt idx="181">
                  <c:v>1E-10</c:v>
                </c:pt>
                <c:pt idx="182">
                  <c:v>1E-10</c:v>
                </c:pt>
                <c:pt idx="183">
                  <c:v>1E-10</c:v>
                </c:pt>
                <c:pt idx="184">
                  <c:v>1E-10</c:v>
                </c:pt>
                <c:pt idx="185">
                  <c:v>1E-10</c:v>
                </c:pt>
                <c:pt idx="186">
                  <c:v>1E-10</c:v>
                </c:pt>
                <c:pt idx="187">
                  <c:v>1E-10</c:v>
                </c:pt>
                <c:pt idx="188">
                  <c:v>1E-10</c:v>
                </c:pt>
                <c:pt idx="189">
                  <c:v>1E-10</c:v>
                </c:pt>
                <c:pt idx="190">
                  <c:v>1E-10</c:v>
                </c:pt>
                <c:pt idx="191">
                  <c:v>1E-10</c:v>
                </c:pt>
                <c:pt idx="192">
                  <c:v>1E-10</c:v>
                </c:pt>
                <c:pt idx="193">
                  <c:v>1E-10</c:v>
                </c:pt>
                <c:pt idx="194">
                  <c:v>1E-10</c:v>
                </c:pt>
                <c:pt idx="195">
                  <c:v>1E-10</c:v>
                </c:pt>
                <c:pt idx="196">
                  <c:v>1E-10</c:v>
                </c:pt>
                <c:pt idx="197">
                  <c:v>1E-10</c:v>
                </c:pt>
                <c:pt idx="198">
                  <c:v>1E-10</c:v>
                </c:pt>
                <c:pt idx="199">
                  <c:v>1E-10</c:v>
                </c:pt>
                <c:pt idx="200">
                  <c:v>1E-10</c:v>
                </c:pt>
                <c:pt idx="201">
                  <c:v>1E-10</c:v>
                </c:pt>
                <c:pt idx="202">
                  <c:v>1E-10</c:v>
                </c:pt>
                <c:pt idx="203">
                  <c:v>1E-10</c:v>
                </c:pt>
                <c:pt idx="204">
                  <c:v>1E-10</c:v>
                </c:pt>
                <c:pt idx="205">
                  <c:v>1E-10</c:v>
                </c:pt>
                <c:pt idx="206">
                  <c:v>1E-10</c:v>
                </c:pt>
                <c:pt idx="207">
                  <c:v>1E-10</c:v>
                </c:pt>
                <c:pt idx="208">
                  <c:v>1E-10</c:v>
                </c:pt>
                <c:pt idx="209">
                  <c:v>1E-10</c:v>
                </c:pt>
                <c:pt idx="210">
                  <c:v>1E-10</c:v>
                </c:pt>
                <c:pt idx="211">
                  <c:v>1E-10</c:v>
                </c:pt>
                <c:pt idx="212">
                  <c:v>1E-10</c:v>
                </c:pt>
                <c:pt idx="213">
                  <c:v>1E-10</c:v>
                </c:pt>
                <c:pt idx="214">
                  <c:v>1E-10</c:v>
                </c:pt>
                <c:pt idx="215">
                  <c:v>1E-10</c:v>
                </c:pt>
                <c:pt idx="216">
                  <c:v>1E-10</c:v>
                </c:pt>
                <c:pt idx="217">
                  <c:v>1E-10</c:v>
                </c:pt>
                <c:pt idx="218">
                  <c:v>1E-10</c:v>
                </c:pt>
                <c:pt idx="219">
                  <c:v>1E-10</c:v>
                </c:pt>
                <c:pt idx="220">
                  <c:v>1E-10</c:v>
                </c:pt>
                <c:pt idx="221">
                  <c:v>1E-10</c:v>
                </c:pt>
                <c:pt idx="222">
                  <c:v>1E-10</c:v>
                </c:pt>
                <c:pt idx="223">
                  <c:v>1E-10</c:v>
                </c:pt>
                <c:pt idx="224">
                  <c:v>1E-10</c:v>
                </c:pt>
                <c:pt idx="225">
                  <c:v>1E-10</c:v>
                </c:pt>
                <c:pt idx="226">
                  <c:v>1E-10</c:v>
                </c:pt>
                <c:pt idx="227">
                  <c:v>1E-10</c:v>
                </c:pt>
                <c:pt idx="228">
                  <c:v>1E-10</c:v>
                </c:pt>
                <c:pt idx="229">
                  <c:v>1E-10</c:v>
                </c:pt>
                <c:pt idx="230">
                  <c:v>1E-10</c:v>
                </c:pt>
                <c:pt idx="231">
                  <c:v>1E-10</c:v>
                </c:pt>
                <c:pt idx="232">
                  <c:v>1E-10</c:v>
                </c:pt>
                <c:pt idx="233">
                  <c:v>1E-10</c:v>
                </c:pt>
                <c:pt idx="234">
                  <c:v>1E-10</c:v>
                </c:pt>
                <c:pt idx="235">
                  <c:v>1E-10</c:v>
                </c:pt>
                <c:pt idx="236">
                  <c:v>1E-10</c:v>
                </c:pt>
                <c:pt idx="237">
                  <c:v>1E-10</c:v>
                </c:pt>
                <c:pt idx="238">
                  <c:v>1E-10</c:v>
                </c:pt>
                <c:pt idx="239">
                  <c:v>1E-10</c:v>
                </c:pt>
                <c:pt idx="240">
                  <c:v>1E-10</c:v>
                </c:pt>
                <c:pt idx="241">
                  <c:v>1E-10</c:v>
                </c:pt>
                <c:pt idx="242">
                  <c:v>1E-10</c:v>
                </c:pt>
                <c:pt idx="243">
                  <c:v>1E-10</c:v>
                </c:pt>
                <c:pt idx="244">
                  <c:v>1E-10</c:v>
                </c:pt>
                <c:pt idx="245">
                  <c:v>1E-10</c:v>
                </c:pt>
                <c:pt idx="246">
                  <c:v>1E-10</c:v>
                </c:pt>
                <c:pt idx="247">
                  <c:v>1E-10</c:v>
                </c:pt>
                <c:pt idx="248">
                  <c:v>1E-10</c:v>
                </c:pt>
                <c:pt idx="249">
                  <c:v>1E-10</c:v>
                </c:pt>
                <c:pt idx="250">
                  <c:v>1E-10</c:v>
                </c:pt>
                <c:pt idx="251">
                  <c:v>1E-10</c:v>
                </c:pt>
                <c:pt idx="252">
                  <c:v>1E-10</c:v>
                </c:pt>
                <c:pt idx="253">
                  <c:v>1E-10</c:v>
                </c:pt>
                <c:pt idx="254">
                  <c:v>1E-10</c:v>
                </c:pt>
                <c:pt idx="255">
                  <c:v>1E-10</c:v>
                </c:pt>
                <c:pt idx="256">
                  <c:v>1E-10</c:v>
                </c:pt>
                <c:pt idx="257">
                  <c:v>1E-10</c:v>
                </c:pt>
                <c:pt idx="258">
                  <c:v>1E-10</c:v>
                </c:pt>
                <c:pt idx="259">
                  <c:v>1E-10</c:v>
                </c:pt>
                <c:pt idx="260">
                  <c:v>1E-10</c:v>
                </c:pt>
                <c:pt idx="261">
                  <c:v>1E-10</c:v>
                </c:pt>
                <c:pt idx="262">
                  <c:v>1E-10</c:v>
                </c:pt>
                <c:pt idx="263">
                  <c:v>1E-10</c:v>
                </c:pt>
                <c:pt idx="264">
                  <c:v>1E-10</c:v>
                </c:pt>
                <c:pt idx="265">
                  <c:v>1E-10</c:v>
                </c:pt>
                <c:pt idx="266">
                  <c:v>1E-10</c:v>
                </c:pt>
                <c:pt idx="267">
                  <c:v>1E-10</c:v>
                </c:pt>
                <c:pt idx="268">
                  <c:v>1E-10</c:v>
                </c:pt>
                <c:pt idx="269">
                  <c:v>1E-10</c:v>
                </c:pt>
                <c:pt idx="270">
                  <c:v>1E-10</c:v>
                </c:pt>
                <c:pt idx="271">
                  <c:v>1E-10</c:v>
                </c:pt>
                <c:pt idx="272">
                  <c:v>1E-10</c:v>
                </c:pt>
                <c:pt idx="273">
                  <c:v>1E-10</c:v>
                </c:pt>
                <c:pt idx="274">
                  <c:v>1E-10</c:v>
                </c:pt>
                <c:pt idx="275">
                  <c:v>1E-10</c:v>
                </c:pt>
                <c:pt idx="276">
                  <c:v>1E-10</c:v>
                </c:pt>
                <c:pt idx="277">
                  <c:v>1E-10</c:v>
                </c:pt>
                <c:pt idx="278">
                  <c:v>1E-10</c:v>
                </c:pt>
                <c:pt idx="279">
                  <c:v>1E-10</c:v>
                </c:pt>
                <c:pt idx="280">
                  <c:v>1E-10</c:v>
                </c:pt>
                <c:pt idx="281">
                  <c:v>1E-10</c:v>
                </c:pt>
                <c:pt idx="282">
                  <c:v>1E-10</c:v>
                </c:pt>
                <c:pt idx="283">
                  <c:v>1E-10</c:v>
                </c:pt>
                <c:pt idx="284">
                  <c:v>1E-10</c:v>
                </c:pt>
                <c:pt idx="285">
                  <c:v>1E-10</c:v>
                </c:pt>
                <c:pt idx="286">
                  <c:v>1E-10</c:v>
                </c:pt>
                <c:pt idx="287">
                  <c:v>1E-10</c:v>
                </c:pt>
                <c:pt idx="288">
                  <c:v>1E-10</c:v>
                </c:pt>
                <c:pt idx="289">
                  <c:v>1E-10</c:v>
                </c:pt>
                <c:pt idx="290">
                  <c:v>1E-10</c:v>
                </c:pt>
                <c:pt idx="291">
                  <c:v>1E-10</c:v>
                </c:pt>
                <c:pt idx="292">
                  <c:v>1E-10</c:v>
                </c:pt>
                <c:pt idx="293">
                  <c:v>1E-10</c:v>
                </c:pt>
                <c:pt idx="294">
                  <c:v>1E-10</c:v>
                </c:pt>
                <c:pt idx="295">
                  <c:v>1E-10</c:v>
                </c:pt>
                <c:pt idx="296">
                  <c:v>1E-10</c:v>
                </c:pt>
                <c:pt idx="297">
                  <c:v>1E-10</c:v>
                </c:pt>
                <c:pt idx="298">
                  <c:v>1E-10</c:v>
                </c:pt>
                <c:pt idx="299">
                  <c:v>1E-10</c:v>
                </c:pt>
                <c:pt idx="300">
                  <c:v>1E-10</c:v>
                </c:pt>
                <c:pt idx="301">
                  <c:v>1E-10</c:v>
                </c:pt>
                <c:pt idx="302">
                  <c:v>1E-10</c:v>
                </c:pt>
                <c:pt idx="303">
                  <c:v>1E-10</c:v>
                </c:pt>
                <c:pt idx="304">
                  <c:v>1E-10</c:v>
                </c:pt>
                <c:pt idx="305">
                  <c:v>1E-10</c:v>
                </c:pt>
                <c:pt idx="306">
                  <c:v>1E-10</c:v>
                </c:pt>
                <c:pt idx="307">
                  <c:v>1E-10</c:v>
                </c:pt>
                <c:pt idx="308">
                  <c:v>1E-10</c:v>
                </c:pt>
                <c:pt idx="309">
                  <c:v>1E-10</c:v>
                </c:pt>
                <c:pt idx="310">
                  <c:v>1E-10</c:v>
                </c:pt>
                <c:pt idx="311">
                  <c:v>1E-10</c:v>
                </c:pt>
                <c:pt idx="312">
                  <c:v>1E-10</c:v>
                </c:pt>
                <c:pt idx="313">
                  <c:v>1E-10</c:v>
                </c:pt>
                <c:pt idx="314">
                  <c:v>1E-10</c:v>
                </c:pt>
                <c:pt idx="315">
                  <c:v>1E-10</c:v>
                </c:pt>
                <c:pt idx="316">
                  <c:v>1E-10</c:v>
                </c:pt>
                <c:pt idx="317">
                  <c:v>1E-10</c:v>
                </c:pt>
                <c:pt idx="318">
                  <c:v>1E-10</c:v>
                </c:pt>
                <c:pt idx="319">
                  <c:v>1E-10</c:v>
                </c:pt>
                <c:pt idx="320">
                  <c:v>1E-10</c:v>
                </c:pt>
                <c:pt idx="321">
                  <c:v>1E-10</c:v>
                </c:pt>
                <c:pt idx="322">
                  <c:v>1E-10</c:v>
                </c:pt>
                <c:pt idx="323">
                  <c:v>1E-10</c:v>
                </c:pt>
                <c:pt idx="324">
                  <c:v>1E-10</c:v>
                </c:pt>
                <c:pt idx="325">
                  <c:v>1E-10</c:v>
                </c:pt>
                <c:pt idx="326">
                  <c:v>1E-10</c:v>
                </c:pt>
                <c:pt idx="327">
                  <c:v>1E-10</c:v>
                </c:pt>
                <c:pt idx="328">
                  <c:v>1E-10</c:v>
                </c:pt>
                <c:pt idx="329">
                  <c:v>1E-10</c:v>
                </c:pt>
                <c:pt idx="330">
                  <c:v>1E-10</c:v>
                </c:pt>
                <c:pt idx="331">
                  <c:v>1E-10</c:v>
                </c:pt>
                <c:pt idx="332">
                  <c:v>1E-10</c:v>
                </c:pt>
                <c:pt idx="333">
                  <c:v>1E-10</c:v>
                </c:pt>
                <c:pt idx="334">
                  <c:v>1E-10</c:v>
                </c:pt>
                <c:pt idx="335">
                  <c:v>1E-10</c:v>
                </c:pt>
                <c:pt idx="336">
                  <c:v>1E-10</c:v>
                </c:pt>
                <c:pt idx="337">
                  <c:v>1E-10</c:v>
                </c:pt>
                <c:pt idx="338">
                  <c:v>1E-10</c:v>
                </c:pt>
                <c:pt idx="339">
                  <c:v>1E-10</c:v>
                </c:pt>
                <c:pt idx="340">
                  <c:v>1E-10</c:v>
                </c:pt>
                <c:pt idx="341">
                  <c:v>1E-10</c:v>
                </c:pt>
                <c:pt idx="342">
                  <c:v>1E-10</c:v>
                </c:pt>
                <c:pt idx="343">
                  <c:v>1E-10</c:v>
                </c:pt>
                <c:pt idx="344">
                  <c:v>1E-10</c:v>
                </c:pt>
                <c:pt idx="345">
                  <c:v>1E-10</c:v>
                </c:pt>
                <c:pt idx="346">
                  <c:v>1E-10</c:v>
                </c:pt>
                <c:pt idx="347">
                  <c:v>1E-10</c:v>
                </c:pt>
                <c:pt idx="348">
                  <c:v>1E-10</c:v>
                </c:pt>
                <c:pt idx="349">
                  <c:v>1E-10</c:v>
                </c:pt>
                <c:pt idx="350">
                  <c:v>1E-10</c:v>
                </c:pt>
                <c:pt idx="351">
                  <c:v>1E-10</c:v>
                </c:pt>
                <c:pt idx="352">
                  <c:v>1E-10</c:v>
                </c:pt>
                <c:pt idx="353">
                  <c:v>1E-10</c:v>
                </c:pt>
                <c:pt idx="354">
                  <c:v>1E-10</c:v>
                </c:pt>
                <c:pt idx="355">
                  <c:v>1E-10</c:v>
                </c:pt>
                <c:pt idx="356">
                  <c:v>1E-10</c:v>
                </c:pt>
                <c:pt idx="357">
                  <c:v>1E-10</c:v>
                </c:pt>
                <c:pt idx="358">
                  <c:v>1E-10</c:v>
                </c:pt>
                <c:pt idx="359">
                  <c:v>1E-10</c:v>
                </c:pt>
                <c:pt idx="360">
                  <c:v>1E-10</c:v>
                </c:pt>
                <c:pt idx="361">
                  <c:v>1E-10</c:v>
                </c:pt>
                <c:pt idx="362">
                  <c:v>1E-10</c:v>
                </c:pt>
                <c:pt idx="363">
                  <c:v>1E-10</c:v>
                </c:pt>
                <c:pt idx="364">
                  <c:v>1E-10</c:v>
                </c:pt>
                <c:pt idx="365">
                  <c:v>1E-10</c:v>
                </c:pt>
                <c:pt idx="366">
                  <c:v>1E-10</c:v>
                </c:pt>
                <c:pt idx="367">
                  <c:v>1E-10</c:v>
                </c:pt>
                <c:pt idx="368">
                  <c:v>1E-10</c:v>
                </c:pt>
                <c:pt idx="369">
                  <c:v>1E-10</c:v>
                </c:pt>
                <c:pt idx="370">
                  <c:v>1E-10</c:v>
                </c:pt>
                <c:pt idx="371">
                  <c:v>1E-10</c:v>
                </c:pt>
                <c:pt idx="372">
                  <c:v>1E-10</c:v>
                </c:pt>
                <c:pt idx="373">
                  <c:v>1E-10</c:v>
                </c:pt>
                <c:pt idx="374">
                  <c:v>1E-10</c:v>
                </c:pt>
                <c:pt idx="375">
                  <c:v>1E-10</c:v>
                </c:pt>
                <c:pt idx="376">
                  <c:v>1E-10</c:v>
                </c:pt>
                <c:pt idx="377">
                  <c:v>1E-10</c:v>
                </c:pt>
                <c:pt idx="378">
                  <c:v>1E-10</c:v>
                </c:pt>
                <c:pt idx="379">
                  <c:v>1E-10</c:v>
                </c:pt>
                <c:pt idx="380">
                  <c:v>1E-10</c:v>
                </c:pt>
                <c:pt idx="381">
                  <c:v>1E-10</c:v>
                </c:pt>
                <c:pt idx="382">
                  <c:v>1E-10</c:v>
                </c:pt>
                <c:pt idx="383">
                  <c:v>1E-10</c:v>
                </c:pt>
                <c:pt idx="384">
                  <c:v>1E-10</c:v>
                </c:pt>
                <c:pt idx="385">
                  <c:v>1E-10</c:v>
                </c:pt>
                <c:pt idx="386">
                  <c:v>1E-10</c:v>
                </c:pt>
                <c:pt idx="387">
                  <c:v>1E-10</c:v>
                </c:pt>
                <c:pt idx="388">
                  <c:v>1E-10</c:v>
                </c:pt>
                <c:pt idx="389">
                  <c:v>1E-10</c:v>
                </c:pt>
                <c:pt idx="390">
                  <c:v>1E-10</c:v>
                </c:pt>
                <c:pt idx="391">
                  <c:v>1E-10</c:v>
                </c:pt>
                <c:pt idx="392">
                  <c:v>1E-10</c:v>
                </c:pt>
                <c:pt idx="393">
                  <c:v>1E-10</c:v>
                </c:pt>
                <c:pt idx="394">
                  <c:v>1E-10</c:v>
                </c:pt>
                <c:pt idx="395">
                  <c:v>1E-10</c:v>
                </c:pt>
                <c:pt idx="396">
                  <c:v>1E-10</c:v>
                </c:pt>
                <c:pt idx="397">
                  <c:v>1E-10</c:v>
                </c:pt>
                <c:pt idx="398">
                  <c:v>1E-10</c:v>
                </c:pt>
                <c:pt idx="399">
                  <c:v>1E-10</c:v>
                </c:pt>
                <c:pt idx="400">
                  <c:v>1E-10</c:v>
                </c:pt>
                <c:pt idx="401">
                  <c:v>1E-10</c:v>
                </c:pt>
                <c:pt idx="402">
                  <c:v>1E-10</c:v>
                </c:pt>
                <c:pt idx="403">
                  <c:v>1E-10</c:v>
                </c:pt>
                <c:pt idx="404">
                  <c:v>1E-10</c:v>
                </c:pt>
                <c:pt idx="405">
                  <c:v>1E-10</c:v>
                </c:pt>
                <c:pt idx="406">
                  <c:v>1E-10</c:v>
                </c:pt>
                <c:pt idx="407">
                  <c:v>1E-10</c:v>
                </c:pt>
                <c:pt idx="408">
                  <c:v>1E-10</c:v>
                </c:pt>
                <c:pt idx="409">
                  <c:v>1E-10</c:v>
                </c:pt>
                <c:pt idx="410">
                  <c:v>1E-10</c:v>
                </c:pt>
                <c:pt idx="411">
                  <c:v>1E-10</c:v>
                </c:pt>
                <c:pt idx="412">
                  <c:v>1E-10</c:v>
                </c:pt>
                <c:pt idx="413">
                  <c:v>1E-10</c:v>
                </c:pt>
                <c:pt idx="414">
                  <c:v>1E-10</c:v>
                </c:pt>
                <c:pt idx="415">
                  <c:v>1E-10</c:v>
                </c:pt>
                <c:pt idx="416">
                  <c:v>1E-10</c:v>
                </c:pt>
                <c:pt idx="417">
                  <c:v>1E-10</c:v>
                </c:pt>
                <c:pt idx="418">
                  <c:v>1E-10</c:v>
                </c:pt>
                <c:pt idx="419">
                  <c:v>1E-10</c:v>
                </c:pt>
                <c:pt idx="420">
                  <c:v>1E-10</c:v>
                </c:pt>
                <c:pt idx="421">
                  <c:v>1E-10</c:v>
                </c:pt>
                <c:pt idx="422">
                  <c:v>1E-10</c:v>
                </c:pt>
                <c:pt idx="423">
                  <c:v>1E-10</c:v>
                </c:pt>
                <c:pt idx="424">
                  <c:v>1E-10</c:v>
                </c:pt>
                <c:pt idx="425">
                  <c:v>1E-10</c:v>
                </c:pt>
                <c:pt idx="426">
                  <c:v>1E-10</c:v>
                </c:pt>
                <c:pt idx="427">
                  <c:v>1E-10</c:v>
                </c:pt>
                <c:pt idx="428">
                  <c:v>1E-10</c:v>
                </c:pt>
                <c:pt idx="429">
                  <c:v>1E-10</c:v>
                </c:pt>
                <c:pt idx="430">
                  <c:v>1E-10</c:v>
                </c:pt>
                <c:pt idx="431">
                  <c:v>1E-10</c:v>
                </c:pt>
                <c:pt idx="432">
                  <c:v>1E-10</c:v>
                </c:pt>
                <c:pt idx="433">
                  <c:v>1E-10</c:v>
                </c:pt>
                <c:pt idx="434">
                  <c:v>1E-10</c:v>
                </c:pt>
                <c:pt idx="435">
                  <c:v>1E-10</c:v>
                </c:pt>
                <c:pt idx="436">
                  <c:v>1E-10</c:v>
                </c:pt>
                <c:pt idx="437">
                  <c:v>1E-10</c:v>
                </c:pt>
                <c:pt idx="438">
                  <c:v>1E-10</c:v>
                </c:pt>
                <c:pt idx="439">
                  <c:v>1E-10</c:v>
                </c:pt>
                <c:pt idx="440">
                  <c:v>1E-10</c:v>
                </c:pt>
                <c:pt idx="441">
                  <c:v>1E-10</c:v>
                </c:pt>
                <c:pt idx="442">
                  <c:v>1E-10</c:v>
                </c:pt>
                <c:pt idx="443">
                  <c:v>1E-10</c:v>
                </c:pt>
                <c:pt idx="444">
                  <c:v>1E-10</c:v>
                </c:pt>
                <c:pt idx="445">
                  <c:v>1E-10</c:v>
                </c:pt>
                <c:pt idx="446">
                  <c:v>1E-10</c:v>
                </c:pt>
                <c:pt idx="447">
                  <c:v>1E-10</c:v>
                </c:pt>
                <c:pt idx="448">
                  <c:v>1E-10</c:v>
                </c:pt>
                <c:pt idx="449">
                  <c:v>1E-10</c:v>
                </c:pt>
                <c:pt idx="450">
                  <c:v>1E-10</c:v>
                </c:pt>
                <c:pt idx="451">
                  <c:v>1E-10</c:v>
                </c:pt>
                <c:pt idx="452">
                  <c:v>1E-10</c:v>
                </c:pt>
                <c:pt idx="453">
                  <c:v>1E-10</c:v>
                </c:pt>
                <c:pt idx="454">
                  <c:v>1E-10</c:v>
                </c:pt>
                <c:pt idx="455">
                  <c:v>1E-10</c:v>
                </c:pt>
                <c:pt idx="456">
                  <c:v>1E-10</c:v>
                </c:pt>
                <c:pt idx="457">
                  <c:v>1E-10</c:v>
                </c:pt>
                <c:pt idx="458">
                  <c:v>1E-10</c:v>
                </c:pt>
                <c:pt idx="459">
                  <c:v>1E-10</c:v>
                </c:pt>
                <c:pt idx="460">
                  <c:v>1E-10</c:v>
                </c:pt>
                <c:pt idx="461">
                  <c:v>1E-10</c:v>
                </c:pt>
                <c:pt idx="462">
                  <c:v>1E-10</c:v>
                </c:pt>
                <c:pt idx="463">
                  <c:v>1E-10</c:v>
                </c:pt>
                <c:pt idx="464">
                  <c:v>1E-10</c:v>
                </c:pt>
                <c:pt idx="465">
                  <c:v>1E-10</c:v>
                </c:pt>
                <c:pt idx="466">
                  <c:v>1E-10</c:v>
                </c:pt>
                <c:pt idx="467">
                  <c:v>1E-10</c:v>
                </c:pt>
                <c:pt idx="468">
                  <c:v>1E-10</c:v>
                </c:pt>
                <c:pt idx="469">
                  <c:v>1E-10</c:v>
                </c:pt>
                <c:pt idx="470">
                  <c:v>1E-10</c:v>
                </c:pt>
                <c:pt idx="471">
                  <c:v>1E-10</c:v>
                </c:pt>
                <c:pt idx="472">
                  <c:v>1E-10</c:v>
                </c:pt>
                <c:pt idx="473">
                  <c:v>1E-10</c:v>
                </c:pt>
                <c:pt idx="474">
                  <c:v>1E-10</c:v>
                </c:pt>
                <c:pt idx="475">
                  <c:v>1E-10</c:v>
                </c:pt>
                <c:pt idx="476">
                  <c:v>1E-10</c:v>
                </c:pt>
                <c:pt idx="477">
                  <c:v>1E-10</c:v>
                </c:pt>
                <c:pt idx="478">
                  <c:v>1E-10</c:v>
                </c:pt>
                <c:pt idx="479">
                  <c:v>1E-10</c:v>
                </c:pt>
                <c:pt idx="480">
                  <c:v>1E-10</c:v>
                </c:pt>
                <c:pt idx="481">
                  <c:v>1E-10</c:v>
                </c:pt>
                <c:pt idx="482">
                  <c:v>1E-10</c:v>
                </c:pt>
                <c:pt idx="483">
                  <c:v>1E-10</c:v>
                </c:pt>
                <c:pt idx="484">
                  <c:v>1E-10</c:v>
                </c:pt>
                <c:pt idx="485">
                  <c:v>1E-10</c:v>
                </c:pt>
                <c:pt idx="486">
                  <c:v>1E-10</c:v>
                </c:pt>
                <c:pt idx="487">
                  <c:v>1E-10</c:v>
                </c:pt>
                <c:pt idx="488">
                  <c:v>1E-10</c:v>
                </c:pt>
                <c:pt idx="489">
                  <c:v>1E-10</c:v>
                </c:pt>
                <c:pt idx="490">
                  <c:v>1E-10</c:v>
                </c:pt>
                <c:pt idx="491">
                  <c:v>1E-10</c:v>
                </c:pt>
                <c:pt idx="492">
                  <c:v>1E-10</c:v>
                </c:pt>
                <c:pt idx="493">
                  <c:v>1E-10</c:v>
                </c:pt>
                <c:pt idx="494">
                  <c:v>1E-10</c:v>
                </c:pt>
                <c:pt idx="495">
                  <c:v>1E-10</c:v>
                </c:pt>
                <c:pt idx="496">
                  <c:v>1E-10</c:v>
                </c:pt>
                <c:pt idx="497">
                  <c:v>1E-10</c:v>
                </c:pt>
                <c:pt idx="498">
                  <c:v>1E-10</c:v>
                </c:pt>
                <c:pt idx="499">
                  <c:v>1E-10</c:v>
                </c:pt>
                <c:pt idx="500">
                  <c:v>1E-10</c:v>
                </c:pt>
                <c:pt idx="501">
                  <c:v>1E-10</c:v>
                </c:pt>
                <c:pt idx="502">
                  <c:v>1E-10</c:v>
                </c:pt>
                <c:pt idx="503">
                  <c:v>1E-10</c:v>
                </c:pt>
                <c:pt idx="504">
                  <c:v>1E-10</c:v>
                </c:pt>
                <c:pt idx="505">
                  <c:v>1E-10</c:v>
                </c:pt>
                <c:pt idx="506">
                  <c:v>1E-10</c:v>
                </c:pt>
                <c:pt idx="507">
                  <c:v>1E-10</c:v>
                </c:pt>
                <c:pt idx="508">
                  <c:v>1E-10</c:v>
                </c:pt>
                <c:pt idx="509">
                  <c:v>1E-10</c:v>
                </c:pt>
                <c:pt idx="510">
                  <c:v>1E-10</c:v>
                </c:pt>
                <c:pt idx="511">
                  <c:v>1E-10</c:v>
                </c:pt>
                <c:pt idx="512">
                  <c:v>1E-10</c:v>
                </c:pt>
                <c:pt idx="513">
                  <c:v>1E-10</c:v>
                </c:pt>
                <c:pt idx="514">
                  <c:v>1E-10</c:v>
                </c:pt>
                <c:pt idx="515">
                  <c:v>1E-10</c:v>
                </c:pt>
                <c:pt idx="516">
                  <c:v>1E-10</c:v>
                </c:pt>
                <c:pt idx="517">
                  <c:v>1E-10</c:v>
                </c:pt>
                <c:pt idx="518">
                  <c:v>1E-10</c:v>
                </c:pt>
                <c:pt idx="519">
                  <c:v>1E-10</c:v>
                </c:pt>
                <c:pt idx="520">
                  <c:v>1E-10</c:v>
                </c:pt>
                <c:pt idx="521">
                  <c:v>1E-10</c:v>
                </c:pt>
                <c:pt idx="522">
                  <c:v>1E-10</c:v>
                </c:pt>
                <c:pt idx="523">
                  <c:v>1E-10</c:v>
                </c:pt>
                <c:pt idx="524">
                  <c:v>1E-10</c:v>
                </c:pt>
                <c:pt idx="525">
                  <c:v>1E-10</c:v>
                </c:pt>
                <c:pt idx="526">
                  <c:v>1E-10</c:v>
                </c:pt>
                <c:pt idx="527">
                  <c:v>1E-10</c:v>
                </c:pt>
                <c:pt idx="528">
                  <c:v>1E-10</c:v>
                </c:pt>
                <c:pt idx="529">
                  <c:v>1E-10</c:v>
                </c:pt>
                <c:pt idx="530">
                  <c:v>1E-10</c:v>
                </c:pt>
                <c:pt idx="531">
                  <c:v>1E-10</c:v>
                </c:pt>
                <c:pt idx="532">
                  <c:v>1E-10</c:v>
                </c:pt>
                <c:pt idx="533">
                  <c:v>1E-10</c:v>
                </c:pt>
                <c:pt idx="534">
                  <c:v>1E-10</c:v>
                </c:pt>
                <c:pt idx="535">
                  <c:v>1E-10</c:v>
                </c:pt>
                <c:pt idx="536">
                  <c:v>1E-10</c:v>
                </c:pt>
                <c:pt idx="537">
                  <c:v>1E-10</c:v>
                </c:pt>
                <c:pt idx="538">
                  <c:v>1E-10</c:v>
                </c:pt>
                <c:pt idx="539">
                  <c:v>1E-10</c:v>
                </c:pt>
                <c:pt idx="540">
                  <c:v>1E-10</c:v>
                </c:pt>
                <c:pt idx="541">
                  <c:v>1E-10</c:v>
                </c:pt>
                <c:pt idx="542">
                  <c:v>1E-10</c:v>
                </c:pt>
                <c:pt idx="543">
                  <c:v>1E-10</c:v>
                </c:pt>
                <c:pt idx="544">
                  <c:v>1E-10</c:v>
                </c:pt>
                <c:pt idx="545">
                  <c:v>1E-10</c:v>
                </c:pt>
                <c:pt idx="546">
                  <c:v>1E-10</c:v>
                </c:pt>
                <c:pt idx="547">
                  <c:v>1E-10</c:v>
                </c:pt>
                <c:pt idx="548">
                  <c:v>1E-10</c:v>
                </c:pt>
                <c:pt idx="549">
                  <c:v>1E-10</c:v>
                </c:pt>
                <c:pt idx="550">
                  <c:v>1E-10</c:v>
                </c:pt>
                <c:pt idx="551">
                  <c:v>1E-10</c:v>
                </c:pt>
                <c:pt idx="552">
                  <c:v>1E-10</c:v>
                </c:pt>
                <c:pt idx="553">
                  <c:v>1E-10</c:v>
                </c:pt>
                <c:pt idx="554">
                  <c:v>1E-10</c:v>
                </c:pt>
                <c:pt idx="555">
                  <c:v>1E-10</c:v>
                </c:pt>
                <c:pt idx="556">
                  <c:v>1E-10</c:v>
                </c:pt>
                <c:pt idx="557">
                  <c:v>1E-10</c:v>
                </c:pt>
                <c:pt idx="558">
                  <c:v>1E-10</c:v>
                </c:pt>
                <c:pt idx="559">
                  <c:v>1E-10</c:v>
                </c:pt>
                <c:pt idx="560">
                  <c:v>1E-10</c:v>
                </c:pt>
                <c:pt idx="561">
                  <c:v>1E-10</c:v>
                </c:pt>
                <c:pt idx="562">
                  <c:v>1E-10</c:v>
                </c:pt>
                <c:pt idx="563">
                  <c:v>1E-10</c:v>
                </c:pt>
                <c:pt idx="564">
                  <c:v>1E-10</c:v>
                </c:pt>
                <c:pt idx="565">
                  <c:v>1E-10</c:v>
                </c:pt>
                <c:pt idx="566">
                  <c:v>1E-10</c:v>
                </c:pt>
                <c:pt idx="567">
                  <c:v>1E-10</c:v>
                </c:pt>
                <c:pt idx="568">
                  <c:v>1E-10</c:v>
                </c:pt>
                <c:pt idx="569">
                  <c:v>1E-10</c:v>
                </c:pt>
                <c:pt idx="570">
                  <c:v>1E-10</c:v>
                </c:pt>
                <c:pt idx="571">
                  <c:v>1E-10</c:v>
                </c:pt>
                <c:pt idx="572">
                  <c:v>1E-10</c:v>
                </c:pt>
                <c:pt idx="573">
                  <c:v>1E-10</c:v>
                </c:pt>
                <c:pt idx="574">
                  <c:v>1E-10</c:v>
                </c:pt>
                <c:pt idx="575">
                  <c:v>1E-10</c:v>
                </c:pt>
                <c:pt idx="576">
                  <c:v>1E-10</c:v>
                </c:pt>
                <c:pt idx="577">
                  <c:v>1E-10</c:v>
                </c:pt>
                <c:pt idx="578">
                  <c:v>1E-10</c:v>
                </c:pt>
                <c:pt idx="579">
                  <c:v>1E-10</c:v>
                </c:pt>
                <c:pt idx="580">
                  <c:v>1E-10</c:v>
                </c:pt>
                <c:pt idx="581">
                  <c:v>1E-10</c:v>
                </c:pt>
                <c:pt idx="582">
                  <c:v>1E-10</c:v>
                </c:pt>
                <c:pt idx="583">
                  <c:v>1E-10</c:v>
                </c:pt>
                <c:pt idx="584">
                  <c:v>1E-10</c:v>
                </c:pt>
                <c:pt idx="585">
                  <c:v>1E-10</c:v>
                </c:pt>
                <c:pt idx="586">
                  <c:v>1E-10</c:v>
                </c:pt>
                <c:pt idx="587">
                  <c:v>1E-10</c:v>
                </c:pt>
                <c:pt idx="588">
                  <c:v>1E-10</c:v>
                </c:pt>
                <c:pt idx="589">
                  <c:v>1E-10</c:v>
                </c:pt>
                <c:pt idx="590">
                  <c:v>1E-10</c:v>
                </c:pt>
                <c:pt idx="591">
                  <c:v>1E-10</c:v>
                </c:pt>
                <c:pt idx="592">
                  <c:v>1E-10</c:v>
                </c:pt>
                <c:pt idx="593">
                  <c:v>1E-10</c:v>
                </c:pt>
                <c:pt idx="594">
                  <c:v>1E-10</c:v>
                </c:pt>
                <c:pt idx="595">
                  <c:v>1E-10</c:v>
                </c:pt>
                <c:pt idx="596">
                  <c:v>1E-10</c:v>
                </c:pt>
                <c:pt idx="597">
                  <c:v>1E-10</c:v>
                </c:pt>
                <c:pt idx="598">
                  <c:v>1E-10</c:v>
                </c:pt>
                <c:pt idx="599">
                  <c:v>1E-10</c:v>
                </c:pt>
                <c:pt idx="600">
                  <c:v>1E-10</c:v>
                </c:pt>
                <c:pt idx="601">
                  <c:v>1E-10</c:v>
                </c:pt>
                <c:pt idx="602">
                  <c:v>1E-10</c:v>
                </c:pt>
                <c:pt idx="603">
                  <c:v>1E-10</c:v>
                </c:pt>
                <c:pt idx="604">
                  <c:v>1E-10</c:v>
                </c:pt>
                <c:pt idx="605">
                  <c:v>1E-10</c:v>
                </c:pt>
                <c:pt idx="606">
                  <c:v>1E-10</c:v>
                </c:pt>
                <c:pt idx="607">
                  <c:v>1E-10</c:v>
                </c:pt>
                <c:pt idx="608">
                  <c:v>1E-10</c:v>
                </c:pt>
                <c:pt idx="609">
                  <c:v>1E-10</c:v>
                </c:pt>
                <c:pt idx="610">
                  <c:v>1E-10</c:v>
                </c:pt>
                <c:pt idx="611">
                  <c:v>1E-10</c:v>
                </c:pt>
                <c:pt idx="612">
                  <c:v>1E-10</c:v>
                </c:pt>
                <c:pt idx="613">
                  <c:v>1E-10</c:v>
                </c:pt>
                <c:pt idx="614">
                  <c:v>1E-10</c:v>
                </c:pt>
                <c:pt idx="615">
                  <c:v>1E-10</c:v>
                </c:pt>
                <c:pt idx="616">
                  <c:v>1E-10</c:v>
                </c:pt>
                <c:pt idx="617">
                  <c:v>1E-10</c:v>
                </c:pt>
                <c:pt idx="618">
                  <c:v>1E-10</c:v>
                </c:pt>
                <c:pt idx="619">
                  <c:v>1E-10</c:v>
                </c:pt>
                <c:pt idx="620">
                  <c:v>1E-10</c:v>
                </c:pt>
                <c:pt idx="621">
                  <c:v>1E-10</c:v>
                </c:pt>
                <c:pt idx="622">
                  <c:v>1E-10</c:v>
                </c:pt>
                <c:pt idx="623">
                  <c:v>1E-10</c:v>
                </c:pt>
                <c:pt idx="624">
                  <c:v>1E-10</c:v>
                </c:pt>
                <c:pt idx="625">
                  <c:v>1E-10</c:v>
                </c:pt>
                <c:pt idx="626">
                  <c:v>1E-10</c:v>
                </c:pt>
                <c:pt idx="627">
                  <c:v>1E-10</c:v>
                </c:pt>
                <c:pt idx="628">
                  <c:v>1E-10</c:v>
                </c:pt>
                <c:pt idx="629">
                  <c:v>1E-10</c:v>
                </c:pt>
                <c:pt idx="630">
                  <c:v>1E-10</c:v>
                </c:pt>
                <c:pt idx="631">
                  <c:v>1E-10</c:v>
                </c:pt>
                <c:pt idx="632">
                  <c:v>1E-10</c:v>
                </c:pt>
                <c:pt idx="633">
                  <c:v>1E-10</c:v>
                </c:pt>
                <c:pt idx="634">
                  <c:v>1E-10</c:v>
                </c:pt>
                <c:pt idx="635">
                  <c:v>1E-10</c:v>
                </c:pt>
                <c:pt idx="636">
                  <c:v>1E-10</c:v>
                </c:pt>
                <c:pt idx="637">
                  <c:v>1E-10</c:v>
                </c:pt>
                <c:pt idx="638">
                  <c:v>1E-10</c:v>
                </c:pt>
                <c:pt idx="639">
                  <c:v>1E-10</c:v>
                </c:pt>
                <c:pt idx="640">
                  <c:v>1E-10</c:v>
                </c:pt>
                <c:pt idx="641">
                  <c:v>1E-10</c:v>
                </c:pt>
                <c:pt idx="642">
                  <c:v>1E-10</c:v>
                </c:pt>
                <c:pt idx="643">
                  <c:v>1E-10</c:v>
                </c:pt>
                <c:pt idx="644">
                  <c:v>1E-10</c:v>
                </c:pt>
                <c:pt idx="645">
                  <c:v>1E-10</c:v>
                </c:pt>
                <c:pt idx="646">
                  <c:v>1E-10</c:v>
                </c:pt>
                <c:pt idx="647">
                  <c:v>1E-10</c:v>
                </c:pt>
                <c:pt idx="648">
                  <c:v>1E-10</c:v>
                </c:pt>
                <c:pt idx="649">
                  <c:v>1E-10</c:v>
                </c:pt>
                <c:pt idx="650">
                  <c:v>1E-10</c:v>
                </c:pt>
                <c:pt idx="651">
                  <c:v>1E-10</c:v>
                </c:pt>
                <c:pt idx="652">
                  <c:v>1E-10</c:v>
                </c:pt>
                <c:pt idx="653">
                  <c:v>1E-10</c:v>
                </c:pt>
                <c:pt idx="654">
                  <c:v>1E-10</c:v>
                </c:pt>
                <c:pt idx="655">
                  <c:v>1E-10</c:v>
                </c:pt>
                <c:pt idx="656">
                  <c:v>1E-10</c:v>
                </c:pt>
                <c:pt idx="657">
                  <c:v>1E-10</c:v>
                </c:pt>
                <c:pt idx="658">
                  <c:v>1E-10</c:v>
                </c:pt>
                <c:pt idx="659">
                  <c:v>1E-10</c:v>
                </c:pt>
                <c:pt idx="660">
                  <c:v>1E-10</c:v>
                </c:pt>
                <c:pt idx="661">
                  <c:v>1E-10</c:v>
                </c:pt>
                <c:pt idx="662">
                  <c:v>1E-10</c:v>
                </c:pt>
                <c:pt idx="663">
                  <c:v>1E-10</c:v>
                </c:pt>
                <c:pt idx="664">
                  <c:v>1E-10</c:v>
                </c:pt>
                <c:pt idx="665">
                  <c:v>1E-10</c:v>
                </c:pt>
                <c:pt idx="666">
                  <c:v>1E-10</c:v>
                </c:pt>
                <c:pt idx="667">
                  <c:v>1E-10</c:v>
                </c:pt>
                <c:pt idx="668">
                  <c:v>1E-10</c:v>
                </c:pt>
                <c:pt idx="669">
                  <c:v>1E-10</c:v>
                </c:pt>
                <c:pt idx="670">
                  <c:v>1E-10</c:v>
                </c:pt>
                <c:pt idx="671">
                  <c:v>1E-10</c:v>
                </c:pt>
                <c:pt idx="672">
                  <c:v>1E-10</c:v>
                </c:pt>
                <c:pt idx="673">
                  <c:v>1E-10</c:v>
                </c:pt>
                <c:pt idx="674">
                  <c:v>1E-10</c:v>
                </c:pt>
                <c:pt idx="675">
                  <c:v>1E-10</c:v>
                </c:pt>
                <c:pt idx="676">
                  <c:v>1E-10</c:v>
                </c:pt>
                <c:pt idx="677">
                  <c:v>1E-10</c:v>
                </c:pt>
                <c:pt idx="678">
                  <c:v>1E-10</c:v>
                </c:pt>
                <c:pt idx="679">
                  <c:v>1E-10</c:v>
                </c:pt>
                <c:pt idx="680">
                  <c:v>1E-10</c:v>
                </c:pt>
                <c:pt idx="681">
                  <c:v>1E-10</c:v>
                </c:pt>
                <c:pt idx="682">
                  <c:v>1E-10</c:v>
                </c:pt>
                <c:pt idx="683">
                  <c:v>1E-10</c:v>
                </c:pt>
                <c:pt idx="684">
                  <c:v>1E-10</c:v>
                </c:pt>
                <c:pt idx="685">
                  <c:v>1E-10</c:v>
                </c:pt>
                <c:pt idx="686">
                  <c:v>1E-10</c:v>
                </c:pt>
                <c:pt idx="687">
                  <c:v>1E-10</c:v>
                </c:pt>
                <c:pt idx="688">
                  <c:v>1E-10</c:v>
                </c:pt>
                <c:pt idx="689">
                  <c:v>1E-10</c:v>
                </c:pt>
                <c:pt idx="690">
                  <c:v>1E-10</c:v>
                </c:pt>
                <c:pt idx="691">
                  <c:v>1E-10</c:v>
                </c:pt>
                <c:pt idx="692">
                  <c:v>1E-10</c:v>
                </c:pt>
                <c:pt idx="693">
                  <c:v>1E-10</c:v>
                </c:pt>
                <c:pt idx="694">
                  <c:v>1E-10</c:v>
                </c:pt>
                <c:pt idx="695">
                  <c:v>1E-10</c:v>
                </c:pt>
                <c:pt idx="696">
                  <c:v>1E-10</c:v>
                </c:pt>
                <c:pt idx="697">
                  <c:v>1E-10</c:v>
                </c:pt>
                <c:pt idx="698">
                  <c:v>1E-10</c:v>
                </c:pt>
                <c:pt idx="699">
                  <c:v>1E-10</c:v>
                </c:pt>
                <c:pt idx="700">
                  <c:v>1E-10</c:v>
                </c:pt>
                <c:pt idx="701">
                  <c:v>1E-10</c:v>
                </c:pt>
                <c:pt idx="702">
                  <c:v>1E-10</c:v>
                </c:pt>
                <c:pt idx="703">
                  <c:v>1E-10</c:v>
                </c:pt>
                <c:pt idx="704">
                  <c:v>1E-10</c:v>
                </c:pt>
                <c:pt idx="705">
                  <c:v>1E-10</c:v>
                </c:pt>
                <c:pt idx="706">
                  <c:v>1E-10</c:v>
                </c:pt>
                <c:pt idx="707">
                  <c:v>1E-10</c:v>
                </c:pt>
                <c:pt idx="708">
                  <c:v>1E-10</c:v>
                </c:pt>
                <c:pt idx="709">
                  <c:v>1E-10</c:v>
                </c:pt>
                <c:pt idx="710">
                  <c:v>1E-10</c:v>
                </c:pt>
                <c:pt idx="711">
                  <c:v>1E-10</c:v>
                </c:pt>
                <c:pt idx="712">
                  <c:v>1E-10</c:v>
                </c:pt>
                <c:pt idx="713">
                  <c:v>1E-10</c:v>
                </c:pt>
                <c:pt idx="714">
                  <c:v>1E-10</c:v>
                </c:pt>
                <c:pt idx="715">
                  <c:v>1E-10</c:v>
                </c:pt>
                <c:pt idx="716">
                  <c:v>1E-10</c:v>
                </c:pt>
                <c:pt idx="717">
                  <c:v>1E-10</c:v>
                </c:pt>
                <c:pt idx="718">
                  <c:v>1E-10</c:v>
                </c:pt>
                <c:pt idx="719">
                  <c:v>1E-10</c:v>
                </c:pt>
                <c:pt idx="720">
                  <c:v>1E-10</c:v>
                </c:pt>
                <c:pt idx="721">
                  <c:v>1E-10</c:v>
                </c:pt>
                <c:pt idx="722">
                  <c:v>1E-10</c:v>
                </c:pt>
                <c:pt idx="723">
                  <c:v>1E-10</c:v>
                </c:pt>
                <c:pt idx="724">
                  <c:v>1E-10</c:v>
                </c:pt>
                <c:pt idx="725">
                  <c:v>1E-10</c:v>
                </c:pt>
                <c:pt idx="726">
                  <c:v>1E-10</c:v>
                </c:pt>
                <c:pt idx="727">
                  <c:v>1E-10</c:v>
                </c:pt>
                <c:pt idx="728">
                  <c:v>1E-10</c:v>
                </c:pt>
                <c:pt idx="729">
                  <c:v>1E-10</c:v>
                </c:pt>
                <c:pt idx="730">
                  <c:v>1E-10</c:v>
                </c:pt>
                <c:pt idx="731">
                  <c:v>1E-10</c:v>
                </c:pt>
                <c:pt idx="732">
                  <c:v>1E-10</c:v>
                </c:pt>
                <c:pt idx="733">
                  <c:v>1E-10</c:v>
                </c:pt>
                <c:pt idx="734">
                  <c:v>1E-10</c:v>
                </c:pt>
                <c:pt idx="735">
                  <c:v>1E-10</c:v>
                </c:pt>
                <c:pt idx="736">
                  <c:v>1E-10</c:v>
                </c:pt>
                <c:pt idx="737">
                  <c:v>1E-10</c:v>
                </c:pt>
                <c:pt idx="738">
                  <c:v>1E-10</c:v>
                </c:pt>
                <c:pt idx="739">
                  <c:v>1E-10</c:v>
                </c:pt>
                <c:pt idx="740">
                  <c:v>1E-10</c:v>
                </c:pt>
                <c:pt idx="741">
                  <c:v>1E-10</c:v>
                </c:pt>
                <c:pt idx="742">
                  <c:v>1E-10</c:v>
                </c:pt>
                <c:pt idx="743">
                  <c:v>1E-10</c:v>
                </c:pt>
                <c:pt idx="744">
                  <c:v>1E-10</c:v>
                </c:pt>
                <c:pt idx="745">
                  <c:v>1E-10</c:v>
                </c:pt>
                <c:pt idx="746">
                  <c:v>1E-10</c:v>
                </c:pt>
                <c:pt idx="747">
                  <c:v>1E-10</c:v>
                </c:pt>
                <c:pt idx="748">
                  <c:v>1E-10</c:v>
                </c:pt>
                <c:pt idx="749">
                  <c:v>1E-10</c:v>
                </c:pt>
                <c:pt idx="750">
                  <c:v>1E-10</c:v>
                </c:pt>
                <c:pt idx="751">
                  <c:v>1E-10</c:v>
                </c:pt>
                <c:pt idx="752">
                  <c:v>1E-10</c:v>
                </c:pt>
                <c:pt idx="753">
                  <c:v>1E-10</c:v>
                </c:pt>
                <c:pt idx="754">
                  <c:v>1E-10</c:v>
                </c:pt>
                <c:pt idx="755">
                  <c:v>1E-10</c:v>
                </c:pt>
                <c:pt idx="756">
                  <c:v>1E-10</c:v>
                </c:pt>
                <c:pt idx="757">
                  <c:v>1E-10</c:v>
                </c:pt>
                <c:pt idx="758">
                  <c:v>1E-10</c:v>
                </c:pt>
                <c:pt idx="759">
                  <c:v>1E-10</c:v>
                </c:pt>
                <c:pt idx="760">
                  <c:v>1E-10</c:v>
                </c:pt>
                <c:pt idx="761">
                  <c:v>1E-10</c:v>
                </c:pt>
                <c:pt idx="762">
                  <c:v>1E-10</c:v>
                </c:pt>
                <c:pt idx="763">
                  <c:v>1E-10</c:v>
                </c:pt>
                <c:pt idx="764">
                  <c:v>1E-10</c:v>
                </c:pt>
                <c:pt idx="765">
                  <c:v>1E-10</c:v>
                </c:pt>
                <c:pt idx="766">
                  <c:v>1E-10</c:v>
                </c:pt>
                <c:pt idx="767">
                  <c:v>1E-10</c:v>
                </c:pt>
                <c:pt idx="768">
                  <c:v>1E-10</c:v>
                </c:pt>
                <c:pt idx="769">
                  <c:v>1E-10</c:v>
                </c:pt>
                <c:pt idx="770">
                  <c:v>1E-10</c:v>
                </c:pt>
                <c:pt idx="771">
                  <c:v>1E-10</c:v>
                </c:pt>
                <c:pt idx="772">
                  <c:v>1E-10</c:v>
                </c:pt>
                <c:pt idx="773">
                  <c:v>1E-10</c:v>
                </c:pt>
                <c:pt idx="774">
                  <c:v>1E-10</c:v>
                </c:pt>
                <c:pt idx="775">
                  <c:v>1E-10</c:v>
                </c:pt>
                <c:pt idx="776">
                  <c:v>1E-10</c:v>
                </c:pt>
                <c:pt idx="777">
                  <c:v>1E-10</c:v>
                </c:pt>
                <c:pt idx="778">
                  <c:v>1E-10</c:v>
                </c:pt>
                <c:pt idx="779">
                  <c:v>1E-10</c:v>
                </c:pt>
                <c:pt idx="780">
                  <c:v>1E-10</c:v>
                </c:pt>
                <c:pt idx="781">
                  <c:v>1E-10</c:v>
                </c:pt>
                <c:pt idx="782">
                  <c:v>1E-10</c:v>
                </c:pt>
                <c:pt idx="783">
                  <c:v>1E-10</c:v>
                </c:pt>
                <c:pt idx="784">
                  <c:v>1E-10</c:v>
                </c:pt>
                <c:pt idx="785">
                  <c:v>1E-10</c:v>
                </c:pt>
                <c:pt idx="786">
                  <c:v>1E-10</c:v>
                </c:pt>
                <c:pt idx="787">
                  <c:v>1E-10</c:v>
                </c:pt>
                <c:pt idx="788">
                  <c:v>1E-10</c:v>
                </c:pt>
                <c:pt idx="789">
                  <c:v>1E-10</c:v>
                </c:pt>
                <c:pt idx="790">
                  <c:v>1E-10</c:v>
                </c:pt>
                <c:pt idx="791">
                  <c:v>1E-10</c:v>
                </c:pt>
                <c:pt idx="792">
                  <c:v>1E-10</c:v>
                </c:pt>
                <c:pt idx="793">
                  <c:v>1E-10</c:v>
                </c:pt>
                <c:pt idx="794">
                  <c:v>1E-10</c:v>
                </c:pt>
                <c:pt idx="795">
                  <c:v>1E-10</c:v>
                </c:pt>
                <c:pt idx="796">
                  <c:v>1E-10</c:v>
                </c:pt>
                <c:pt idx="797">
                  <c:v>1E-10</c:v>
                </c:pt>
                <c:pt idx="798">
                  <c:v>1E-10</c:v>
                </c:pt>
                <c:pt idx="799">
                  <c:v>1E-10</c:v>
                </c:pt>
                <c:pt idx="800">
                  <c:v>1E-10</c:v>
                </c:pt>
                <c:pt idx="801">
                  <c:v>1E-10</c:v>
                </c:pt>
                <c:pt idx="802">
                  <c:v>1E-10</c:v>
                </c:pt>
                <c:pt idx="803">
                  <c:v>1E-10</c:v>
                </c:pt>
                <c:pt idx="804">
                  <c:v>1E-10</c:v>
                </c:pt>
                <c:pt idx="805">
                  <c:v>1E-10</c:v>
                </c:pt>
                <c:pt idx="806">
                  <c:v>1E-10</c:v>
                </c:pt>
                <c:pt idx="807">
                  <c:v>1E-10</c:v>
                </c:pt>
                <c:pt idx="808">
                  <c:v>1E-10</c:v>
                </c:pt>
                <c:pt idx="809">
                  <c:v>1E-10</c:v>
                </c:pt>
                <c:pt idx="810">
                  <c:v>1E-10</c:v>
                </c:pt>
                <c:pt idx="811">
                  <c:v>1E-10</c:v>
                </c:pt>
                <c:pt idx="812">
                  <c:v>1E-10</c:v>
                </c:pt>
                <c:pt idx="813">
                  <c:v>1E-10</c:v>
                </c:pt>
                <c:pt idx="814">
                  <c:v>1E-10</c:v>
                </c:pt>
                <c:pt idx="815">
                  <c:v>1E-10</c:v>
                </c:pt>
                <c:pt idx="816">
                  <c:v>1E-10</c:v>
                </c:pt>
                <c:pt idx="817">
                  <c:v>1E-10</c:v>
                </c:pt>
                <c:pt idx="818">
                  <c:v>1E-10</c:v>
                </c:pt>
                <c:pt idx="819">
                  <c:v>1E-10</c:v>
                </c:pt>
                <c:pt idx="820">
                  <c:v>1E-10</c:v>
                </c:pt>
                <c:pt idx="821">
                  <c:v>1E-10</c:v>
                </c:pt>
                <c:pt idx="822">
                  <c:v>1E-10</c:v>
                </c:pt>
                <c:pt idx="823">
                  <c:v>1E-10</c:v>
                </c:pt>
                <c:pt idx="824">
                  <c:v>1E-10</c:v>
                </c:pt>
                <c:pt idx="825">
                  <c:v>1E-10</c:v>
                </c:pt>
                <c:pt idx="826">
                  <c:v>1E-10</c:v>
                </c:pt>
                <c:pt idx="827">
                  <c:v>1E-10</c:v>
                </c:pt>
                <c:pt idx="828">
                  <c:v>1E-10</c:v>
                </c:pt>
                <c:pt idx="829">
                  <c:v>1E-10</c:v>
                </c:pt>
                <c:pt idx="830">
                  <c:v>1E-10</c:v>
                </c:pt>
                <c:pt idx="831">
                  <c:v>1E-10</c:v>
                </c:pt>
                <c:pt idx="832">
                  <c:v>1E-10</c:v>
                </c:pt>
                <c:pt idx="833">
                  <c:v>1E-10</c:v>
                </c:pt>
                <c:pt idx="834">
                  <c:v>1E-10</c:v>
                </c:pt>
                <c:pt idx="835">
                  <c:v>1E-10</c:v>
                </c:pt>
                <c:pt idx="836">
                  <c:v>1E-10</c:v>
                </c:pt>
                <c:pt idx="837">
                  <c:v>1E-10</c:v>
                </c:pt>
                <c:pt idx="838">
                  <c:v>1E-10</c:v>
                </c:pt>
                <c:pt idx="839">
                  <c:v>1E-10</c:v>
                </c:pt>
                <c:pt idx="840">
                  <c:v>1E-10</c:v>
                </c:pt>
                <c:pt idx="841">
                  <c:v>1E-10</c:v>
                </c:pt>
                <c:pt idx="842">
                  <c:v>1E-10</c:v>
                </c:pt>
                <c:pt idx="843">
                  <c:v>1E-10</c:v>
                </c:pt>
                <c:pt idx="844">
                  <c:v>1E-10</c:v>
                </c:pt>
                <c:pt idx="845">
                  <c:v>1E-10</c:v>
                </c:pt>
                <c:pt idx="846">
                  <c:v>1E-10</c:v>
                </c:pt>
                <c:pt idx="847">
                  <c:v>1E-10</c:v>
                </c:pt>
                <c:pt idx="848">
                  <c:v>1E-10</c:v>
                </c:pt>
                <c:pt idx="849">
                  <c:v>1E-10</c:v>
                </c:pt>
                <c:pt idx="850">
                  <c:v>1E-10</c:v>
                </c:pt>
                <c:pt idx="851">
                  <c:v>1E-10</c:v>
                </c:pt>
                <c:pt idx="852">
                  <c:v>1E-10</c:v>
                </c:pt>
                <c:pt idx="853">
                  <c:v>1E-10</c:v>
                </c:pt>
                <c:pt idx="854">
                  <c:v>1E-10</c:v>
                </c:pt>
                <c:pt idx="855">
                  <c:v>1E-10</c:v>
                </c:pt>
                <c:pt idx="856">
                  <c:v>1E-10</c:v>
                </c:pt>
                <c:pt idx="857">
                  <c:v>1E-10</c:v>
                </c:pt>
                <c:pt idx="858">
                  <c:v>1E-10</c:v>
                </c:pt>
                <c:pt idx="859">
                  <c:v>1E-10</c:v>
                </c:pt>
                <c:pt idx="860">
                  <c:v>1E-10</c:v>
                </c:pt>
                <c:pt idx="861">
                  <c:v>1E-10</c:v>
                </c:pt>
                <c:pt idx="862">
                  <c:v>1E-10</c:v>
                </c:pt>
                <c:pt idx="863">
                  <c:v>1E-10</c:v>
                </c:pt>
                <c:pt idx="864">
                  <c:v>1E-10</c:v>
                </c:pt>
                <c:pt idx="865">
                  <c:v>1E-10</c:v>
                </c:pt>
                <c:pt idx="866">
                  <c:v>1E-10</c:v>
                </c:pt>
                <c:pt idx="867">
                  <c:v>1E-10</c:v>
                </c:pt>
                <c:pt idx="868">
                  <c:v>1E-10</c:v>
                </c:pt>
                <c:pt idx="869">
                  <c:v>1E-10</c:v>
                </c:pt>
                <c:pt idx="870">
                  <c:v>1E-10</c:v>
                </c:pt>
                <c:pt idx="871">
                  <c:v>1E-10</c:v>
                </c:pt>
                <c:pt idx="872">
                  <c:v>1E-10</c:v>
                </c:pt>
                <c:pt idx="873">
                  <c:v>1E-10</c:v>
                </c:pt>
                <c:pt idx="874">
                  <c:v>1E-10</c:v>
                </c:pt>
                <c:pt idx="875">
                  <c:v>1E-10</c:v>
                </c:pt>
                <c:pt idx="876">
                  <c:v>1E-10</c:v>
                </c:pt>
                <c:pt idx="877">
                  <c:v>1E-10</c:v>
                </c:pt>
                <c:pt idx="878">
                  <c:v>1E-10</c:v>
                </c:pt>
                <c:pt idx="879">
                  <c:v>1E-10</c:v>
                </c:pt>
                <c:pt idx="880">
                  <c:v>1E-10</c:v>
                </c:pt>
                <c:pt idx="881">
                  <c:v>1E-10</c:v>
                </c:pt>
                <c:pt idx="882">
                  <c:v>1E-10</c:v>
                </c:pt>
                <c:pt idx="883">
                  <c:v>1E-10</c:v>
                </c:pt>
                <c:pt idx="884">
                  <c:v>1E-10</c:v>
                </c:pt>
                <c:pt idx="885">
                  <c:v>1E-10</c:v>
                </c:pt>
                <c:pt idx="886">
                  <c:v>1E-10</c:v>
                </c:pt>
                <c:pt idx="887">
                  <c:v>1E-10</c:v>
                </c:pt>
                <c:pt idx="888">
                  <c:v>1E-10</c:v>
                </c:pt>
                <c:pt idx="889">
                  <c:v>1E-10</c:v>
                </c:pt>
                <c:pt idx="890">
                  <c:v>1E-10</c:v>
                </c:pt>
                <c:pt idx="891">
                  <c:v>1E-10</c:v>
                </c:pt>
                <c:pt idx="892">
                  <c:v>1E-10</c:v>
                </c:pt>
                <c:pt idx="893">
                  <c:v>1E-10</c:v>
                </c:pt>
                <c:pt idx="894">
                  <c:v>1E-10</c:v>
                </c:pt>
                <c:pt idx="895">
                  <c:v>1E-10</c:v>
                </c:pt>
                <c:pt idx="896">
                  <c:v>1E-10</c:v>
                </c:pt>
                <c:pt idx="897">
                  <c:v>1E-10</c:v>
                </c:pt>
                <c:pt idx="898">
                  <c:v>1E-10</c:v>
                </c:pt>
                <c:pt idx="899">
                  <c:v>1E-10</c:v>
                </c:pt>
                <c:pt idx="900">
                  <c:v>1E-10</c:v>
                </c:pt>
                <c:pt idx="901">
                  <c:v>1E-10</c:v>
                </c:pt>
                <c:pt idx="902">
                  <c:v>1E-10</c:v>
                </c:pt>
                <c:pt idx="903">
                  <c:v>1E-10</c:v>
                </c:pt>
                <c:pt idx="904">
                  <c:v>1E-10</c:v>
                </c:pt>
                <c:pt idx="905">
                  <c:v>1E-10</c:v>
                </c:pt>
                <c:pt idx="906">
                  <c:v>1E-10</c:v>
                </c:pt>
                <c:pt idx="907">
                  <c:v>1E-10</c:v>
                </c:pt>
                <c:pt idx="908">
                  <c:v>1E-10</c:v>
                </c:pt>
                <c:pt idx="909">
                  <c:v>1E-10</c:v>
                </c:pt>
                <c:pt idx="910">
                  <c:v>1E-10</c:v>
                </c:pt>
                <c:pt idx="911">
                  <c:v>1E-10</c:v>
                </c:pt>
                <c:pt idx="912">
                  <c:v>1E-10</c:v>
                </c:pt>
                <c:pt idx="913">
                  <c:v>1E-10</c:v>
                </c:pt>
                <c:pt idx="914">
                  <c:v>1E-10</c:v>
                </c:pt>
                <c:pt idx="915">
                  <c:v>1E-10</c:v>
                </c:pt>
                <c:pt idx="916">
                  <c:v>1E-10</c:v>
                </c:pt>
                <c:pt idx="917">
                  <c:v>1E-10</c:v>
                </c:pt>
                <c:pt idx="918">
                  <c:v>1E-10</c:v>
                </c:pt>
                <c:pt idx="919">
                  <c:v>1E-10</c:v>
                </c:pt>
                <c:pt idx="920">
                  <c:v>1E-10</c:v>
                </c:pt>
                <c:pt idx="921">
                  <c:v>1E-10</c:v>
                </c:pt>
                <c:pt idx="922">
                  <c:v>1E-10</c:v>
                </c:pt>
                <c:pt idx="923">
                  <c:v>1E-10</c:v>
                </c:pt>
                <c:pt idx="924">
                  <c:v>1E-10</c:v>
                </c:pt>
                <c:pt idx="925">
                  <c:v>1E-10</c:v>
                </c:pt>
                <c:pt idx="926">
                  <c:v>1E-10</c:v>
                </c:pt>
                <c:pt idx="927">
                  <c:v>1E-10</c:v>
                </c:pt>
                <c:pt idx="928">
                  <c:v>1E-10</c:v>
                </c:pt>
                <c:pt idx="929">
                  <c:v>1E-10</c:v>
                </c:pt>
                <c:pt idx="930">
                  <c:v>1E-10</c:v>
                </c:pt>
                <c:pt idx="931">
                  <c:v>1E-10</c:v>
                </c:pt>
                <c:pt idx="932">
                  <c:v>1E-10</c:v>
                </c:pt>
                <c:pt idx="933">
                  <c:v>1E-10</c:v>
                </c:pt>
                <c:pt idx="934">
                  <c:v>1E-10</c:v>
                </c:pt>
                <c:pt idx="935">
                  <c:v>1E-10</c:v>
                </c:pt>
                <c:pt idx="936">
                  <c:v>1E-10</c:v>
                </c:pt>
                <c:pt idx="937">
                  <c:v>1E-10</c:v>
                </c:pt>
                <c:pt idx="938">
                  <c:v>1E-10</c:v>
                </c:pt>
                <c:pt idx="939">
                  <c:v>1E-10</c:v>
                </c:pt>
                <c:pt idx="940">
                  <c:v>1E-10</c:v>
                </c:pt>
                <c:pt idx="941">
                  <c:v>1E-10</c:v>
                </c:pt>
                <c:pt idx="942">
                  <c:v>1E-10</c:v>
                </c:pt>
                <c:pt idx="943">
                  <c:v>1E-10</c:v>
                </c:pt>
                <c:pt idx="944">
                  <c:v>1E-10</c:v>
                </c:pt>
                <c:pt idx="945">
                  <c:v>1E-10</c:v>
                </c:pt>
                <c:pt idx="946">
                  <c:v>1E-10</c:v>
                </c:pt>
                <c:pt idx="947">
                  <c:v>1E-10</c:v>
                </c:pt>
                <c:pt idx="948">
                  <c:v>1E-10</c:v>
                </c:pt>
                <c:pt idx="949">
                  <c:v>1E-10</c:v>
                </c:pt>
                <c:pt idx="950">
                  <c:v>1E-10</c:v>
                </c:pt>
                <c:pt idx="951">
                  <c:v>1E-10</c:v>
                </c:pt>
                <c:pt idx="952">
                  <c:v>1E-10</c:v>
                </c:pt>
                <c:pt idx="953">
                  <c:v>1E-10</c:v>
                </c:pt>
                <c:pt idx="954">
                  <c:v>1E-10</c:v>
                </c:pt>
                <c:pt idx="955">
                  <c:v>1E-10</c:v>
                </c:pt>
                <c:pt idx="956">
                  <c:v>1E-10</c:v>
                </c:pt>
                <c:pt idx="957">
                  <c:v>1E-10</c:v>
                </c:pt>
                <c:pt idx="958">
                  <c:v>1E-10</c:v>
                </c:pt>
                <c:pt idx="959">
                  <c:v>1E-10</c:v>
                </c:pt>
                <c:pt idx="960">
                  <c:v>1E-10</c:v>
                </c:pt>
                <c:pt idx="961">
                  <c:v>1E-10</c:v>
                </c:pt>
                <c:pt idx="962">
                  <c:v>1E-10</c:v>
                </c:pt>
                <c:pt idx="963">
                  <c:v>1E-10</c:v>
                </c:pt>
                <c:pt idx="964">
                  <c:v>1E-10</c:v>
                </c:pt>
                <c:pt idx="965">
                  <c:v>1E-10</c:v>
                </c:pt>
                <c:pt idx="966">
                  <c:v>1E-10</c:v>
                </c:pt>
                <c:pt idx="967">
                  <c:v>1E-10</c:v>
                </c:pt>
                <c:pt idx="968">
                  <c:v>1E-10</c:v>
                </c:pt>
                <c:pt idx="969">
                  <c:v>1E-10</c:v>
                </c:pt>
                <c:pt idx="970">
                  <c:v>1E-10</c:v>
                </c:pt>
                <c:pt idx="971">
                  <c:v>1E-10</c:v>
                </c:pt>
                <c:pt idx="972">
                  <c:v>1E-10</c:v>
                </c:pt>
                <c:pt idx="973">
                  <c:v>1E-10</c:v>
                </c:pt>
                <c:pt idx="974">
                  <c:v>1E-10</c:v>
                </c:pt>
                <c:pt idx="975">
                  <c:v>1E-10</c:v>
                </c:pt>
                <c:pt idx="976">
                  <c:v>1E-10</c:v>
                </c:pt>
                <c:pt idx="977">
                  <c:v>1E-10</c:v>
                </c:pt>
                <c:pt idx="978">
                  <c:v>1E-10</c:v>
                </c:pt>
                <c:pt idx="979">
                  <c:v>1E-10</c:v>
                </c:pt>
                <c:pt idx="980">
                  <c:v>1E-10</c:v>
                </c:pt>
                <c:pt idx="981">
                  <c:v>1E-10</c:v>
                </c:pt>
                <c:pt idx="982">
                  <c:v>1E-10</c:v>
                </c:pt>
                <c:pt idx="983">
                  <c:v>1E-10</c:v>
                </c:pt>
                <c:pt idx="984">
                  <c:v>1E-10</c:v>
                </c:pt>
                <c:pt idx="985">
                  <c:v>1E-10</c:v>
                </c:pt>
                <c:pt idx="986">
                  <c:v>1E-10</c:v>
                </c:pt>
                <c:pt idx="987">
                  <c:v>1E-10</c:v>
                </c:pt>
                <c:pt idx="988">
                  <c:v>1E-10</c:v>
                </c:pt>
                <c:pt idx="989">
                  <c:v>1E-10</c:v>
                </c:pt>
                <c:pt idx="990">
                  <c:v>1E-10</c:v>
                </c:pt>
                <c:pt idx="991">
                  <c:v>1E-10</c:v>
                </c:pt>
                <c:pt idx="992">
                  <c:v>1E-10</c:v>
                </c:pt>
                <c:pt idx="993">
                  <c:v>1E-10</c:v>
                </c:pt>
                <c:pt idx="994">
                  <c:v>1E-10</c:v>
                </c:pt>
                <c:pt idx="995">
                  <c:v>1E-10</c:v>
                </c:pt>
                <c:pt idx="996">
                  <c:v>1E-10</c:v>
                </c:pt>
                <c:pt idx="997">
                  <c:v>1E-10</c:v>
                </c:pt>
                <c:pt idx="998">
                  <c:v>1E-10</c:v>
                </c:pt>
                <c:pt idx="999">
                  <c:v>1E-10</c:v>
                </c:pt>
                <c:pt idx="1000">
                  <c:v>1E-10</c:v>
                </c:pt>
              </c:numCache>
            </c:numRef>
          </c:xVal>
          <c:yVal>
            <c:numRef>
              <c:f>Data!$F$4:$F$1004</c:f>
              <c:numCache>
                <c:formatCode>General</c:formatCode>
                <c:ptCount val="1001"/>
                <c:pt idx="0">
                  <c:v>0.01</c:v>
                </c:pt>
                <c:pt idx="1">
                  <c:v>0.11</c:v>
                </c:pt>
                <c:pt idx="2">
                  <c:v>0.21000000000000002</c:v>
                </c:pt>
                <c:pt idx="3">
                  <c:v>0.31000000000000005</c:v>
                </c:pt>
                <c:pt idx="4">
                  <c:v>0.41000000000000003</c:v>
                </c:pt>
                <c:pt idx="5">
                  <c:v>0.51</c:v>
                </c:pt>
                <c:pt idx="6">
                  <c:v>0.61</c:v>
                </c:pt>
                <c:pt idx="7">
                  <c:v>0.71</c:v>
                </c:pt>
                <c:pt idx="8">
                  <c:v>0.80999999999999994</c:v>
                </c:pt>
                <c:pt idx="9">
                  <c:v>0.90999999999999992</c:v>
                </c:pt>
                <c:pt idx="10">
                  <c:v>1.01</c:v>
                </c:pt>
                <c:pt idx="11">
                  <c:v>1.1100000000000001</c:v>
                </c:pt>
                <c:pt idx="12">
                  <c:v>1.2100000000000002</c:v>
                </c:pt>
                <c:pt idx="13">
                  <c:v>1.3100000000000003</c:v>
                </c:pt>
                <c:pt idx="14">
                  <c:v>1.4100000000000004</c:v>
                </c:pt>
                <c:pt idx="15">
                  <c:v>1.5100000000000005</c:v>
                </c:pt>
                <c:pt idx="16">
                  <c:v>1.6100000000000005</c:v>
                </c:pt>
                <c:pt idx="17">
                  <c:v>1.7100000000000006</c:v>
                </c:pt>
                <c:pt idx="18">
                  <c:v>1.8100000000000007</c:v>
                </c:pt>
                <c:pt idx="19">
                  <c:v>1.9100000000000008</c:v>
                </c:pt>
                <c:pt idx="20">
                  <c:v>2.0100000000000007</c:v>
                </c:pt>
                <c:pt idx="21">
                  <c:v>2.1100000000000008</c:v>
                </c:pt>
                <c:pt idx="22">
                  <c:v>2.2100000000000009</c:v>
                </c:pt>
                <c:pt idx="23">
                  <c:v>2.3100000000000009</c:v>
                </c:pt>
                <c:pt idx="24">
                  <c:v>2.410000000000001</c:v>
                </c:pt>
                <c:pt idx="25">
                  <c:v>2.5100000000000011</c:v>
                </c:pt>
                <c:pt idx="26">
                  <c:v>2.6100000000000012</c:v>
                </c:pt>
                <c:pt idx="27">
                  <c:v>2.7100000000000013</c:v>
                </c:pt>
                <c:pt idx="28">
                  <c:v>2.8100000000000014</c:v>
                </c:pt>
                <c:pt idx="29">
                  <c:v>2.9100000000000015</c:v>
                </c:pt>
                <c:pt idx="30">
                  <c:v>3.0100000000000016</c:v>
                </c:pt>
                <c:pt idx="31">
                  <c:v>3.1100000000000017</c:v>
                </c:pt>
                <c:pt idx="32">
                  <c:v>3.2100000000000017</c:v>
                </c:pt>
                <c:pt idx="33">
                  <c:v>3.3100000000000018</c:v>
                </c:pt>
                <c:pt idx="34">
                  <c:v>3.4100000000000019</c:v>
                </c:pt>
                <c:pt idx="35">
                  <c:v>3.510000000000002</c:v>
                </c:pt>
                <c:pt idx="36">
                  <c:v>3.6100000000000021</c:v>
                </c:pt>
                <c:pt idx="37">
                  <c:v>3.7100000000000022</c:v>
                </c:pt>
                <c:pt idx="38">
                  <c:v>3.8100000000000023</c:v>
                </c:pt>
                <c:pt idx="39">
                  <c:v>3.9100000000000024</c:v>
                </c:pt>
                <c:pt idx="40">
                  <c:v>4.0100000000000025</c:v>
                </c:pt>
                <c:pt idx="41">
                  <c:v>4.1100000000000021</c:v>
                </c:pt>
                <c:pt idx="42">
                  <c:v>4.2100000000000017</c:v>
                </c:pt>
                <c:pt idx="43">
                  <c:v>4.3100000000000014</c:v>
                </c:pt>
                <c:pt idx="44">
                  <c:v>4.410000000000001</c:v>
                </c:pt>
                <c:pt idx="45">
                  <c:v>4.5100000000000007</c:v>
                </c:pt>
                <c:pt idx="46">
                  <c:v>4.6100000000000003</c:v>
                </c:pt>
                <c:pt idx="47">
                  <c:v>4.71</c:v>
                </c:pt>
                <c:pt idx="48">
                  <c:v>4.8099999999999996</c:v>
                </c:pt>
                <c:pt idx="49">
                  <c:v>4.9099999999999993</c:v>
                </c:pt>
                <c:pt idx="50">
                  <c:v>5.0099999999999989</c:v>
                </c:pt>
                <c:pt idx="51">
                  <c:v>5.1099999999999985</c:v>
                </c:pt>
                <c:pt idx="52">
                  <c:v>5.2099999999999982</c:v>
                </c:pt>
                <c:pt idx="53">
                  <c:v>5.3099999999999978</c:v>
                </c:pt>
                <c:pt idx="54">
                  <c:v>5.4099999999999975</c:v>
                </c:pt>
                <c:pt idx="55">
                  <c:v>5.5099999999999971</c:v>
                </c:pt>
                <c:pt idx="56">
                  <c:v>5.6099999999999968</c:v>
                </c:pt>
                <c:pt idx="57">
                  <c:v>5.7099999999999964</c:v>
                </c:pt>
                <c:pt idx="58">
                  <c:v>5.8099999999999961</c:v>
                </c:pt>
                <c:pt idx="59">
                  <c:v>5.9099999999999957</c:v>
                </c:pt>
                <c:pt idx="60">
                  <c:v>6.0099999999999953</c:v>
                </c:pt>
                <c:pt idx="61">
                  <c:v>6.109999999999995</c:v>
                </c:pt>
                <c:pt idx="62">
                  <c:v>6.2099999999999946</c:v>
                </c:pt>
                <c:pt idx="63">
                  <c:v>6.3099999999999943</c:v>
                </c:pt>
                <c:pt idx="64">
                  <c:v>6.4099999999999939</c:v>
                </c:pt>
                <c:pt idx="65">
                  <c:v>6.5099999999999936</c:v>
                </c:pt>
                <c:pt idx="66">
                  <c:v>6.6099999999999932</c:v>
                </c:pt>
                <c:pt idx="67">
                  <c:v>6.7099999999999929</c:v>
                </c:pt>
                <c:pt idx="68">
                  <c:v>6.8099999999999925</c:v>
                </c:pt>
                <c:pt idx="69">
                  <c:v>6.9099999999999921</c:v>
                </c:pt>
                <c:pt idx="70">
                  <c:v>7.0099999999999918</c:v>
                </c:pt>
                <c:pt idx="71">
                  <c:v>7.1099999999999914</c:v>
                </c:pt>
                <c:pt idx="72">
                  <c:v>7.2099999999999911</c:v>
                </c:pt>
                <c:pt idx="73">
                  <c:v>7.3099999999999907</c:v>
                </c:pt>
                <c:pt idx="74">
                  <c:v>7.4099999999999904</c:v>
                </c:pt>
                <c:pt idx="75">
                  <c:v>7.50999999999999</c:v>
                </c:pt>
                <c:pt idx="76">
                  <c:v>7.6099999999999897</c:v>
                </c:pt>
                <c:pt idx="77">
                  <c:v>7.7099999999999893</c:v>
                </c:pt>
                <c:pt idx="78">
                  <c:v>7.809999999999989</c:v>
                </c:pt>
                <c:pt idx="79">
                  <c:v>7.9099999999999886</c:v>
                </c:pt>
                <c:pt idx="80">
                  <c:v>8.0099999999999891</c:v>
                </c:pt>
                <c:pt idx="81">
                  <c:v>8.1099999999999888</c:v>
                </c:pt>
                <c:pt idx="82">
                  <c:v>8.2099999999999884</c:v>
                </c:pt>
                <c:pt idx="83">
                  <c:v>8.3099999999999881</c:v>
                </c:pt>
                <c:pt idx="84">
                  <c:v>8.4099999999999877</c:v>
                </c:pt>
                <c:pt idx="85">
                  <c:v>8.5099999999999874</c:v>
                </c:pt>
                <c:pt idx="86">
                  <c:v>8.609999999999987</c:v>
                </c:pt>
                <c:pt idx="87">
                  <c:v>8.7099999999999866</c:v>
                </c:pt>
                <c:pt idx="88">
                  <c:v>8.8099999999999863</c:v>
                </c:pt>
                <c:pt idx="89">
                  <c:v>8.9099999999999859</c:v>
                </c:pt>
                <c:pt idx="90">
                  <c:v>9.0099999999999856</c:v>
                </c:pt>
                <c:pt idx="91">
                  <c:v>9.1099999999999852</c:v>
                </c:pt>
                <c:pt idx="92">
                  <c:v>9.2099999999999849</c:v>
                </c:pt>
                <c:pt idx="93">
                  <c:v>9.3099999999999845</c:v>
                </c:pt>
                <c:pt idx="94">
                  <c:v>9.4099999999999842</c:v>
                </c:pt>
                <c:pt idx="95">
                  <c:v>9.5099999999999838</c:v>
                </c:pt>
                <c:pt idx="96">
                  <c:v>9.6099999999999834</c:v>
                </c:pt>
                <c:pt idx="97">
                  <c:v>9.7099999999999831</c:v>
                </c:pt>
                <c:pt idx="98">
                  <c:v>9.8099999999999827</c:v>
                </c:pt>
                <c:pt idx="99">
                  <c:v>9.9099999999999824</c:v>
                </c:pt>
                <c:pt idx="100">
                  <c:v>10.009999999999982</c:v>
                </c:pt>
                <c:pt idx="101">
                  <c:v>10.109999999999982</c:v>
                </c:pt>
                <c:pt idx="102">
                  <c:v>10.209999999999981</c:v>
                </c:pt>
                <c:pt idx="103">
                  <c:v>10.309999999999981</c:v>
                </c:pt>
                <c:pt idx="104">
                  <c:v>10.409999999999981</c:v>
                </c:pt>
                <c:pt idx="105">
                  <c:v>10.50999999999998</c:v>
                </c:pt>
                <c:pt idx="106">
                  <c:v>10.60999999999998</c:v>
                </c:pt>
                <c:pt idx="107">
                  <c:v>10.70999999999998</c:v>
                </c:pt>
                <c:pt idx="108">
                  <c:v>10.809999999999979</c:v>
                </c:pt>
                <c:pt idx="109">
                  <c:v>10.909999999999979</c:v>
                </c:pt>
                <c:pt idx="110">
                  <c:v>11.009999999999978</c:v>
                </c:pt>
                <c:pt idx="111">
                  <c:v>11.109999999999978</c:v>
                </c:pt>
                <c:pt idx="112">
                  <c:v>11.209999999999978</c:v>
                </c:pt>
                <c:pt idx="113">
                  <c:v>11.309999999999977</c:v>
                </c:pt>
                <c:pt idx="114">
                  <c:v>11.409999999999977</c:v>
                </c:pt>
                <c:pt idx="115">
                  <c:v>11.509999999999977</c:v>
                </c:pt>
                <c:pt idx="116">
                  <c:v>11.609999999999976</c:v>
                </c:pt>
                <c:pt idx="117">
                  <c:v>11.709999999999976</c:v>
                </c:pt>
                <c:pt idx="118">
                  <c:v>11.809999999999976</c:v>
                </c:pt>
                <c:pt idx="119">
                  <c:v>11.909999999999975</c:v>
                </c:pt>
                <c:pt idx="120">
                  <c:v>12.009999999999975</c:v>
                </c:pt>
                <c:pt idx="121">
                  <c:v>12.109999999999975</c:v>
                </c:pt>
                <c:pt idx="122">
                  <c:v>12.209999999999974</c:v>
                </c:pt>
                <c:pt idx="123">
                  <c:v>12.309999999999974</c:v>
                </c:pt>
                <c:pt idx="124">
                  <c:v>12.409999999999973</c:v>
                </c:pt>
                <c:pt idx="125">
                  <c:v>12.509999999999973</c:v>
                </c:pt>
                <c:pt idx="126">
                  <c:v>12.609999999999973</c:v>
                </c:pt>
                <c:pt idx="127">
                  <c:v>12.709999999999972</c:v>
                </c:pt>
                <c:pt idx="128">
                  <c:v>12.809999999999972</c:v>
                </c:pt>
                <c:pt idx="129">
                  <c:v>12.909999999999972</c:v>
                </c:pt>
                <c:pt idx="130">
                  <c:v>13.009999999999971</c:v>
                </c:pt>
                <c:pt idx="131">
                  <c:v>13.109999999999971</c:v>
                </c:pt>
                <c:pt idx="132">
                  <c:v>13.209999999999971</c:v>
                </c:pt>
                <c:pt idx="133">
                  <c:v>13.30999999999997</c:v>
                </c:pt>
                <c:pt idx="134">
                  <c:v>13.40999999999997</c:v>
                </c:pt>
                <c:pt idx="135">
                  <c:v>13.50999999999997</c:v>
                </c:pt>
                <c:pt idx="136">
                  <c:v>13.609999999999969</c:v>
                </c:pt>
                <c:pt idx="137">
                  <c:v>13.709999999999969</c:v>
                </c:pt>
                <c:pt idx="138">
                  <c:v>13.809999999999969</c:v>
                </c:pt>
                <c:pt idx="139">
                  <c:v>13.909999999999968</c:v>
                </c:pt>
                <c:pt idx="140">
                  <c:v>14.009999999999968</c:v>
                </c:pt>
                <c:pt idx="141">
                  <c:v>14.109999999999967</c:v>
                </c:pt>
                <c:pt idx="142">
                  <c:v>14.209999999999967</c:v>
                </c:pt>
                <c:pt idx="143">
                  <c:v>14.309999999999967</c:v>
                </c:pt>
                <c:pt idx="144">
                  <c:v>14.409999999999966</c:v>
                </c:pt>
                <c:pt idx="145">
                  <c:v>14.509999999999966</c:v>
                </c:pt>
                <c:pt idx="146">
                  <c:v>14.609999999999966</c:v>
                </c:pt>
                <c:pt idx="147">
                  <c:v>14.709999999999965</c:v>
                </c:pt>
                <c:pt idx="148">
                  <c:v>14.809999999999965</c:v>
                </c:pt>
                <c:pt idx="149">
                  <c:v>14.909999999999965</c:v>
                </c:pt>
                <c:pt idx="150">
                  <c:v>15.009999999999964</c:v>
                </c:pt>
                <c:pt idx="151">
                  <c:v>15.109999999999964</c:v>
                </c:pt>
                <c:pt idx="152">
                  <c:v>15.209999999999964</c:v>
                </c:pt>
                <c:pt idx="153">
                  <c:v>15.309999999999963</c:v>
                </c:pt>
                <c:pt idx="154">
                  <c:v>15.409999999999963</c:v>
                </c:pt>
                <c:pt idx="155">
                  <c:v>15.509999999999962</c:v>
                </c:pt>
                <c:pt idx="156">
                  <c:v>15.609999999999962</c:v>
                </c:pt>
                <c:pt idx="157">
                  <c:v>15.709999999999962</c:v>
                </c:pt>
                <c:pt idx="158">
                  <c:v>15.809999999999961</c:v>
                </c:pt>
                <c:pt idx="159">
                  <c:v>15.909999999999961</c:v>
                </c:pt>
                <c:pt idx="160">
                  <c:v>16.009999999999962</c:v>
                </c:pt>
                <c:pt idx="161">
                  <c:v>16.109999999999964</c:v>
                </c:pt>
                <c:pt idx="162">
                  <c:v>16.209999999999965</c:v>
                </c:pt>
                <c:pt idx="163">
                  <c:v>16.309999999999967</c:v>
                </c:pt>
                <c:pt idx="164">
                  <c:v>16.409999999999968</c:v>
                </c:pt>
                <c:pt idx="165">
                  <c:v>16.50999999999997</c:v>
                </c:pt>
                <c:pt idx="166">
                  <c:v>16.609999999999971</c:v>
                </c:pt>
                <c:pt idx="167">
                  <c:v>16.709999999999972</c:v>
                </c:pt>
                <c:pt idx="168">
                  <c:v>16.809999999999974</c:v>
                </c:pt>
                <c:pt idx="169">
                  <c:v>16.909999999999975</c:v>
                </c:pt>
                <c:pt idx="170">
                  <c:v>17.009999999999977</c:v>
                </c:pt>
                <c:pt idx="171">
                  <c:v>17.109999999999978</c:v>
                </c:pt>
                <c:pt idx="172">
                  <c:v>17.20999999999998</c:v>
                </c:pt>
                <c:pt idx="173">
                  <c:v>17.309999999999981</c:v>
                </c:pt>
                <c:pt idx="174">
                  <c:v>17.409999999999982</c:v>
                </c:pt>
                <c:pt idx="175">
                  <c:v>17.509999999999984</c:v>
                </c:pt>
                <c:pt idx="176">
                  <c:v>17.609999999999985</c:v>
                </c:pt>
                <c:pt idx="177">
                  <c:v>17.709999999999987</c:v>
                </c:pt>
                <c:pt idx="178">
                  <c:v>17.809999999999988</c:v>
                </c:pt>
                <c:pt idx="179">
                  <c:v>17.909999999999989</c:v>
                </c:pt>
                <c:pt idx="180">
                  <c:v>18.009999999999991</c:v>
                </c:pt>
                <c:pt idx="181">
                  <c:v>18.109999999999992</c:v>
                </c:pt>
                <c:pt idx="182">
                  <c:v>18.209999999999994</c:v>
                </c:pt>
                <c:pt idx="183">
                  <c:v>18.309999999999995</c:v>
                </c:pt>
                <c:pt idx="184">
                  <c:v>18.409999999999997</c:v>
                </c:pt>
                <c:pt idx="185">
                  <c:v>18.509999999999998</c:v>
                </c:pt>
                <c:pt idx="186">
                  <c:v>18.61</c:v>
                </c:pt>
                <c:pt idx="187">
                  <c:v>18.71</c:v>
                </c:pt>
                <c:pt idx="188">
                  <c:v>18.810000000000002</c:v>
                </c:pt>
                <c:pt idx="189">
                  <c:v>18.910000000000004</c:v>
                </c:pt>
                <c:pt idx="190">
                  <c:v>19.010000000000005</c:v>
                </c:pt>
                <c:pt idx="191">
                  <c:v>19.110000000000007</c:v>
                </c:pt>
                <c:pt idx="192">
                  <c:v>19.210000000000008</c:v>
                </c:pt>
                <c:pt idx="193">
                  <c:v>19.310000000000009</c:v>
                </c:pt>
                <c:pt idx="194">
                  <c:v>19.410000000000011</c:v>
                </c:pt>
                <c:pt idx="195">
                  <c:v>19.510000000000012</c:v>
                </c:pt>
                <c:pt idx="196">
                  <c:v>19.610000000000014</c:v>
                </c:pt>
                <c:pt idx="197">
                  <c:v>19.710000000000015</c:v>
                </c:pt>
                <c:pt idx="198">
                  <c:v>19.810000000000016</c:v>
                </c:pt>
                <c:pt idx="199">
                  <c:v>19.910000000000018</c:v>
                </c:pt>
                <c:pt idx="200">
                  <c:v>20.010000000000019</c:v>
                </c:pt>
                <c:pt idx="201">
                  <c:v>20.110000000000021</c:v>
                </c:pt>
                <c:pt idx="202">
                  <c:v>20.210000000000022</c:v>
                </c:pt>
                <c:pt idx="203">
                  <c:v>20.310000000000024</c:v>
                </c:pt>
                <c:pt idx="204">
                  <c:v>20.410000000000025</c:v>
                </c:pt>
                <c:pt idx="205">
                  <c:v>20.510000000000026</c:v>
                </c:pt>
                <c:pt idx="206">
                  <c:v>20.610000000000028</c:v>
                </c:pt>
                <c:pt idx="207">
                  <c:v>20.710000000000029</c:v>
                </c:pt>
                <c:pt idx="208">
                  <c:v>20.810000000000031</c:v>
                </c:pt>
                <c:pt idx="209">
                  <c:v>20.910000000000032</c:v>
                </c:pt>
                <c:pt idx="210">
                  <c:v>21.010000000000034</c:v>
                </c:pt>
                <c:pt idx="211">
                  <c:v>21.110000000000035</c:v>
                </c:pt>
                <c:pt idx="212">
                  <c:v>21.210000000000036</c:v>
                </c:pt>
                <c:pt idx="213">
                  <c:v>21.310000000000038</c:v>
                </c:pt>
                <c:pt idx="214">
                  <c:v>21.410000000000039</c:v>
                </c:pt>
                <c:pt idx="215">
                  <c:v>21.510000000000041</c:v>
                </c:pt>
                <c:pt idx="216">
                  <c:v>21.610000000000042</c:v>
                </c:pt>
                <c:pt idx="217">
                  <c:v>21.710000000000043</c:v>
                </c:pt>
                <c:pt idx="218">
                  <c:v>21.810000000000045</c:v>
                </c:pt>
                <c:pt idx="219">
                  <c:v>21.910000000000046</c:v>
                </c:pt>
                <c:pt idx="220">
                  <c:v>22.010000000000048</c:v>
                </c:pt>
                <c:pt idx="221">
                  <c:v>22.110000000000049</c:v>
                </c:pt>
                <c:pt idx="222">
                  <c:v>22.210000000000051</c:v>
                </c:pt>
                <c:pt idx="223">
                  <c:v>22.310000000000052</c:v>
                </c:pt>
                <c:pt idx="224">
                  <c:v>22.410000000000053</c:v>
                </c:pt>
                <c:pt idx="225">
                  <c:v>22.510000000000055</c:v>
                </c:pt>
                <c:pt idx="226">
                  <c:v>22.610000000000056</c:v>
                </c:pt>
                <c:pt idx="227">
                  <c:v>22.710000000000058</c:v>
                </c:pt>
                <c:pt idx="228">
                  <c:v>22.810000000000059</c:v>
                </c:pt>
                <c:pt idx="229">
                  <c:v>22.910000000000061</c:v>
                </c:pt>
                <c:pt idx="230">
                  <c:v>23.010000000000062</c:v>
                </c:pt>
                <c:pt idx="231">
                  <c:v>23.110000000000063</c:v>
                </c:pt>
                <c:pt idx="232">
                  <c:v>23.210000000000065</c:v>
                </c:pt>
                <c:pt idx="233">
                  <c:v>23.310000000000066</c:v>
                </c:pt>
                <c:pt idx="234">
                  <c:v>23.410000000000068</c:v>
                </c:pt>
                <c:pt idx="235">
                  <c:v>23.510000000000069</c:v>
                </c:pt>
                <c:pt idx="236">
                  <c:v>23.61000000000007</c:v>
                </c:pt>
                <c:pt idx="237">
                  <c:v>23.710000000000072</c:v>
                </c:pt>
                <c:pt idx="238">
                  <c:v>23.810000000000073</c:v>
                </c:pt>
                <c:pt idx="239">
                  <c:v>23.910000000000075</c:v>
                </c:pt>
                <c:pt idx="240">
                  <c:v>24.010000000000076</c:v>
                </c:pt>
                <c:pt idx="241">
                  <c:v>24.110000000000078</c:v>
                </c:pt>
                <c:pt idx="242">
                  <c:v>24.210000000000079</c:v>
                </c:pt>
                <c:pt idx="243">
                  <c:v>24.31000000000008</c:v>
                </c:pt>
                <c:pt idx="244">
                  <c:v>24.410000000000082</c:v>
                </c:pt>
                <c:pt idx="245">
                  <c:v>24.510000000000083</c:v>
                </c:pt>
                <c:pt idx="246">
                  <c:v>24.610000000000085</c:v>
                </c:pt>
                <c:pt idx="247">
                  <c:v>24.710000000000086</c:v>
                </c:pt>
                <c:pt idx="248">
                  <c:v>24.810000000000088</c:v>
                </c:pt>
                <c:pt idx="249">
                  <c:v>24.910000000000089</c:v>
                </c:pt>
                <c:pt idx="250">
                  <c:v>25.01000000000009</c:v>
                </c:pt>
                <c:pt idx="251">
                  <c:v>25.110000000000092</c:v>
                </c:pt>
                <c:pt idx="252">
                  <c:v>25.210000000000093</c:v>
                </c:pt>
                <c:pt idx="253">
                  <c:v>25.310000000000095</c:v>
                </c:pt>
                <c:pt idx="254">
                  <c:v>25.410000000000096</c:v>
                </c:pt>
                <c:pt idx="255">
                  <c:v>25.510000000000097</c:v>
                </c:pt>
                <c:pt idx="256">
                  <c:v>25.610000000000099</c:v>
                </c:pt>
                <c:pt idx="257">
                  <c:v>25.7100000000001</c:v>
                </c:pt>
                <c:pt idx="258">
                  <c:v>25.810000000000102</c:v>
                </c:pt>
                <c:pt idx="259">
                  <c:v>25.910000000000103</c:v>
                </c:pt>
                <c:pt idx="260">
                  <c:v>26.010000000000105</c:v>
                </c:pt>
                <c:pt idx="261">
                  <c:v>26.110000000000106</c:v>
                </c:pt>
                <c:pt idx="262">
                  <c:v>26.210000000000107</c:v>
                </c:pt>
                <c:pt idx="263">
                  <c:v>26.310000000000109</c:v>
                </c:pt>
                <c:pt idx="264">
                  <c:v>26.41000000000011</c:v>
                </c:pt>
                <c:pt idx="265">
                  <c:v>26.510000000000112</c:v>
                </c:pt>
                <c:pt idx="266">
                  <c:v>26.610000000000113</c:v>
                </c:pt>
                <c:pt idx="267">
                  <c:v>26.710000000000115</c:v>
                </c:pt>
                <c:pt idx="268">
                  <c:v>26.810000000000116</c:v>
                </c:pt>
                <c:pt idx="269">
                  <c:v>26.910000000000117</c:v>
                </c:pt>
                <c:pt idx="270">
                  <c:v>27.010000000000119</c:v>
                </c:pt>
                <c:pt idx="271">
                  <c:v>27.11000000000012</c:v>
                </c:pt>
                <c:pt idx="272">
                  <c:v>27.210000000000122</c:v>
                </c:pt>
                <c:pt idx="273">
                  <c:v>27.310000000000123</c:v>
                </c:pt>
                <c:pt idx="274">
                  <c:v>27.410000000000124</c:v>
                </c:pt>
                <c:pt idx="275">
                  <c:v>27.510000000000126</c:v>
                </c:pt>
                <c:pt idx="276">
                  <c:v>27.610000000000127</c:v>
                </c:pt>
                <c:pt idx="277">
                  <c:v>27.710000000000129</c:v>
                </c:pt>
                <c:pt idx="278">
                  <c:v>27.81000000000013</c:v>
                </c:pt>
                <c:pt idx="279">
                  <c:v>27.910000000000132</c:v>
                </c:pt>
                <c:pt idx="280">
                  <c:v>28.010000000000133</c:v>
                </c:pt>
                <c:pt idx="281">
                  <c:v>28.110000000000134</c:v>
                </c:pt>
                <c:pt idx="282">
                  <c:v>28.210000000000136</c:v>
                </c:pt>
                <c:pt idx="283">
                  <c:v>28.310000000000137</c:v>
                </c:pt>
                <c:pt idx="284">
                  <c:v>28.410000000000139</c:v>
                </c:pt>
                <c:pt idx="285">
                  <c:v>28.51000000000014</c:v>
                </c:pt>
                <c:pt idx="286">
                  <c:v>28.610000000000142</c:v>
                </c:pt>
                <c:pt idx="287">
                  <c:v>28.710000000000143</c:v>
                </c:pt>
                <c:pt idx="288">
                  <c:v>28.810000000000144</c:v>
                </c:pt>
                <c:pt idx="289">
                  <c:v>28.910000000000146</c:v>
                </c:pt>
                <c:pt idx="290">
                  <c:v>29.010000000000147</c:v>
                </c:pt>
                <c:pt idx="291">
                  <c:v>29.110000000000149</c:v>
                </c:pt>
                <c:pt idx="292">
                  <c:v>29.21000000000015</c:v>
                </c:pt>
                <c:pt idx="293">
                  <c:v>29.310000000000151</c:v>
                </c:pt>
                <c:pt idx="294">
                  <c:v>29.410000000000153</c:v>
                </c:pt>
                <c:pt idx="295">
                  <c:v>29.510000000000154</c:v>
                </c:pt>
                <c:pt idx="296">
                  <c:v>29.610000000000156</c:v>
                </c:pt>
                <c:pt idx="297">
                  <c:v>29.710000000000157</c:v>
                </c:pt>
                <c:pt idx="298">
                  <c:v>29.810000000000159</c:v>
                </c:pt>
                <c:pt idx="299">
                  <c:v>29.91000000000016</c:v>
                </c:pt>
                <c:pt idx="300">
                  <c:v>30.010000000000161</c:v>
                </c:pt>
                <c:pt idx="301">
                  <c:v>30.110000000000163</c:v>
                </c:pt>
                <c:pt idx="302">
                  <c:v>30.210000000000164</c:v>
                </c:pt>
                <c:pt idx="303">
                  <c:v>30.310000000000166</c:v>
                </c:pt>
                <c:pt idx="304">
                  <c:v>30.410000000000167</c:v>
                </c:pt>
                <c:pt idx="305">
                  <c:v>30.510000000000169</c:v>
                </c:pt>
                <c:pt idx="306">
                  <c:v>30.61000000000017</c:v>
                </c:pt>
                <c:pt idx="307">
                  <c:v>30.710000000000171</c:v>
                </c:pt>
                <c:pt idx="308">
                  <c:v>30.810000000000173</c:v>
                </c:pt>
                <c:pt idx="309">
                  <c:v>30.910000000000174</c:v>
                </c:pt>
                <c:pt idx="310">
                  <c:v>31.010000000000176</c:v>
                </c:pt>
                <c:pt idx="311">
                  <c:v>31.110000000000177</c:v>
                </c:pt>
                <c:pt idx="312">
                  <c:v>31.210000000000178</c:v>
                </c:pt>
                <c:pt idx="313">
                  <c:v>31.31000000000018</c:v>
                </c:pt>
                <c:pt idx="314">
                  <c:v>31.410000000000181</c:v>
                </c:pt>
                <c:pt idx="315">
                  <c:v>31.510000000000183</c:v>
                </c:pt>
                <c:pt idx="316">
                  <c:v>31.610000000000184</c:v>
                </c:pt>
                <c:pt idx="317">
                  <c:v>31.710000000000186</c:v>
                </c:pt>
                <c:pt idx="318">
                  <c:v>31.810000000000187</c:v>
                </c:pt>
                <c:pt idx="319">
                  <c:v>31.910000000000188</c:v>
                </c:pt>
                <c:pt idx="320">
                  <c:v>32.01000000000019</c:v>
                </c:pt>
                <c:pt idx="321">
                  <c:v>32.110000000000191</c:v>
                </c:pt>
                <c:pt idx="322">
                  <c:v>32.210000000000193</c:v>
                </c:pt>
                <c:pt idx="323">
                  <c:v>32.310000000000194</c:v>
                </c:pt>
                <c:pt idx="324">
                  <c:v>32.410000000000196</c:v>
                </c:pt>
                <c:pt idx="325">
                  <c:v>32.510000000000197</c:v>
                </c:pt>
                <c:pt idx="326">
                  <c:v>32.610000000000198</c:v>
                </c:pt>
                <c:pt idx="327">
                  <c:v>32.7100000000002</c:v>
                </c:pt>
                <c:pt idx="328">
                  <c:v>32.810000000000201</c:v>
                </c:pt>
                <c:pt idx="329">
                  <c:v>32.910000000000203</c:v>
                </c:pt>
                <c:pt idx="330">
                  <c:v>33.010000000000204</c:v>
                </c:pt>
                <c:pt idx="331">
                  <c:v>33.110000000000205</c:v>
                </c:pt>
                <c:pt idx="332">
                  <c:v>33.210000000000207</c:v>
                </c:pt>
                <c:pt idx="333">
                  <c:v>33.310000000000208</c:v>
                </c:pt>
                <c:pt idx="334">
                  <c:v>33.41000000000021</c:v>
                </c:pt>
                <c:pt idx="335">
                  <c:v>33.510000000000211</c:v>
                </c:pt>
                <c:pt idx="336">
                  <c:v>33.610000000000213</c:v>
                </c:pt>
                <c:pt idx="337">
                  <c:v>33.710000000000214</c:v>
                </c:pt>
                <c:pt idx="338">
                  <c:v>33.810000000000215</c:v>
                </c:pt>
                <c:pt idx="339">
                  <c:v>33.910000000000217</c:v>
                </c:pt>
                <c:pt idx="340">
                  <c:v>34.010000000000218</c:v>
                </c:pt>
                <c:pt idx="341">
                  <c:v>34.11000000000022</c:v>
                </c:pt>
                <c:pt idx="342">
                  <c:v>34.210000000000221</c:v>
                </c:pt>
                <c:pt idx="343">
                  <c:v>34.310000000000223</c:v>
                </c:pt>
                <c:pt idx="344">
                  <c:v>34.410000000000224</c:v>
                </c:pt>
                <c:pt idx="345">
                  <c:v>34.510000000000225</c:v>
                </c:pt>
                <c:pt idx="346">
                  <c:v>34.610000000000227</c:v>
                </c:pt>
                <c:pt idx="347">
                  <c:v>34.710000000000228</c:v>
                </c:pt>
                <c:pt idx="348">
                  <c:v>34.81000000000023</c:v>
                </c:pt>
                <c:pt idx="349">
                  <c:v>34.910000000000231</c:v>
                </c:pt>
                <c:pt idx="350">
                  <c:v>35.010000000000232</c:v>
                </c:pt>
                <c:pt idx="351">
                  <c:v>35.110000000000234</c:v>
                </c:pt>
                <c:pt idx="352">
                  <c:v>35.210000000000235</c:v>
                </c:pt>
                <c:pt idx="353">
                  <c:v>35.310000000000237</c:v>
                </c:pt>
                <c:pt idx="354">
                  <c:v>35.410000000000238</c:v>
                </c:pt>
                <c:pt idx="355">
                  <c:v>35.51000000000024</c:v>
                </c:pt>
                <c:pt idx="356">
                  <c:v>35.610000000000241</c:v>
                </c:pt>
                <c:pt idx="357">
                  <c:v>35.710000000000242</c:v>
                </c:pt>
                <c:pt idx="358">
                  <c:v>35.810000000000244</c:v>
                </c:pt>
                <c:pt idx="359">
                  <c:v>35.910000000000245</c:v>
                </c:pt>
                <c:pt idx="360">
                  <c:v>36.010000000000247</c:v>
                </c:pt>
                <c:pt idx="361">
                  <c:v>36.110000000000248</c:v>
                </c:pt>
                <c:pt idx="362">
                  <c:v>36.21000000000025</c:v>
                </c:pt>
                <c:pt idx="363">
                  <c:v>36.310000000000251</c:v>
                </c:pt>
                <c:pt idx="364">
                  <c:v>36.410000000000252</c:v>
                </c:pt>
                <c:pt idx="365">
                  <c:v>36.510000000000254</c:v>
                </c:pt>
                <c:pt idx="366">
                  <c:v>36.610000000000255</c:v>
                </c:pt>
                <c:pt idx="367">
                  <c:v>36.710000000000257</c:v>
                </c:pt>
                <c:pt idx="368">
                  <c:v>36.810000000000258</c:v>
                </c:pt>
                <c:pt idx="369">
                  <c:v>36.910000000000259</c:v>
                </c:pt>
                <c:pt idx="370">
                  <c:v>37.010000000000261</c:v>
                </c:pt>
                <c:pt idx="371">
                  <c:v>37.110000000000262</c:v>
                </c:pt>
                <c:pt idx="372">
                  <c:v>37.210000000000264</c:v>
                </c:pt>
                <c:pt idx="373">
                  <c:v>37.310000000000265</c:v>
                </c:pt>
                <c:pt idx="374">
                  <c:v>37.410000000000267</c:v>
                </c:pt>
                <c:pt idx="375">
                  <c:v>37.510000000000268</c:v>
                </c:pt>
                <c:pt idx="376">
                  <c:v>37.610000000000269</c:v>
                </c:pt>
                <c:pt idx="377">
                  <c:v>37.710000000000271</c:v>
                </c:pt>
                <c:pt idx="378">
                  <c:v>37.810000000000272</c:v>
                </c:pt>
                <c:pt idx="379">
                  <c:v>37.910000000000274</c:v>
                </c:pt>
                <c:pt idx="380">
                  <c:v>38.010000000000275</c:v>
                </c:pt>
                <c:pt idx="381">
                  <c:v>38.110000000000277</c:v>
                </c:pt>
                <c:pt idx="382">
                  <c:v>38.210000000000278</c:v>
                </c:pt>
                <c:pt idx="383">
                  <c:v>38.310000000000279</c:v>
                </c:pt>
                <c:pt idx="384">
                  <c:v>38.410000000000281</c:v>
                </c:pt>
                <c:pt idx="385">
                  <c:v>38.510000000000282</c:v>
                </c:pt>
                <c:pt idx="386">
                  <c:v>38.610000000000284</c:v>
                </c:pt>
                <c:pt idx="387">
                  <c:v>38.710000000000285</c:v>
                </c:pt>
                <c:pt idx="388">
                  <c:v>38.810000000000286</c:v>
                </c:pt>
                <c:pt idx="389">
                  <c:v>38.910000000000288</c:v>
                </c:pt>
                <c:pt idx="390">
                  <c:v>39.010000000000289</c:v>
                </c:pt>
                <c:pt idx="391">
                  <c:v>39.110000000000291</c:v>
                </c:pt>
                <c:pt idx="392">
                  <c:v>39.210000000000292</c:v>
                </c:pt>
                <c:pt idx="393">
                  <c:v>39.310000000000294</c:v>
                </c:pt>
                <c:pt idx="394">
                  <c:v>39.410000000000295</c:v>
                </c:pt>
                <c:pt idx="395">
                  <c:v>39.510000000000296</c:v>
                </c:pt>
                <c:pt idx="396">
                  <c:v>39.610000000000298</c:v>
                </c:pt>
                <c:pt idx="397">
                  <c:v>39.710000000000299</c:v>
                </c:pt>
                <c:pt idx="398">
                  <c:v>39.810000000000301</c:v>
                </c:pt>
                <c:pt idx="399">
                  <c:v>39.910000000000302</c:v>
                </c:pt>
                <c:pt idx="400">
                  <c:v>40.010000000000304</c:v>
                </c:pt>
                <c:pt idx="401">
                  <c:v>40.110000000000305</c:v>
                </c:pt>
                <c:pt idx="402">
                  <c:v>40.210000000000306</c:v>
                </c:pt>
                <c:pt idx="403">
                  <c:v>40.310000000000308</c:v>
                </c:pt>
                <c:pt idx="404">
                  <c:v>40.410000000000309</c:v>
                </c:pt>
                <c:pt idx="405">
                  <c:v>40.510000000000311</c:v>
                </c:pt>
                <c:pt idx="406">
                  <c:v>40.610000000000312</c:v>
                </c:pt>
                <c:pt idx="407">
                  <c:v>40.710000000000313</c:v>
                </c:pt>
                <c:pt idx="408">
                  <c:v>40.810000000000315</c:v>
                </c:pt>
                <c:pt idx="409">
                  <c:v>40.910000000000316</c:v>
                </c:pt>
                <c:pt idx="410">
                  <c:v>41.010000000000318</c:v>
                </c:pt>
                <c:pt idx="411">
                  <c:v>41.110000000000319</c:v>
                </c:pt>
                <c:pt idx="412">
                  <c:v>41.210000000000321</c:v>
                </c:pt>
                <c:pt idx="413">
                  <c:v>41.310000000000322</c:v>
                </c:pt>
                <c:pt idx="414">
                  <c:v>41.410000000000323</c:v>
                </c:pt>
                <c:pt idx="415">
                  <c:v>41.510000000000325</c:v>
                </c:pt>
                <c:pt idx="416">
                  <c:v>41.610000000000326</c:v>
                </c:pt>
                <c:pt idx="417">
                  <c:v>41.710000000000328</c:v>
                </c:pt>
                <c:pt idx="418">
                  <c:v>41.810000000000329</c:v>
                </c:pt>
                <c:pt idx="419">
                  <c:v>41.910000000000331</c:v>
                </c:pt>
                <c:pt idx="420">
                  <c:v>42.010000000000332</c:v>
                </c:pt>
                <c:pt idx="421">
                  <c:v>42.110000000000333</c:v>
                </c:pt>
                <c:pt idx="422">
                  <c:v>42.210000000000335</c:v>
                </c:pt>
                <c:pt idx="423">
                  <c:v>42.310000000000336</c:v>
                </c:pt>
                <c:pt idx="424">
                  <c:v>42.410000000000338</c:v>
                </c:pt>
                <c:pt idx="425">
                  <c:v>42.510000000000339</c:v>
                </c:pt>
                <c:pt idx="426">
                  <c:v>42.61000000000034</c:v>
                </c:pt>
                <c:pt idx="427">
                  <c:v>42.710000000000342</c:v>
                </c:pt>
                <c:pt idx="428">
                  <c:v>42.810000000000343</c:v>
                </c:pt>
                <c:pt idx="429">
                  <c:v>42.910000000000345</c:v>
                </c:pt>
                <c:pt idx="430">
                  <c:v>43.010000000000346</c:v>
                </c:pt>
                <c:pt idx="431">
                  <c:v>43.110000000000348</c:v>
                </c:pt>
                <c:pt idx="432">
                  <c:v>43.210000000000349</c:v>
                </c:pt>
                <c:pt idx="433">
                  <c:v>43.31000000000035</c:v>
                </c:pt>
                <c:pt idx="434">
                  <c:v>43.410000000000352</c:v>
                </c:pt>
                <c:pt idx="435">
                  <c:v>43.510000000000353</c:v>
                </c:pt>
                <c:pt idx="436">
                  <c:v>43.610000000000355</c:v>
                </c:pt>
                <c:pt idx="437">
                  <c:v>43.710000000000356</c:v>
                </c:pt>
                <c:pt idx="438">
                  <c:v>43.810000000000358</c:v>
                </c:pt>
                <c:pt idx="439">
                  <c:v>43.910000000000359</c:v>
                </c:pt>
                <c:pt idx="440">
                  <c:v>44.01000000000036</c:v>
                </c:pt>
                <c:pt idx="441">
                  <c:v>44.110000000000362</c:v>
                </c:pt>
                <c:pt idx="442">
                  <c:v>44.210000000000363</c:v>
                </c:pt>
                <c:pt idx="443">
                  <c:v>44.310000000000365</c:v>
                </c:pt>
                <c:pt idx="444">
                  <c:v>44.410000000000366</c:v>
                </c:pt>
                <c:pt idx="445">
                  <c:v>44.510000000000367</c:v>
                </c:pt>
                <c:pt idx="446">
                  <c:v>44.610000000000369</c:v>
                </c:pt>
                <c:pt idx="447">
                  <c:v>44.71000000000037</c:v>
                </c:pt>
                <c:pt idx="448">
                  <c:v>44.810000000000372</c:v>
                </c:pt>
                <c:pt idx="449">
                  <c:v>44.910000000000373</c:v>
                </c:pt>
                <c:pt idx="450">
                  <c:v>45.010000000000375</c:v>
                </c:pt>
                <c:pt idx="451">
                  <c:v>45.110000000000376</c:v>
                </c:pt>
                <c:pt idx="452">
                  <c:v>45.210000000000377</c:v>
                </c:pt>
                <c:pt idx="453">
                  <c:v>45.310000000000379</c:v>
                </c:pt>
                <c:pt idx="454">
                  <c:v>45.41000000000038</c:v>
                </c:pt>
                <c:pt idx="455">
                  <c:v>45.510000000000382</c:v>
                </c:pt>
                <c:pt idx="456">
                  <c:v>45.610000000000383</c:v>
                </c:pt>
                <c:pt idx="457">
                  <c:v>45.710000000000385</c:v>
                </c:pt>
                <c:pt idx="458">
                  <c:v>45.810000000000386</c:v>
                </c:pt>
                <c:pt idx="459">
                  <c:v>45.910000000000387</c:v>
                </c:pt>
                <c:pt idx="460">
                  <c:v>46.010000000000389</c:v>
                </c:pt>
                <c:pt idx="461">
                  <c:v>46.11000000000039</c:v>
                </c:pt>
                <c:pt idx="462">
                  <c:v>46.210000000000392</c:v>
                </c:pt>
                <c:pt idx="463">
                  <c:v>46.310000000000393</c:v>
                </c:pt>
                <c:pt idx="464">
                  <c:v>46.410000000000394</c:v>
                </c:pt>
                <c:pt idx="465">
                  <c:v>46.510000000000396</c:v>
                </c:pt>
                <c:pt idx="466">
                  <c:v>46.610000000000397</c:v>
                </c:pt>
                <c:pt idx="467">
                  <c:v>46.710000000000399</c:v>
                </c:pt>
                <c:pt idx="468">
                  <c:v>46.8100000000004</c:v>
                </c:pt>
                <c:pt idx="469">
                  <c:v>46.910000000000402</c:v>
                </c:pt>
                <c:pt idx="470">
                  <c:v>47.010000000000403</c:v>
                </c:pt>
                <c:pt idx="471">
                  <c:v>47.110000000000404</c:v>
                </c:pt>
                <c:pt idx="472">
                  <c:v>47.210000000000406</c:v>
                </c:pt>
                <c:pt idx="473">
                  <c:v>47.310000000000407</c:v>
                </c:pt>
                <c:pt idx="474">
                  <c:v>47.410000000000409</c:v>
                </c:pt>
                <c:pt idx="475">
                  <c:v>47.51000000000041</c:v>
                </c:pt>
                <c:pt idx="476">
                  <c:v>47.610000000000412</c:v>
                </c:pt>
                <c:pt idx="477">
                  <c:v>47.710000000000413</c:v>
                </c:pt>
                <c:pt idx="478">
                  <c:v>47.810000000000414</c:v>
                </c:pt>
                <c:pt idx="479">
                  <c:v>47.910000000000416</c:v>
                </c:pt>
                <c:pt idx="480">
                  <c:v>48.010000000000417</c:v>
                </c:pt>
                <c:pt idx="481">
                  <c:v>48.110000000000419</c:v>
                </c:pt>
                <c:pt idx="482">
                  <c:v>48.21000000000042</c:v>
                </c:pt>
                <c:pt idx="483">
                  <c:v>48.310000000000421</c:v>
                </c:pt>
                <c:pt idx="484">
                  <c:v>48.410000000000423</c:v>
                </c:pt>
                <c:pt idx="485">
                  <c:v>48.510000000000424</c:v>
                </c:pt>
                <c:pt idx="486">
                  <c:v>48.610000000000426</c:v>
                </c:pt>
                <c:pt idx="487">
                  <c:v>48.710000000000427</c:v>
                </c:pt>
                <c:pt idx="488">
                  <c:v>48.810000000000429</c:v>
                </c:pt>
                <c:pt idx="489">
                  <c:v>48.91000000000043</c:v>
                </c:pt>
                <c:pt idx="490">
                  <c:v>49.010000000000431</c:v>
                </c:pt>
                <c:pt idx="491">
                  <c:v>49.110000000000433</c:v>
                </c:pt>
                <c:pt idx="492">
                  <c:v>49.210000000000434</c:v>
                </c:pt>
                <c:pt idx="493">
                  <c:v>49.310000000000436</c:v>
                </c:pt>
                <c:pt idx="494">
                  <c:v>49.410000000000437</c:v>
                </c:pt>
                <c:pt idx="495">
                  <c:v>49.510000000000439</c:v>
                </c:pt>
                <c:pt idx="496">
                  <c:v>49.61000000000044</c:v>
                </c:pt>
                <c:pt idx="497">
                  <c:v>49.710000000000441</c:v>
                </c:pt>
                <c:pt idx="498">
                  <c:v>49.810000000000443</c:v>
                </c:pt>
                <c:pt idx="499">
                  <c:v>49.910000000000444</c:v>
                </c:pt>
                <c:pt idx="500">
                  <c:v>50.010000000000446</c:v>
                </c:pt>
                <c:pt idx="501">
                  <c:v>50.110000000000447</c:v>
                </c:pt>
                <c:pt idx="502">
                  <c:v>50.210000000000448</c:v>
                </c:pt>
                <c:pt idx="503">
                  <c:v>50.31000000000045</c:v>
                </c:pt>
                <c:pt idx="504">
                  <c:v>50.410000000000451</c:v>
                </c:pt>
                <c:pt idx="505">
                  <c:v>50.510000000000453</c:v>
                </c:pt>
                <c:pt idx="506">
                  <c:v>50.610000000000454</c:v>
                </c:pt>
                <c:pt idx="507">
                  <c:v>50.710000000000456</c:v>
                </c:pt>
                <c:pt idx="508">
                  <c:v>50.810000000000457</c:v>
                </c:pt>
                <c:pt idx="509">
                  <c:v>50.910000000000458</c:v>
                </c:pt>
                <c:pt idx="510">
                  <c:v>51.01000000000046</c:v>
                </c:pt>
                <c:pt idx="511">
                  <c:v>51.110000000000461</c:v>
                </c:pt>
                <c:pt idx="512">
                  <c:v>51.210000000000463</c:v>
                </c:pt>
                <c:pt idx="513">
                  <c:v>51.310000000000464</c:v>
                </c:pt>
                <c:pt idx="514">
                  <c:v>51.410000000000466</c:v>
                </c:pt>
                <c:pt idx="515">
                  <c:v>51.510000000000467</c:v>
                </c:pt>
                <c:pt idx="516">
                  <c:v>51.610000000000468</c:v>
                </c:pt>
                <c:pt idx="517">
                  <c:v>51.71000000000047</c:v>
                </c:pt>
                <c:pt idx="518">
                  <c:v>51.810000000000471</c:v>
                </c:pt>
                <c:pt idx="519">
                  <c:v>51.910000000000473</c:v>
                </c:pt>
                <c:pt idx="520">
                  <c:v>52.010000000000474</c:v>
                </c:pt>
                <c:pt idx="521">
                  <c:v>52.110000000000475</c:v>
                </c:pt>
                <c:pt idx="522">
                  <c:v>52.210000000000477</c:v>
                </c:pt>
                <c:pt idx="523">
                  <c:v>52.310000000000478</c:v>
                </c:pt>
                <c:pt idx="524">
                  <c:v>52.41000000000048</c:v>
                </c:pt>
                <c:pt idx="525">
                  <c:v>52.510000000000481</c:v>
                </c:pt>
                <c:pt idx="526">
                  <c:v>52.610000000000483</c:v>
                </c:pt>
                <c:pt idx="527">
                  <c:v>52.710000000000484</c:v>
                </c:pt>
                <c:pt idx="528">
                  <c:v>52.810000000000485</c:v>
                </c:pt>
                <c:pt idx="529">
                  <c:v>52.910000000000487</c:v>
                </c:pt>
                <c:pt idx="530">
                  <c:v>53.010000000000488</c:v>
                </c:pt>
                <c:pt idx="531">
                  <c:v>53.11000000000049</c:v>
                </c:pt>
                <c:pt idx="532">
                  <c:v>53.210000000000491</c:v>
                </c:pt>
                <c:pt idx="533">
                  <c:v>53.310000000000493</c:v>
                </c:pt>
                <c:pt idx="534">
                  <c:v>53.410000000000494</c:v>
                </c:pt>
                <c:pt idx="535">
                  <c:v>53.510000000000495</c:v>
                </c:pt>
                <c:pt idx="536">
                  <c:v>53.610000000000497</c:v>
                </c:pt>
                <c:pt idx="537">
                  <c:v>53.710000000000498</c:v>
                </c:pt>
                <c:pt idx="538">
                  <c:v>53.8100000000005</c:v>
                </c:pt>
                <c:pt idx="539">
                  <c:v>53.910000000000501</c:v>
                </c:pt>
                <c:pt idx="540">
                  <c:v>54.010000000000502</c:v>
                </c:pt>
                <c:pt idx="541">
                  <c:v>54.110000000000504</c:v>
                </c:pt>
                <c:pt idx="542">
                  <c:v>54.210000000000505</c:v>
                </c:pt>
                <c:pt idx="543">
                  <c:v>54.310000000000507</c:v>
                </c:pt>
                <c:pt idx="544">
                  <c:v>54.410000000000508</c:v>
                </c:pt>
                <c:pt idx="545">
                  <c:v>54.51000000000051</c:v>
                </c:pt>
                <c:pt idx="546">
                  <c:v>54.610000000000511</c:v>
                </c:pt>
                <c:pt idx="547">
                  <c:v>54.710000000000512</c:v>
                </c:pt>
                <c:pt idx="548">
                  <c:v>54.810000000000514</c:v>
                </c:pt>
                <c:pt idx="549">
                  <c:v>54.910000000000515</c:v>
                </c:pt>
                <c:pt idx="550">
                  <c:v>55.010000000000517</c:v>
                </c:pt>
                <c:pt idx="551">
                  <c:v>55.110000000000518</c:v>
                </c:pt>
                <c:pt idx="552">
                  <c:v>55.21000000000052</c:v>
                </c:pt>
                <c:pt idx="553">
                  <c:v>55.310000000000521</c:v>
                </c:pt>
                <c:pt idx="554">
                  <c:v>55.410000000000522</c:v>
                </c:pt>
                <c:pt idx="555">
                  <c:v>55.510000000000524</c:v>
                </c:pt>
                <c:pt idx="556">
                  <c:v>55.610000000000525</c:v>
                </c:pt>
                <c:pt idx="557">
                  <c:v>55.710000000000527</c:v>
                </c:pt>
                <c:pt idx="558">
                  <c:v>55.810000000000528</c:v>
                </c:pt>
                <c:pt idx="559">
                  <c:v>55.910000000000529</c:v>
                </c:pt>
                <c:pt idx="560">
                  <c:v>56.010000000000531</c:v>
                </c:pt>
                <c:pt idx="561">
                  <c:v>56.110000000000532</c:v>
                </c:pt>
                <c:pt idx="562">
                  <c:v>56.210000000000534</c:v>
                </c:pt>
                <c:pt idx="563">
                  <c:v>56.310000000000535</c:v>
                </c:pt>
                <c:pt idx="564">
                  <c:v>56.410000000000537</c:v>
                </c:pt>
                <c:pt idx="565">
                  <c:v>56.510000000000538</c:v>
                </c:pt>
                <c:pt idx="566">
                  <c:v>56.610000000000539</c:v>
                </c:pt>
                <c:pt idx="567">
                  <c:v>56.710000000000541</c:v>
                </c:pt>
                <c:pt idx="568">
                  <c:v>56.810000000000542</c:v>
                </c:pt>
                <c:pt idx="569">
                  <c:v>56.910000000000544</c:v>
                </c:pt>
                <c:pt idx="570">
                  <c:v>57.010000000000545</c:v>
                </c:pt>
                <c:pt idx="571">
                  <c:v>57.110000000000547</c:v>
                </c:pt>
                <c:pt idx="572">
                  <c:v>57.210000000000548</c:v>
                </c:pt>
                <c:pt idx="573">
                  <c:v>57.310000000000549</c:v>
                </c:pt>
                <c:pt idx="574">
                  <c:v>57.410000000000551</c:v>
                </c:pt>
                <c:pt idx="575">
                  <c:v>57.510000000000552</c:v>
                </c:pt>
                <c:pt idx="576">
                  <c:v>57.610000000000554</c:v>
                </c:pt>
                <c:pt idx="577">
                  <c:v>57.710000000000555</c:v>
                </c:pt>
                <c:pt idx="578">
                  <c:v>57.810000000000556</c:v>
                </c:pt>
                <c:pt idx="579">
                  <c:v>57.910000000000558</c:v>
                </c:pt>
                <c:pt idx="580">
                  <c:v>58.010000000000559</c:v>
                </c:pt>
                <c:pt idx="581">
                  <c:v>58.110000000000561</c:v>
                </c:pt>
                <c:pt idx="582">
                  <c:v>58.210000000000562</c:v>
                </c:pt>
                <c:pt idx="583">
                  <c:v>58.310000000000564</c:v>
                </c:pt>
                <c:pt idx="584">
                  <c:v>58.410000000000565</c:v>
                </c:pt>
                <c:pt idx="585">
                  <c:v>58.510000000000566</c:v>
                </c:pt>
                <c:pt idx="586">
                  <c:v>58.610000000000568</c:v>
                </c:pt>
                <c:pt idx="587">
                  <c:v>58.710000000000569</c:v>
                </c:pt>
                <c:pt idx="588">
                  <c:v>58.810000000000571</c:v>
                </c:pt>
                <c:pt idx="589">
                  <c:v>58.910000000000572</c:v>
                </c:pt>
                <c:pt idx="590">
                  <c:v>59.010000000000574</c:v>
                </c:pt>
                <c:pt idx="591">
                  <c:v>59.110000000000575</c:v>
                </c:pt>
                <c:pt idx="592">
                  <c:v>59.210000000000576</c:v>
                </c:pt>
                <c:pt idx="593">
                  <c:v>59.310000000000578</c:v>
                </c:pt>
                <c:pt idx="594">
                  <c:v>59.410000000000579</c:v>
                </c:pt>
                <c:pt idx="595">
                  <c:v>59.510000000000581</c:v>
                </c:pt>
                <c:pt idx="596">
                  <c:v>59.610000000000582</c:v>
                </c:pt>
                <c:pt idx="597">
                  <c:v>59.710000000000583</c:v>
                </c:pt>
                <c:pt idx="598">
                  <c:v>59.810000000000585</c:v>
                </c:pt>
                <c:pt idx="599">
                  <c:v>59.910000000000586</c:v>
                </c:pt>
                <c:pt idx="600">
                  <c:v>60.010000000000588</c:v>
                </c:pt>
                <c:pt idx="601">
                  <c:v>60.110000000000589</c:v>
                </c:pt>
                <c:pt idx="602">
                  <c:v>60.210000000000591</c:v>
                </c:pt>
                <c:pt idx="603">
                  <c:v>60.310000000000592</c:v>
                </c:pt>
                <c:pt idx="604">
                  <c:v>60.410000000000593</c:v>
                </c:pt>
                <c:pt idx="605">
                  <c:v>60.510000000000595</c:v>
                </c:pt>
                <c:pt idx="606">
                  <c:v>60.610000000000596</c:v>
                </c:pt>
                <c:pt idx="607">
                  <c:v>60.710000000000598</c:v>
                </c:pt>
                <c:pt idx="608">
                  <c:v>60.810000000000599</c:v>
                </c:pt>
                <c:pt idx="609">
                  <c:v>60.910000000000601</c:v>
                </c:pt>
                <c:pt idx="610">
                  <c:v>61.010000000000602</c:v>
                </c:pt>
                <c:pt idx="611">
                  <c:v>61.110000000000603</c:v>
                </c:pt>
                <c:pt idx="612">
                  <c:v>61.210000000000605</c:v>
                </c:pt>
                <c:pt idx="613">
                  <c:v>61.310000000000606</c:v>
                </c:pt>
                <c:pt idx="614">
                  <c:v>61.410000000000608</c:v>
                </c:pt>
                <c:pt idx="615">
                  <c:v>61.510000000000609</c:v>
                </c:pt>
                <c:pt idx="616">
                  <c:v>61.61000000000061</c:v>
                </c:pt>
                <c:pt idx="617">
                  <c:v>61.710000000000612</c:v>
                </c:pt>
                <c:pt idx="618">
                  <c:v>61.810000000000613</c:v>
                </c:pt>
                <c:pt idx="619">
                  <c:v>61.910000000000615</c:v>
                </c:pt>
                <c:pt idx="620">
                  <c:v>62.010000000000616</c:v>
                </c:pt>
                <c:pt idx="621">
                  <c:v>62.110000000000618</c:v>
                </c:pt>
                <c:pt idx="622">
                  <c:v>62.210000000000619</c:v>
                </c:pt>
                <c:pt idx="623">
                  <c:v>62.31000000000062</c:v>
                </c:pt>
                <c:pt idx="624">
                  <c:v>62.410000000000622</c:v>
                </c:pt>
                <c:pt idx="625">
                  <c:v>62.510000000000623</c:v>
                </c:pt>
                <c:pt idx="626">
                  <c:v>62.610000000000625</c:v>
                </c:pt>
                <c:pt idx="627">
                  <c:v>62.710000000000626</c:v>
                </c:pt>
                <c:pt idx="628">
                  <c:v>62.810000000000628</c:v>
                </c:pt>
                <c:pt idx="629">
                  <c:v>62.910000000000629</c:v>
                </c:pt>
                <c:pt idx="630">
                  <c:v>63.01000000000063</c:v>
                </c:pt>
                <c:pt idx="631">
                  <c:v>63.110000000000632</c:v>
                </c:pt>
                <c:pt idx="632">
                  <c:v>63.210000000000633</c:v>
                </c:pt>
                <c:pt idx="633">
                  <c:v>63.310000000000635</c:v>
                </c:pt>
                <c:pt idx="634">
                  <c:v>63.410000000000636</c:v>
                </c:pt>
                <c:pt idx="635">
                  <c:v>63.510000000000637</c:v>
                </c:pt>
                <c:pt idx="636">
                  <c:v>63.610000000000639</c:v>
                </c:pt>
                <c:pt idx="637">
                  <c:v>63.71000000000064</c:v>
                </c:pt>
                <c:pt idx="638">
                  <c:v>63.810000000000642</c:v>
                </c:pt>
                <c:pt idx="639">
                  <c:v>63.910000000000643</c:v>
                </c:pt>
                <c:pt idx="640">
                  <c:v>64.010000000000645</c:v>
                </c:pt>
                <c:pt idx="641">
                  <c:v>64.110000000000639</c:v>
                </c:pt>
                <c:pt idx="642">
                  <c:v>64.210000000000633</c:v>
                </c:pt>
                <c:pt idx="643">
                  <c:v>64.310000000000628</c:v>
                </c:pt>
                <c:pt idx="644">
                  <c:v>64.410000000000622</c:v>
                </c:pt>
                <c:pt idx="645">
                  <c:v>64.510000000000616</c:v>
                </c:pt>
                <c:pt idx="646">
                  <c:v>64.61000000000061</c:v>
                </c:pt>
                <c:pt idx="647">
                  <c:v>64.710000000000605</c:v>
                </c:pt>
                <c:pt idx="648">
                  <c:v>64.810000000000599</c:v>
                </c:pt>
                <c:pt idx="649">
                  <c:v>64.910000000000593</c:v>
                </c:pt>
                <c:pt idx="650">
                  <c:v>65.010000000000588</c:v>
                </c:pt>
                <c:pt idx="651">
                  <c:v>65.110000000000582</c:v>
                </c:pt>
                <c:pt idx="652">
                  <c:v>65.210000000000576</c:v>
                </c:pt>
                <c:pt idx="653">
                  <c:v>65.310000000000571</c:v>
                </c:pt>
                <c:pt idx="654">
                  <c:v>65.410000000000565</c:v>
                </c:pt>
                <c:pt idx="655">
                  <c:v>65.510000000000559</c:v>
                </c:pt>
                <c:pt idx="656">
                  <c:v>65.610000000000554</c:v>
                </c:pt>
                <c:pt idx="657">
                  <c:v>65.710000000000548</c:v>
                </c:pt>
                <c:pt idx="658">
                  <c:v>65.810000000000542</c:v>
                </c:pt>
                <c:pt idx="659">
                  <c:v>65.910000000000537</c:v>
                </c:pt>
                <c:pt idx="660">
                  <c:v>66.010000000000531</c:v>
                </c:pt>
                <c:pt idx="661">
                  <c:v>66.110000000000525</c:v>
                </c:pt>
                <c:pt idx="662">
                  <c:v>66.21000000000052</c:v>
                </c:pt>
                <c:pt idx="663">
                  <c:v>66.310000000000514</c:v>
                </c:pt>
                <c:pt idx="664">
                  <c:v>66.410000000000508</c:v>
                </c:pt>
                <c:pt idx="665">
                  <c:v>66.510000000000502</c:v>
                </c:pt>
                <c:pt idx="666">
                  <c:v>66.610000000000497</c:v>
                </c:pt>
                <c:pt idx="667">
                  <c:v>66.710000000000491</c:v>
                </c:pt>
                <c:pt idx="668">
                  <c:v>66.810000000000485</c:v>
                </c:pt>
                <c:pt idx="669">
                  <c:v>66.91000000000048</c:v>
                </c:pt>
                <c:pt idx="670">
                  <c:v>67.010000000000474</c:v>
                </c:pt>
                <c:pt idx="671">
                  <c:v>67.110000000000468</c:v>
                </c:pt>
                <c:pt idx="672">
                  <c:v>67.210000000000463</c:v>
                </c:pt>
                <c:pt idx="673">
                  <c:v>67.310000000000457</c:v>
                </c:pt>
                <c:pt idx="674">
                  <c:v>67.410000000000451</c:v>
                </c:pt>
                <c:pt idx="675">
                  <c:v>67.510000000000446</c:v>
                </c:pt>
                <c:pt idx="676">
                  <c:v>67.61000000000044</c:v>
                </c:pt>
                <c:pt idx="677">
                  <c:v>67.710000000000434</c:v>
                </c:pt>
                <c:pt idx="678">
                  <c:v>67.810000000000429</c:v>
                </c:pt>
                <c:pt idx="679">
                  <c:v>67.910000000000423</c:v>
                </c:pt>
                <c:pt idx="680">
                  <c:v>68.010000000000417</c:v>
                </c:pt>
                <c:pt idx="681">
                  <c:v>68.110000000000412</c:v>
                </c:pt>
                <c:pt idx="682">
                  <c:v>68.210000000000406</c:v>
                </c:pt>
                <c:pt idx="683">
                  <c:v>68.3100000000004</c:v>
                </c:pt>
                <c:pt idx="684">
                  <c:v>68.410000000000394</c:v>
                </c:pt>
                <c:pt idx="685">
                  <c:v>68.510000000000389</c:v>
                </c:pt>
                <c:pt idx="686">
                  <c:v>68.610000000000383</c:v>
                </c:pt>
                <c:pt idx="687">
                  <c:v>68.710000000000377</c:v>
                </c:pt>
                <c:pt idx="688">
                  <c:v>68.810000000000372</c:v>
                </c:pt>
                <c:pt idx="689">
                  <c:v>68.910000000000366</c:v>
                </c:pt>
                <c:pt idx="690">
                  <c:v>69.01000000000036</c:v>
                </c:pt>
                <c:pt idx="691">
                  <c:v>69.110000000000355</c:v>
                </c:pt>
                <c:pt idx="692">
                  <c:v>69.210000000000349</c:v>
                </c:pt>
                <c:pt idx="693">
                  <c:v>69.310000000000343</c:v>
                </c:pt>
                <c:pt idx="694">
                  <c:v>69.410000000000338</c:v>
                </c:pt>
                <c:pt idx="695">
                  <c:v>69.510000000000332</c:v>
                </c:pt>
                <c:pt idx="696">
                  <c:v>69.610000000000326</c:v>
                </c:pt>
                <c:pt idx="697">
                  <c:v>69.710000000000321</c:v>
                </c:pt>
                <c:pt idx="698">
                  <c:v>69.810000000000315</c:v>
                </c:pt>
                <c:pt idx="699">
                  <c:v>69.910000000000309</c:v>
                </c:pt>
                <c:pt idx="700">
                  <c:v>70.010000000000304</c:v>
                </c:pt>
                <c:pt idx="701">
                  <c:v>70.110000000000298</c:v>
                </c:pt>
                <c:pt idx="702">
                  <c:v>70.210000000000292</c:v>
                </c:pt>
                <c:pt idx="703">
                  <c:v>70.310000000000286</c:v>
                </c:pt>
                <c:pt idx="704">
                  <c:v>70.410000000000281</c:v>
                </c:pt>
                <c:pt idx="705">
                  <c:v>70.510000000000275</c:v>
                </c:pt>
                <c:pt idx="706">
                  <c:v>70.610000000000269</c:v>
                </c:pt>
                <c:pt idx="707">
                  <c:v>70.710000000000264</c:v>
                </c:pt>
                <c:pt idx="708">
                  <c:v>70.810000000000258</c:v>
                </c:pt>
                <c:pt idx="709">
                  <c:v>70.910000000000252</c:v>
                </c:pt>
                <c:pt idx="710">
                  <c:v>71.010000000000247</c:v>
                </c:pt>
                <c:pt idx="711">
                  <c:v>71.110000000000241</c:v>
                </c:pt>
                <c:pt idx="712">
                  <c:v>71.210000000000235</c:v>
                </c:pt>
                <c:pt idx="713">
                  <c:v>71.31000000000023</c:v>
                </c:pt>
                <c:pt idx="714">
                  <c:v>71.410000000000224</c:v>
                </c:pt>
                <c:pt idx="715">
                  <c:v>71.510000000000218</c:v>
                </c:pt>
                <c:pt idx="716">
                  <c:v>71.610000000000213</c:v>
                </c:pt>
                <c:pt idx="717">
                  <c:v>71.710000000000207</c:v>
                </c:pt>
                <c:pt idx="718">
                  <c:v>71.810000000000201</c:v>
                </c:pt>
                <c:pt idx="719">
                  <c:v>71.910000000000196</c:v>
                </c:pt>
                <c:pt idx="720">
                  <c:v>72.01000000000019</c:v>
                </c:pt>
                <c:pt idx="721">
                  <c:v>72.110000000000184</c:v>
                </c:pt>
                <c:pt idx="722">
                  <c:v>72.210000000000178</c:v>
                </c:pt>
                <c:pt idx="723">
                  <c:v>72.310000000000173</c:v>
                </c:pt>
                <c:pt idx="724">
                  <c:v>72.410000000000167</c:v>
                </c:pt>
                <c:pt idx="725">
                  <c:v>72.510000000000161</c:v>
                </c:pt>
                <c:pt idx="726">
                  <c:v>72.610000000000156</c:v>
                </c:pt>
                <c:pt idx="727">
                  <c:v>72.71000000000015</c:v>
                </c:pt>
                <c:pt idx="728">
                  <c:v>72.810000000000144</c:v>
                </c:pt>
                <c:pt idx="729">
                  <c:v>72.910000000000139</c:v>
                </c:pt>
                <c:pt idx="730">
                  <c:v>73.010000000000133</c:v>
                </c:pt>
                <c:pt idx="731">
                  <c:v>73.110000000000127</c:v>
                </c:pt>
                <c:pt idx="732">
                  <c:v>73.210000000000122</c:v>
                </c:pt>
                <c:pt idx="733">
                  <c:v>73.310000000000116</c:v>
                </c:pt>
                <c:pt idx="734">
                  <c:v>73.41000000000011</c:v>
                </c:pt>
                <c:pt idx="735">
                  <c:v>73.510000000000105</c:v>
                </c:pt>
                <c:pt idx="736">
                  <c:v>73.610000000000099</c:v>
                </c:pt>
                <c:pt idx="737">
                  <c:v>73.710000000000093</c:v>
                </c:pt>
                <c:pt idx="738">
                  <c:v>73.810000000000088</c:v>
                </c:pt>
                <c:pt idx="739">
                  <c:v>73.910000000000082</c:v>
                </c:pt>
                <c:pt idx="740">
                  <c:v>74.010000000000076</c:v>
                </c:pt>
                <c:pt idx="741">
                  <c:v>74.11000000000007</c:v>
                </c:pt>
                <c:pt idx="742">
                  <c:v>74.210000000000065</c:v>
                </c:pt>
                <c:pt idx="743">
                  <c:v>74.310000000000059</c:v>
                </c:pt>
                <c:pt idx="744">
                  <c:v>74.410000000000053</c:v>
                </c:pt>
                <c:pt idx="745">
                  <c:v>74.510000000000048</c:v>
                </c:pt>
                <c:pt idx="746">
                  <c:v>74.610000000000042</c:v>
                </c:pt>
                <c:pt idx="747">
                  <c:v>74.710000000000036</c:v>
                </c:pt>
                <c:pt idx="748">
                  <c:v>74.810000000000031</c:v>
                </c:pt>
                <c:pt idx="749">
                  <c:v>74.910000000000025</c:v>
                </c:pt>
                <c:pt idx="750">
                  <c:v>75.010000000000019</c:v>
                </c:pt>
                <c:pt idx="751">
                  <c:v>75.110000000000014</c:v>
                </c:pt>
                <c:pt idx="752">
                  <c:v>75.210000000000008</c:v>
                </c:pt>
                <c:pt idx="753">
                  <c:v>75.31</c:v>
                </c:pt>
                <c:pt idx="754">
                  <c:v>75.41</c:v>
                </c:pt>
                <c:pt idx="755">
                  <c:v>75.509999999999991</c:v>
                </c:pt>
                <c:pt idx="756">
                  <c:v>75.609999999999985</c:v>
                </c:pt>
                <c:pt idx="757">
                  <c:v>75.70999999999998</c:v>
                </c:pt>
                <c:pt idx="758">
                  <c:v>75.809999999999974</c:v>
                </c:pt>
                <c:pt idx="759">
                  <c:v>75.909999999999968</c:v>
                </c:pt>
                <c:pt idx="760">
                  <c:v>76.009999999999962</c:v>
                </c:pt>
                <c:pt idx="761">
                  <c:v>76.109999999999957</c:v>
                </c:pt>
                <c:pt idx="762">
                  <c:v>76.209999999999951</c:v>
                </c:pt>
                <c:pt idx="763">
                  <c:v>76.309999999999945</c:v>
                </c:pt>
                <c:pt idx="764">
                  <c:v>76.40999999999994</c:v>
                </c:pt>
                <c:pt idx="765">
                  <c:v>76.509999999999934</c:v>
                </c:pt>
                <c:pt idx="766">
                  <c:v>76.609999999999928</c:v>
                </c:pt>
                <c:pt idx="767">
                  <c:v>76.709999999999923</c:v>
                </c:pt>
                <c:pt idx="768">
                  <c:v>76.809999999999917</c:v>
                </c:pt>
                <c:pt idx="769">
                  <c:v>76.909999999999911</c:v>
                </c:pt>
                <c:pt idx="770">
                  <c:v>77.009999999999906</c:v>
                </c:pt>
                <c:pt idx="771">
                  <c:v>77.1099999999999</c:v>
                </c:pt>
                <c:pt idx="772">
                  <c:v>77.209999999999894</c:v>
                </c:pt>
                <c:pt idx="773">
                  <c:v>77.309999999999889</c:v>
                </c:pt>
                <c:pt idx="774">
                  <c:v>77.409999999999883</c:v>
                </c:pt>
                <c:pt idx="775">
                  <c:v>77.509999999999877</c:v>
                </c:pt>
                <c:pt idx="776">
                  <c:v>77.609999999999872</c:v>
                </c:pt>
                <c:pt idx="777">
                  <c:v>77.709999999999866</c:v>
                </c:pt>
                <c:pt idx="778">
                  <c:v>77.80999999999986</c:v>
                </c:pt>
                <c:pt idx="779">
                  <c:v>77.909999999999854</c:v>
                </c:pt>
                <c:pt idx="780">
                  <c:v>78.009999999999849</c:v>
                </c:pt>
                <c:pt idx="781">
                  <c:v>78.109999999999843</c:v>
                </c:pt>
                <c:pt idx="782">
                  <c:v>78.209999999999837</c:v>
                </c:pt>
                <c:pt idx="783">
                  <c:v>78.309999999999832</c:v>
                </c:pt>
                <c:pt idx="784">
                  <c:v>78.409999999999826</c:v>
                </c:pt>
                <c:pt idx="785">
                  <c:v>78.50999999999982</c:v>
                </c:pt>
                <c:pt idx="786">
                  <c:v>78.609999999999815</c:v>
                </c:pt>
                <c:pt idx="787">
                  <c:v>78.709999999999809</c:v>
                </c:pt>
                <c:pt idx="788">
                  <c:v>78.809999999999803</c:v>
                </c:pt>
                <c:pt idx="789">
                  <c:v>78.909999999999798</c:v>
                </c:pt>
                <c:pt idx="790">
                  <c:v>79.009999999999792</c:v>
                </c:pt>
                <c:pt idx="791">
                  <c:v>79.109999999999786</c:v>
                </c:pt>
                <c:pt idx="792">
                  <c:v>79.209999999999781</c:v>
                </c:pt>
                <c:pt idx="793">
                  <c:v>79.309999999999775</c:v>
                </c:pt>
                <c:pt idx="794">
                  <c:v>79.409999999999769</c:v>
                </c:pt>
                <c:pt idx="795">
                  <c:v>79.509999999999764</c:v>
                </c:pt>
                <c:pt idx="796">
                  <c:v>79.609999999999758</c:v>
                </c:pt>
                <c:pt idx="797">
                  <c:v>79.709999999999752</c:v>
                </c:pt>
                <c:pt idx="798">
                  <c:v>79.809999999999746</c:v>
                </c:pt>
                <c:pt idx="799">
                  <c:v>79.909999999999741</c:v>
                </c:pt>
                <c:pt idx="800">
                  <c:v>80.009999999999735</c:v>
                </c:pt>
                <c:pt idx="801">
                  <c:v>80.109999999999729</c:v>
                </c:pt>
                <c:pt idx="802">
                  <c:v>80.209999999999724</c:v>
                </c:pt>
                <c:pt idx="803">
                  <c:v>80.309999999999718</c:v>
                </c:pt>
                <c:pt idx="804">
                  <c:v>80.409999999999712</c:v>
                </c:pt>
                <c:pt idx="805">
                  <c:v>80.509999999999707</c:v>
                </c:pt>
                <c:pt idx="806">
                  <c:v>80.609999999999701</c:v>
                </c:pt>
                <c:pt idx="807">
                  <c:v>80.709999999999695</c:v>
                </c:pt>
                <c:pt idx="808">
                  <c:v>80.80999999999969</c:v>
                </c:pt>
                <c:pt idx="809">
                  <c:v>80.909999999999684</c:v>
                </c:pt>
                <c:pt idx="810">
                  <c:v>81.009999999999678</c:v>
                </c:pt>
                <c:pt idx="811">
                  <c:v>81.109999999999673</c:v>
                </c:pt>
                <c:pt idx="812">
                  <c:v>81.209999999999667</c:v>
                </c:pt>
                <c:pt idx="813">
                  <c:v>81.309999999999661</c:v>
                </c:pt>
                <c:pt idx="814">
                  <c:v>81.409999999999656</c:v>
                </c:pt>
                <c:pt idx="815">
                  <c:v>81.50999999999965</c:v>
                </c:pt>
                <c:pt idx="816">
                  <c:v>81.609999999999644</c:v>
                </c:pt>
                <c:pt idx="817">
                  <c:v>81.709999999999638</c:v>
                </c:pt>
                <c:pt idx="818">
                  <c:v>81.809999999999633</c:v>
                </c:pt>
                <c:pt idx="819">
                  <c:v>81.909999999999627</c:v>
                </c:pt>
                <c:pt idx="820">
                  <c:v>82.009999999999621</c:v>
                </c:pt>
                <c:pt idx="821">
                  <c:v>82.109999999999616</c:v>
                </c:pt>
                <c:pt idx="822">
                  <c:v>82.20999999999961</c:v>
                </c:pt>
                <c:pt idx="823">
                  <c:v>82.309999999999604</c:v>
                </c:pt>
                <c:pt idx="824">
                  <c:v>82.409999999999599</c:v>
                </c:pt>
                <c:pt idx="825">
                  <c:v>82.509999999999593</c:v>
                </c:pt>
                <c:pt idx="826">
                  <c:v>82.609999999999587</c:v>
                </c:pt>
                <c:pt idx="827">
                  <c:v>82.709999999999582</c:v>
                </c:pt>
                <c:pt idx="828">
                  <c:v>82.809999999999576</c:v>
                </c:pt>
                <c:pt idx="829">
                  <c:v>82.90999999999957</c:v>
                </c:pt>
                <c:pt idx="830">
                  <c:v>83.009999999999565</c:v>
                </c:pt>
                <c:pt idx="831">
                  <c:v>83.109999999999559</c:v>
                </c:pt>
                <c:pt idx="832">
                  <c:v>83.209999999999553</c:v>
                </c:pt>
                <c:pt idx="833">
                  <c:v>83.309999999999548</c:v>
                </c:pt>
                <c:pt idx="834">
                  <c:v>83.409999999999542</c:v>
                </c:pt>
                <c:pt idx="835">
                  <c:v>83.509999999999536</c:v>
                </c:pt>
                <c:pt idx="836">
                  <c:v>83.60999999999953</c:v>
                </c:pt>
                <c:pt idx="837">
                  <c:v>83.709999999999525</c:v>
                </c:pt>
                <c:pt idx="838">
                  <c:v>83.809999999999519</c:v>
                </c:pt>
                <c:pt idx="839">
                  <c:v>83.909999999999513</c:v>
                </c:pt>
                <c:pt idx="840">
                  <c:v>84.009999999999508</c:v>
                </c:pt>
                <c:pt idx="841">
                  <c:v>84.109999999999502</c:v>
                </c:pt>
                <c:pt idx="842">
                  <c:v>84.209999999999496</c:v>
                </c:pt>
                <c:pt idx="843">
                  <c:v>84.309999999999491</c:v>
                </c:pt>
                <c:pt idx="844">
                  <c:v>84.409999999999485</c:v>
                </c:pt>
                <c:pt idx="845">
                  <c:v>84.509999999999479</c:v>
                </c:pt>
                <c:pt idx="846">
                  <c:v>84.609999999999474</c:v>
                </c:pt>
                <c:pt idx="847">
                  <c:v>84.709999999999468</c:v>
                </c:pt>
                <c:pt idx="848">
                  <c:v>84.809999999999462</c:v>
                </c:pt>
                <c:pt idx="849">
                  <c:v>84.909999999999457</c:v>
                </c:pt>
                <c:pt idx="850">
                  <c:v>85.009999999999451</c:v>
                </c:pt>
                <c:pt idx="851">
                  <c:v>85.109999999999445</c:v>
                </c:pt>
                <c:pt idx="852">
                  <c:v>85.20999999999944</c:v>
                </c:pt>
                <c:pt idx="853">
                  <c:v>85.309999999999434</c:v>
                </c:pt>
                <c:pt idx="854">
                  <c:v>85.409999999999428</c:v>
                </c:pt>
                <c:pt idx="855">
                  <c:v>85.509999999999422</c:v>
                </c:pt>
                <c:pt idx="856">
                  <c:v>85.609999999999417</c:v>
                </c:pt>
                <c:pt idx="857">
                  <c:v>85.709999999999411</c:v>
                </c:pt>
                <c:pt idx="858">
                  <c:v>85.809999999999405</c:v>
                </c:pt>
                <c:pt idx="859">
                  <c:v>85.9099999999994</c:v>
                </c:pt>
                <c:pt idx="860">
                  <c:v>86.009999999999394</c:v>
                </c:pt>
                <c:pt idx="861">
                  <c:v>86.109999999999388</c:v>
                </c:pt>
                <c:pt idx="862">
                  <c:v>86.209999999999383</c:v>
                </c:pt>
                <c:pt idx="863">
                  <c:v>86.309999999999377</c:v>
                </c:pt>
                <c:pt idx="864">
                  <c:v>86.409999999999371</c:v>
                </c:pt>
                <c:pt idx="865">
                  <c:v>86.509999999999366</c:v>
                </c:pt>
                <c:pt idx="866">
                  <c:v>86.60999999999936</c:v>
                </c:pt>
                <c:pt idx="867">
                  <c:v>86.709999999999354</c:v>
                </c:pt>
                <c:pt idx="868">
                  <c:v>86.809999999999349</c:v>
                </c:pt>
                <c:pt idx="869">
                  <c:v>86.909999999999343</c:v>
                </c:pt>
                <c:pt idx="870">
                  <c:v>87.009999999999337</c:v>
                </c:pt>
                <c:pt idx="871">
                  <c:v>87.109999999999332</c:v>
                </c:pt>
                <c:pt idx="872">
                  <c:v>87.209999999999326</c:v>
                </c:pt>
                <c:pt idx="873">
                  <c:v>87.30999999999932</c:v>
                </c:pt>
                <c:pt idx="874">
                  <c:v>87.409999999999314</c:v>
                </c:pt>
                <c:pt idx="875">
                  <c:v>87.509999999999309</c:v>
                </c:pt>
                <c:pt idx="876">
                  <c:v>87.609999999999303</c:v>
                </c:pt>
                <c:pt idx="877">
                  <c:v>87.709999999999297</c:v>
                </c:pt>
                <c:pt idx="878">
                  <c:v>87.809999999999292</c:v>
                </c:pt>
                <c:pt idx="879">
                  <c:v>87.909999999999286</c:v>
                </c:pt>
                <c:pt idx="880">
                  <c:v>88.00999999999928</c:v>
                </c:pt>
                <c:pt idx="881">
                  <c:v>88.109999999999275</c:v>
                </c:pt>
                <c:pt idx="882">
                  <c:v>88.209999999999269</c:v>
                </c:pt>
                <c:pt idx="883">
                  <c:v>88.309999999999263</c:v>
                </c:pt>
                <c:pt idx="884">
                  <c:v>88.409999999999258</c:v>
                </c:pt>
                <c:pt idx="885">
                  <c:v>88.509999999999252</c:v>
                </c:pt>
                <c:pt idx="886">
                  <c:v>88.609999999999246</c:v>
                </c:pt>
                <c:pt idx="887">
                  <c:v>88.709999999999241</c:v>
                </c:pt>
                <c:pt idx="888">
                  <c:v>88.809999999999235</c:v>
                </c:pt>
                <c:pt idx="889">
                  <c:v>88.909999999999229</c:v>
                </c:pt>
                <c:pt idx="890">
                  <c:v>89.009999999999224</c:v>
                </c:pt>
                <c:pt idx="891">
                  <c:v>89.109999999999218</c:v>
                </c:pt>
                <c:pt idx="892">
                  <c:v>89.209999999999212</c:v>
                </c:pt>
                <c:pt idx="893">
                  <c:v>89.309999999999206</c:v>
                </c:pt>
                <c:pt idx="894">
                  <c:v>89.409999999999201</c:v>
                </c:pt>
                <c:pt idx="895">
                  <c:v>89.509999999999195</c:v>
                </c:pt>
                <c:pt idx="896">
                  <c:v>89.609999999999189</c:v>
                </c:pt>
                <c:pt idx="897">
                  <c:v>89.709999999999184</c:v>
                </c:pt>
                <c:pt idx="898">
                  <c:v>89.809999999999178</c:v>
                </c:pt>
                <c:pt idx="899">
                  <c:v>89.909999999999172</c:v>
                </c:pt>
                <c:pt idx="900">
                  <c:v>90.009999999999167</c:v>
                </c:pt>
                <c:pt idx="901">
                  <c:v>90.109999999999161</c:v>
                </c:pt>
                <c:pt idx="902">
                  <c:v>90.209999999999155</c:v>
                </c:pt>
                <c:pt idx="903">
                  <c:v>90.30999999999915</c:v>
                </c:pt>
                <c:pt idx="904">
                  <c:v>90.409999999999144</c:v>
                </c:pt>
                <c:pt idx="905">
                  <c:v>90.509999999999138</c:v>
                </c:pt>
                <c:pt idx="906">
                  <c:v>90.609999999999133</c:v>
                </c:pt>
                <c:pt idx="907">
                  <c:v>90.709999999999127</c:v>
                </c:pt>
                <c:pt idx="908">
                  <c:v>90.809999999999121</c:v>
                </c:pt>
                <c:pt idx="909">
                  <c:v>90.909999999999116</c:v>
                </c:pt>
                <c:pt idx="910">
                  <c:v>91.00999999999911</c:v>
                </c:pt>
                <c:pt idx="911">
                  <c:v>91.109999999999104</c:v>
                </c:pt>
                <c:pt idx="912">
                  <c:v>91.209999999999098</c:v>
                </c:pt>
                <c:pt idx="913">
                  <c:v>91.309999999999093</c:v>
                </c:pt>
                <c:pt idx="914">
                  <c:v>91.409999999999087</c:v>
                </c:pt>
                <c:pt idx="915">
                  <c:v>91.509999999999081</c:v>
                </c:pt>
                <c:pt idx="916">
                  <c:v>91.609999999999076</c:v>
                </c:pt>
                <c:pt idx="917">
                  <c:v>91.70999999999907</c:v>
                </c:pt>
                <c:pt idx="918">
                  <c:v>91.809999999999064</c:v>
                </c:pt>
                <c:pt idx="919">
                  <c:v>91.909999999999059</c:v>
                </c:pt>
                <c:pt idx="920">
                  <c:v>92.009999999999053</c:v>
                </c:pt>
                <c:pt idx="921">
                  <c:v>92.109999999999047</c:v>
                </c:pt>
                <c:pt idx="922">
                  <c:v>92.209999999999042</c:v>
                </c:pt>
                <c:pt idx="923">
                  <c:v>92.309999999999036</c:v>
                </c:pt>
                <c:pt idx="924">
                  <c:v>92.40999999999903</c:v>
                </c:pt>
                <c:pt idx="925">
                  <c:v>92.509999999999025</c:v>
                </c:pt>
                <c:pt idx="926">
                  <c:v>92.609999999999019</c:v>
                </c:pt>
                <c:pt idx="927">
                  <c:v>92.709999999999013</c:v>
                </c:pt>
                <c:pt idx="928">
                  <c:v>92.809999999999008</c:v>
                </c:pt>
                <c:pt idx="929">
                  <c:v>92.909999999999002</c:v>
                </c:pt>
                <c:pt idx="930">
                  <c:v>93.009999999998996</c:v>
                </c:pt>
                <c:pt idx="931">
                  <c:v>93.10999999999899</c:v>
                </c:pt>
                <c:pt idx="932">
                  <c:v>93.209999999998985</c:v>
                </c:pt>
                <c:pt idx="933">
                  <c:v>93.309999999998979</c:v>
                </c:pt>
                <c:pt idx="934">
                  <c:v>93.409999999998973</c:v>
                </c:pt>
                <c:pt idx="935">
                  <c:v>93.509999999998968</c:v>
                </c:pt>
                <c:pt idx="936">
                  <c:v>93.609999999998962</c:v>
                </c:pt>
                <c:pt idx="937">
                  <c:v>93.709999999998956</c:v>
                </c:pt>
                <c:pt idx="938">
                  <c:v>93.809999999998951</c:v>
                </c:pt>
                <c:pt idx="939">
                  <c:v>93.909999999998945</c:v>
                </c:pt>
                <c:pt idx="940">
                  <c:v>94.009999999998939</c:v>
                </c:pt>
                <c:pt idx="941">
                  <c:v>94.109999999998934</c:v>
                </c:pt>
                <c:pt idx="942">
                  <c:v>94.209999999998928</c:v>
                </c:pt>
                <c:pt idx="943">
                  <c:v>94.309999999998922</c:v>
                </c:pt>
                <c:pt idx="944">
                  <c:v>94.409999999998917</c:v>
                </c:pt>
                <c:pt idx="945">
                  <c:v>94.509999999998911</c:v>
                </c:pt>
                <c:pt idx="946">
                  <c:v>94.609999999998905</c:v>
                </c:pt>
                <c:pt idx="947">
                  <c:v>94.7099999999989</c:v>
                </c:pt>
                <c:pt idx="948">
                  <c:v>94.809999999998894</c:v>
                </c:pt>
                <c:pt idx="949">
                  <c:v>94.909999999998888</c:v>
                </c:pt>
                <c:pt idx="950">
                  <c:v>95.009999999998882</c:v>
                </c:pt>
                <c:pt idx="951">
                  <c:v>95.109999999998877</c:v>
                </c:pt>
                <c:pt idx="952">
                  <c:v>95.209999999998871</c:v>
                </c:pt>
                <c:pt idx="953">
                  <c:v>95.309999999998865</c:v>
                </c:pt>
                <c:pt idx="954">
                  <c:v>95.40999999999886</c:v>
                </c:pt>
                <c:pt idx="955">
                  <c:v>95.509999999998854</c:v>
                </c:pt>
                <c:pt idx="956">
                  <c:v>95.609999999998848</c:v>
                </c:pt>
                <c:pt idx="957">
                  <c:v>95.709999999998843</c:v>
                </c:pt>
                <c:pt idx="958">
                  <c:v>95.809999999998837</c:v>
                </c:pt>
                <c:pt idx="959">
                  <c:v>95.909999999998831</c:v>
                </c:pt>
                <c:pt idx="960">
                  <c:v>96.009999999998826</c:v>
                </c:pt>
                <c:pt idx="961">
                  <c:v>96.10999999999882</c:v>
                </c:pt>
                <c:pt idx="962">
                  <c:v>96.209999999998814</c:v>
                </c:pt>
                <c:pt idx="963">
                  <c:v>96.309999999998809</c:v>
                </c:pt>
                <c:pt idx="964">
                  <c:v>96.409999999998803</c:v>
                </c:pt>
                <c:pt idx="965">
                  <c:v>96.509999999998797</c:v>
                </c:pt>
                <c:pt idx="966">
                  <c:v>96.609999999998792</c:v>
                </c:pt>
                <c:pt idx="967">
                  <c:v>96.709999999998786</c:v>
                </c:pt>
                <c:pt idx="968">
                  <c:v>96.80999999999878</c:v>
                </c:pt>
                <c:pt idx="969">
                  <c:v>96.909999999998774</c:v>
                </c:pt>
                <c:pt idx="970">
                  <c:v>97.009999999998769</c:v>
                </c:pt>
                <c:pt idx="971">
                  <c:v>97.109999999998763</c:v>
                </c:pt>
                <c:pt idx="972">
                  <c:v>97.209999999998757</c:v>
                </c:pt>
                <c:pt idx="973">
                  <c:v>97.309999999998752</c:v>
                </c:pt>
                <c:pt idx="974">
                  <c:v>97.409999999998746</c:v>
                </c:pt>
                <c:pt idx="975">
                  <c:v>97.50999999999874</c:v>
                </c:pt>
                <c:pt idx="976">
                  <c:v>97.609999999998735</c:v>
                </c:pt>
                <c:pt idx="977">
                  <c:v>97.709999999998729</c:v>
                </c:pt>
                <c:pt idx="978">
                  <c:v>97.809999999998723</c:v>
                </c:pt>
                <c:pt idx="979">
                  <c:v>97.909999999998718</c:v>
                </c:pt>
                <c:pt idx="980">
                  <c:v>98.009999999998712</c:v>
                </c:pt>
                <c:pt idx="981">
                  <c:v>98.109999999998706</c:v>
                </c:pt>
                <c:pt idx="982">
                  <c:v>98.209999999998701</c:v>
                </c:pt>
                <c:pt idx="983">
                  <c:v>98.309999999998695</c:v>
                </c:pt>
                <c:pt idx="984">
                  <c:v>98.409999999998689</c:v>
                </c:pt>
                <c:pt idx="985">
                  <c:v>98.509999999998684</c:v>
                </c:pt>
                <c:pt idx="986">
                  <c:v>98.609999999998678</c:v>
                </c:pt>
                <c:pt idx="987">
                  <c:v>98.709999999998672</c:v>
                </c:pt>
                <c:pt idx="988">
                  <c:v>98.809999999998666</c:v>
                </c:pt>
                <c:pt idx="989">
                  <c:v>98.909999999998661</c:v>
                </c:pt>
                <c:pt idx="990">
                  <c:v>99.009999999998655</c:v>
                </c:pt>
                <c:pt idx="991">
                  <c:v>99.109999999998649</c:v>
                </c:pt>
                <c:pt idx="992">
                  <c:v>99.209999999998644</c:v>
                </c:pt>
                <c:pt idx="993">
                  <c:v>99.309999999998638</c:v>
                </c:pt>
                <c:pt idx="994">
                  <c:v>99.409999999998632</c:v>
                </c:pt>
                <c:pt idx="995">
                  <c:v>99.509999999998627</c:v>
                </c:pt>
                <c:pt idx="996">
                  <c:v>99.609999999998621</c:v>
                </c:pt>
                <c:pt idx="997">
                  <c:v>99.709999999998615</c:v>
                </c:pt>
                <c:pt idx="998">
                  <c:v>99.80999999999861</c:v>
                </c:pt>
                <c:pt idx="999">
                  <c:v>99.909999999998604</c:v>
                </c:pt>
                <c:pt idx="1000">
                  <c:v>100.0099999999986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F9-4AB4-AD3D-ED2B8F4D5CC2}"/>
            </c:ext>
          </c:extLst>
        </c:ser>
        <c:ser>
          <c:idx val="0"/>
          <c:order val="1"/>
          <c:tx>
            <c:v>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Data!$A$37:$A$56</c:f>
              <c:numCache>
                <c:formatCode>0.000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Data!$B$37:$B$56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F9-4AB4-AD3D-ED2B8F4D5CC2}"/>
            </c:ext>
          </c:extLst>
        </c:ser>
        <c:ser>
          <c:idx val="1"/>
          <c:order val="2"/>
          <c:tx>
            <c:v>Gradation Function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Data!$H$4:$H$10004</c:f>
              <c:numCache>
                <c:formatCode>General</c:formatCode>
                <c:ptCount val="10001"/>
                <c:pt idx="0">
                  <c:v>1E-10</c:v>
                </c:pt>
                <c:pt idx="1">
                  <c:v>1E-10</c:v>
                </c:pt>
                <c:pt idx="2">
                  <c:v>1E-10</c:v>
                </c:pt>
                <c:pt idx="3">
                  <c:v>1E-10</c:v>
                </c:pt>
                <c:pt idx="4">
                  <c:v>1E-10</c:v>
                </c:pt>
                <c:pt idx="5">
                  <c:v>1E-10</c:v>
                </c:pt>
                <c:pt idx="6">
                  <c:v>1E-10</c:v>
                </c:pt>
                <c:pt idx="7">
                  <c:v>1E-10</c:v>
                </c:pt>
                <c:pt idx="8">
                  <c:v>1E-10</c:v>
                </c:pt>
                <c:pt idx="9">
                  <c:v>1E-10</c:v>
                </c:pt>
                <c:pt idx="10">
                  <c:v>1E-10</c:v>
                </c:pt>
                <c:pt idx="11">
                  <c:v>1E-10</c:v>
                </c:pt>
                <c:pt idx="12">
                  <c:v>1E-10</c:v>
                </c:pt>
                <c:pt idx="13">
                  <c:v>1E-10</c:v>
                </c:pt>
                <c:pt idx="14">
                  <c:v>1E-10</c:v>
                </c:pt>
                <c:pt idx="15">
                  <c:v>1E-10</c:v>
                </c:pt>
                <c:pt idx="16">
                  <c:v>1E-10</c:v>
                </c:pt>
                <c:pt idx="17">
                  <c:v>1E-10</c:v>
                </c:pt>
                <c:pt idx="18">
                  <c:v>1E-10</c:v>
                </c:pt>
                <c:pt idx="19">
                  <c:v>1E-10</c:v>
                </c:pt>
                <c:pt idx="20">
                  <c:v>1E-10</c:v>
                </c:pt>
                <c:pt idx="21">
                  <c:v>1E-10</c:v>
                </c:pt>
                <c:pt idx="22">
                  <c:v>1E-10</c:v>
                </c:pt>
                <c:pt idx="23">
                  <c:v>1E-10</c:v>
                </c:pt>
                <c:pt idx="24">
                  <c:v>1E-10</c:v>
                </c:pt>
                <c:pt idx="25">
                  <c:v>1E-10</c:v>
                </c:pt>
                <c:pt idx="26">
                  <c:v>1E-10</c:v>
                </c:pt>
                <c:pt idx="27">
                  <c:v>1E-10</c:v>
                </c:pt>
                <c:pt idx="28">
                  <c:v>1E-10</c:v>
                </c:pt>
                <c:pt idx="29">
                  <c:v>1E-10</c:v>
                </c:pt>
                <c:pt idx="30">
                  <c:v>1E-10</c:v>
                </c:pt>
                <c:pt idx="31">
                  <c:v>1E-10</c:v>
                </c:pt>
                <c:pt idx="32">
                  <c:v>1E-10</c:v>
                </c:pt>
                <c:pt idx="33">
                  <c:v>1E-10</c:v>
                </c:pt>
                <c:pt idx="34">
                  <c:v>1E-10</c:v>
                </c:pt>
                <c:pt idx="35">
                  <c:v>1E-10</c:v>
                </c:pt>
                <c:pt idx="36">
                  <c:v>1E-10</c:v>
                </c:pt>
                <c:pt idx="37">
                  <c:v>1E-10</c:v>
                </c:pt>
                <c:pt idx="38">
                  <c:v>1E-10</c:v>
                </c:pt>
                <c:pt idx="39">
                  <c:v>1E-10</c:v>
                </c:pt>
                <c:pt idx="40">
                  <c:v>1E-10</c:v>
                </c:pt>
                <c:pt idx="41">
                  <c:v>1E-10</c:v>
                </c:pt>
                <c:pt idx="42">
                  <c:v>1E-10</c:v>
                </c:pt>
                <c:pt idx="43">
                  <c:v>1E-10</c:v>
                </c:pt>
                <c:pt idx="44">
                  <c:v>1E-10</c:v>
                </c:pt>
                <c:pt idx="45">
                  <c:v>1E-10</c:v>
                </c:pt>
                <c:pt idx="46">
                  <c:v>1E-10</c:v>
                </c:pt>
                <c:pt idx="47">
                  <c:v>1E-10</c:v>
                </c:pt>
                <c:pt idx="48">
                  <c:v>1E-10</c:v>
                </c:pt>
                <c:pt idx="49">
                  <c:v>1E-10</c:v>
                </c:pt>
                <c:pt idx="50">
                  <c:v>1E-10</c:v>
                </c:pt>
                <c:pt idx="51">
                  <c:v>1E-10</c:v>
                </c:pt>
                <c:pt idx="52">
                  <c:v>1E-10</c:v>
                </c:pt>
                <c:pt idx="53">
                  <c:v>1E-10</c:v>
                </c:pt>
                <c:pt idx="54">
                  <c:v>1E-10</c:v>
                </c:pt>
                <c:pt idx="55">
                  <c:v>1E-10</c:v>
                </c:pt>
                <c:pt idx="56">
                  <c:v>1E-10</c:v>
                </c:pt>
                <c:pt idx="57">
                  <c:v>1E-10</c:v>
                </c:pt>
                <c:pt idx="58">
                  <c:v>1E-10</c:v>
                </c:pt>
                <c:pt idx="59">
                  <c:v>1E-10</c:v>
                </c:pt>
                <c:pt idx="60">
                  <c:v>1E-10</c:v>
                </c:pt>
                <c:pt idx="61">
                  <c:v>1E-10</c:v>
                </c:pt>
                <c:pt idx="62">
                  <c:v>1E-10</c:v>
                </c:pt>
                <c:pt idx="63">
                  <c:v>1E-10</c:v>
                </c:pt>
                <c:pt idx="64">
                  <c:v>1E-10</c:v>
                </c:pt>
                <c:pt idx="65">
                  <c:v>1E-10</c:v>
                </c:pt>
                <c:pt idx="66">
                  <c:v>1E-10</c:v>
                </c:pt>
                <c:pt idx="67">
                  <c:v>1E-10</c:v>
                </c:pt>
                <c:pt idx="68">
                  <c:v>1E-10</c:v>
                </c:pt>
                <c:pt idx="69">
                  <c:v>1E-10</c:v>
                </c:pt>
                <c:pt idx="70">
                  <c:v>1E-10</c:v>
                </c:pt>
                <c:pt idx="71">
                  <c:v>1E-10</c:v>
                </c:pt>
                <c:pt idx="72">
                  <c:v>1E-10</c:v>
                </c:pt>
                <c:pt idx="73">
                  <c:v>1E-10</c:v>
                </c:pt>
                <c:pt idx="74">
                  <c:v>1E-10</c:v>
                </c:pt>
                <c:pt idx="75">
                  <c:v>1E-10</c:v>
                </c:pt>
                <c:pt idx="76">
                  <c:v>1E-10</c:v>
                </c:pt>
                <c:pt idx="77">
                  <c:v>1E-10</c:v>
                </c:pt>
                <c:pt idx="78">
                  <c:v>1E-10</c:v>
                </c:pt>
                <c:pt idx="79">
                  <c:v>1E-10</c:v>
                </c:pt>
                <c:pt idx="80">
                  <c:v>1E-10</c:v>
                </c:pt>
                <c:pt idx="81">
                  <c:v>1E-10</c:v>
                </c:pt>
                <c:pt idx="82">
                  <c:v>1E-10</c:v>
                </c:pt>
                <c:pt idx="83">
                  <c:v>1E-10</c:v>
                </c:pt>
                <c:pt idx="84">
                  <c:v>1E-10</c:v>
                </c:pt>
                <c:pt idx="85">
                  <c:v>1E-10</c:v>
                </c:pt>
                <c:pt idx="86">
                  <c:v>1E-10</c:v>
                </c:pt>
                <c:pt idx="87">
                  <c:v>1E-10</c:v>
                </c:pt>
                <c:pt idx="88">
                  <c:v>1E-10</c:v>
                </c:pt>
                <c:pt idx="89">
                  <c:v>1E-10</c:v>
                </c:pt>
                <c:pt idx="90">
                  <c:v>1E-10</c:v>
                </c:pt>
                <c:pt idx="91">
                  <c:v>1E-10</c:v>
                </c:pt>
                <c:pt idx="92">
                  <c:v>1E-10</c:v>
                </c:pt>
                <c:pt idx="93">
                  <c:v>1E-10</c:v>
                </c:pt>
                <c:pt idx="94">
                  <c:v>1E-10</c:v>
                </c:pt>
                <c:pt idx="95">
                  <c:v>1E-10</c:v>
                </c:pt>
                <c:pt idx="96">
                  <c:v>1E-10</c:v>
                </c:pt>
                <c:pt idx="97">
                  <c:v>1E-10</c:v>
                </c:pt>
                <c:pt idx="98">
                  <c:v>1E-10</c:v>
                </c:pt>
                <c:pt idx="99">
                  <c:v>1E-10</c:v>
                </c:pt>
                <c:pt idx="100">
                  <c:v>1E-10</c:v>
                </c:pt>
                <c:pt idx="101">
                  <c:v>1E-10</c:v>
                </c:pt>
                <c:pt idx="102">
                  <c:v>1E-10</c:v>
                </c:pt>
                <c:pt idx="103">
                  <c:v>1E-10</c:v>
                </c:pt>
                <c:pt idx="104">
                  <c:v>1E-10</c:v>
                </c:pt>
                <c:pt idx="105">
                  <c:v>1E-10</c:v>
                </c:pt>
                <c:pt idx="106">
                  <c:v>1E-10</c:v>
                </c:pt>
                <c:pt idx="107">
                  <c:v>1E-10</c:v>
                </c:pt>
                <c:pt idx="108">
                  <c:v>1E-10</c:v>
                </c:pt>
                <c:pt idx="109">
                  <c:v>1E-10</c:v>
                </c:pt>
                <c:pt idx="110">
                  <c:v>1E-10</c:v>
                </c:pt>
                <c:pt idx="111">
                  <c:v>1E-10</c:v>
                </c:pt>
                <c:pt idx="112">
                  <c:v>1E-10</c:v>
                </c:pt>
                <c:pt idx="113">
                  <c:v>1E-10</c:v>
                </c:pt>
                <c:pt idx="114">
                  <c:v>1E-10</c:v>
                </c:pt>
                <c:pt idx="115">
                  <c:v>1E-10</c:v>
                </c:pt>
                <c:pt idx="116">
                  <c:v>1E-10</c:v>
                </c:pt>
                <c:pt idx="117">
                  <c:v>1E-10</c:v>
                </c:pt>
                <c:pt idx="118">
                  <c:v>1E-10</c:v>
                </c:pt>
                <c:pt idx="119">
                  <c:v>1E-10</c:v>
                </c:pt>
                <c:pt idx="120">
                  <c:v>1E-10</c:v>
                </c:pt>
                <c:pt idx="121">
                  <c:v>1E-10</c:v>
                </c:pt>
                <c:pt idx="122">
                  <c:v>1E-10</c:v>
                </c:pt>
                <c:pt idx="123">
                  <c:v>1E-10</c:v>
                </c:pt>
                <c:pt idx="124">
                  <c:v>1E-10</c:v>
                </c:pt>
                <c:pt idx="125">
                  <c:v>1E-10</c:v>
                </c:pt>
                <c:pt idx="126">
                  <c:v>1E-10</c:v>
                </c:pt>
                <c:pt idx="127">
                  <c:v>1E-10</c:v>
                </c:pt>
                <c:pt idx="128">
                  <c:v>1E-10</c:v>
                </c:pt>
                <c:pt idx="129">
                  <c:v>1E-10</c:v>
                </c:pt>
                <c:pt idx="130">
                  <c:v>1E-10</c:v>
                </c:pt>
                <c:pt idx="131">
                  <c:v>1E-10</c:v>
                </c:pt>
                <c:pt idx="132">
                  <c:v>1E-10</c:v>
                </c:pt>
                <c:pt idx="133">
                  <c:v>1E-10</c:v>
                </c:pt>
                <c:pt idx="134">
                  <c:v>1E-10</c:v>
                </c:pt>
                <c:pt idx="135">
                  <c:v>1E-10</c:v>
                </c:pt>
                <c:pt idx="136">
                  <c:v>1E-10</c:v>
                </c:pt>
                <c:pt idx="137">
                  <c:v>1E-10</c:v>
                </c:pt>
                <c:pt idx="138">
                  <c:v>1E-10</c:v>
                </c:pt>
                <c:pt idx="139">
                  <c:v>1E-10</c:v>
                </c:pt>
                <c:pt idx="140">
                  <c:v>1E-10</c:v>
                </c:pt>
                <c:pt idx="141">
                  <c:v>1E-10</c:v>
                </c:pt>
                <c:pt idx="142">
                  <c:v>1E-10</c:v>
                </c:pt>
                <c:pt idx="143">
                  <c:v>1E-10</c:v>
                </c:pt>
                <c:pt idx="144">
                  <c:v>1E-10</c:v>
                </c:pt>
                <c:pt idx="145">
                  <c:v>1E-10</c:v>
                </c:pt>
                <c:pt idx="146">
                  <c:v>1E-10</c:v>
                </c:pt>
                <c:pt idx="147">
                  <c:v>1E-10</c:v>
                </c:pt>
                <c:pt idx="148">
                  <c:v>1E-10</c:v>
                </c:pt>
                <c:pt idx="149">
                  <c:v>1E-10</c:v>
                </c:pt>
                <c:pt idx="150">
                  <c:v>1E-10</c:v>
                </c:pt>
                <c:pt idx="151">
                  <c:v>1E-10</c:v>
                </c:pt>
                <c:pt idx="152">
                  <c:v>1E-10</c:v>
                </c:pt>
                <c:pt idx="153">
                  <c:v>1E-10</c:v>
                </c:pt>
                <c:pt idx="154">
                  <c:v>1E-10</c:v>
                </c:pt>
                <c:pt idx="155">
                  <c:v>1E-10</c:v>
                </c:pt>
                <c:pt idx="156">
                  <c:v>1E-10</c:v>
                </c:pt>
                <c:pt idx="157">
                  <c:v>1E-10</c:v>
                </c:pt>
                <c:pt idx="158">
                  <c:v>1E-10</c:v>
                </c:pt>
                <c:pt idx="159">
                  <c:v>1E-10</c:v>
                </c:pt>
                <c:pt idx="160">
                  <c:v>1E-10</c:v>
                </c:pt>
                <c:pt idx="161">
                  <c:v>1E-10</c:v>
                </c:pt>
                <c:pt idx="162">
                  <c:v>1E-10</c:v>
                </c:pt>
                <c:pt idx="163">
                  <c:v>1E-10</c:v>
                </c:pt>
                <c:pt idx="164">
                  <c:v>1E-10</c:v>
                </c:pt>
                <c:pt idx="165">
                  <c:v>1E-10</c:v>
                </c:pt>
                <c:pt idx="166">
                  <c:v>1E-10</c:v>
                </c:pt>
                <c:pt idx="167">
                  <c:v>1E-10</c:v>
                </c:pt>
                <c:pt idx="168">
                  <c:v>1E-10</c:v>
                </c:pt>
                <c:pt idx="169">
                  <c:v>1E-10</c:v>
                </c:pt>
                <c:pt idx="170">
                  <c:v>1E-10</c:v>
                </c:pt>
                <c:pt idx="171">
                  <c:v>1E-10</c:v>
                </c:pt>
                <c:pt idx="172">
                  <c:v>1E-10</c:v>
                </c:pt>
                <c:pt idx="173">
                  <c:v>1E-10</c:v>
                </c:pt>
                <c:pt idx="174">
                  <c:v>1E-10</c:v>
                </c:pt>
                <c:pt idx="175">
                  <c:v>1E-10</c:v>
                </c:pt>
                <c:pt idx="176">
                  <c:v>1E-10</c:v>
                </c:pt>
                <c:pt idx="177">
                  <c:v>1E-10</c:v>
                </c:pt>
                <c:pt idx="178">
                  <c:v>1E-10</c:v>
                </c:pt>
                <c:pt idx="179">
                  <c:v>1E-10</c:v>
                </c:pt>
                <c:pt idx="180">
                  <c:v>1E-10</c:v>
                </c:pt>
                <c:pt idx="181">
                  <c:v>1E-10</c:v>
                </c:pt>
                <c:pt idx="182">
                  <c:v>1E-10</c:v>
                </c:pt>
                <c:pt idx="183">
                  <c:v>1E-10</c:v>
                </c:pt>
                <c:pt idx="184">
                  <c:v>1E-10</c:v>
                </c:pt>
                <c:pt idx="185">
                  <c:v>1E-10</c:v>
                </c:pt>
                <c:pt idx="186">
                  <c:v>1E-10</c:v>
                </c:pt>
                <c:pt idx="187">
                  <c:v>1E-10</c:v>
                </c:pt>
                <c:pt idx="188">
                  <c:v>1E-10</c:v>
                </c:pt>
                <c:pt idx="189">
                  <c:v>1E-10</c:v>
                </c:pt>
                <c:pt idx="190">
                  <c:v>1E-10</c:v>
                </c:pt>
                <c:pt idx="191">
                  <c:v>1E-10</c:v>
                </c:pt>
                <c:pt idx="192">
                  <c:v>1E-10</c:v>
                </c:pt>
                <c:pt idx="193">
                  <c:v>1E-10</c:v>
                </c:pt>
                <c:pt idx="194">
                  <c:v>1E-10</c:v>
                </c:pt>
                <c:pt idx="195">
                  <c:v>1E-10</c:v>
                </c:pt>
                <c:pt idx="196">
                  <c:v>1E-10</c:v>
                </c:pt>
                <c:pt idx="197">
                  <c:v>1E-10</c:v>
                </c:pt>
                <c:pt idx="198">
                  <c:v>1E-10</c:v>
                </c:pt>
                <c:pt idx="199">
                  <c:v>1E-10</c:v>
                </c:pt>
                <c:pt idx="200">
                  <c:v>1E-10</c:v>
                </c:pt>
                <c:pt idx="201">
                  <c:v>1E-10</c:v>
                </c:pt>
                <c:pt idx="202">
                  <c:v>1E-10</c:v>
                </c:pt>
                <c:pt idx="203">
                  <c:v>1E-10</c:v>
                </c:pt>
                <c:pt idx="204">
                  <c:v>1E-10</c:v>
                </c:pt>
                <c:pt idx="205">
                  <c:v>1E-10</c:v>
                </c:pt>
                <c:pt idx="206">
                  <c:v>1E-10</c:v>
                </c:pt>
                <c:pt idx="207">
                  <c:v>1E-10</c:v>
                </c:pt>
                <c:pt idx="208">
                  <c:v>1E-10</c:v>
                </c:pt>
                <c:pt idx="209">
                  <c:v>1E-10</c:v>
                </c:pt>
                <c:pt idx="210">
                  <c:v>1E-10</c:v>
                </c:pt>
                <c:pt idx="211">
                  <c:v>1E-10</c:v>
                </c:pt>
                <c:pt idx="212">
                  <c:v>1E-10</c:v>
                </c:pt>
                <c:pt idx="213">
                  <c:v>1E-10</c:v>
                </c:pt>
                <c:pt idx="214">
                  <c:v>1E-10</c:v>
                </c:pt>
                <c:pt idx="215">
                  <c:v>1E-10</c:v>
                </c:pt>
                <c:pt idx="216">
                  <c:v>1E-10</c:v>
                </c:pt>
                <c:pt idx="217">
                  <c:v>1E-10</c:v>
                </c:pt>
                <c:pt idx="218">
                  <c:v>1E-10</c:v>
                </c:pt>
                <c:pt idx="219">
                  <c:v>1E-10</c:v>
                </c:pt>
                <c:pt idx="220">
                  <c:v>1E-10</c:v>
                </c:pt>
                <c:pt idx="221">
                  <c:v>1E-10</c:v>
                </c:pt>
                <c:pt idx="222">
                  <c:v>1E-10</c:v>
                </c:pt>
                <c:pt idx="223">
                  <c:v>1E-10</c:v>
                </c:pt>
                <c:pt idx="224">
                  <c:v>1E-10</c:v>
                </c:pt>
                <c:pt idx="225">
                  <c:v>1E-10</c:v>
                </c:pt>
                <c:pt idx="226">
                  <c:v>1E-10</c:v>
                </c:pt>
                <c:pt idx="227">
                  <c:v>1E-10</c:v>
                </c:pt>
                <c:pt idx="228">
                  <c:v>1E-10</c:v>
                </c:pt>
                <c:pt idx="229">
                  <c:v>1E-10</c:v>
                </c:pt>
                <c:pt idx="230">
                  <c:v>1E-10</c:v>
                </c:pt>
                <c:pt idx="231">
                  <c:v>1E-10</c:v>
                </c:pt>
                <c:pt idx="232">
                  <c:v>1E-10</c:v>
                </c:pt>
                <c:pt idx="233">
                  <c:v>1E-10</c:v>
                </c:pt>
                <c:pt idx="234">
                  <c:v>1E-10</c:v>
                </c:pt>
                <c:pt idx="235">
                  <c:v>1E-10</c:v>
                </c:pt>
                <c:pt idx="236">
                  <c:v>1E-10</c:v>
                </c:pt>
                <c:pt idx="237">
                  <c:v>1E-10</c:v>
                </c:pt>
                <c:pt idx="238">
                  <c:v>1E-10</c:v>
                </c:pt>
                <c:pt idx="239">
                  <c:v>1E-10</c:v>
                </c:pt>
                <c:pt idx="240">
                  <c:v>1E-10</c:v>
                </c:pt>
                <c:pt idx="241">
                  <c:v>1E-10</c:v>
                </c:pt>
                <c:pt idx="242">
                  <c:v>1E-10</c:v>
                </c:pt>
                <c:pt idx="243">
                  <c:v>1E-10</c:v>
                </c:pt>
                <c:pt idx="244">
                  <c:v>1E-10</c:v>
                </c:pt>
                <c:pt idx="245">
                  <c:v>1E-10</c:v>
                </c:pt>
                <c:pt idx="246">
                  <c:v>1E-10</c:v>
                </c:pt>
                <c:pt idx="247">
                  <c:v>1E-10</c:v>
                </c:pt>
                <c:pt idx="248">
                  <c:v>1E-10</c:v>
                </c:pt>
                <c:pt idx="249">
                  <c:v>1E-10</c:v>
                </c:pt>
                <c:pt idx="250">
                  <c:v>1E-10</c:v>
                </c:pt>
                <c:pt idx="251">
                  <c:v>1E-10</c:v>
                </c:pt>
                <c:pt idx="252">
                  <c:v>1E-10</c:v>
                </c:pt>
                <c:pt idx="253">
                  <c:v>1E-10</c:v>
                </c:pt>
                <c:pt idx="254">
                  <c:v>1E-10</c:v>
                </c:pt>
                <c:pt idx="255">
                  <c:v>1E-10</c:v>
                </c:pt>
                <c:pt idx="256">
                  <c:v>1E-10</c:v>
                </c:pt>
                <c:pt idx="257">
                  <c:v>1E-10</c:v>
                </c:pt>
                <c:pt idx="258">
                  <c:v>1E-10</c:v>
                </c:pt>
                <c:pt idx="259">
                  <c:v>1E-10</c:v>
                </c:pt>
                <c:pt idx="260">
                  <c:v>1E-10</c:v>
                </c:pt>
                <c:pt idx="261">
                  <c:v>1E-10</c:v>
                </c:pt>
                <c:pt idx="262">
                  <c:v>1E-10</c:v>
                </c:pt>
                <c:pt idx="263">
                  <c:v>1E-10</c:v>
                </c:pt>
                <c:pt idx="264">
                  <c:v>1E-10</c:v>
                </c:pt>
                <c:pt idx="265">
                  <c:v>1E-10</c:v>
                </c:pt>
                <c:pt idx="266">
                  <c:v>1E-10</c:v>
                </c:pt>
                <c:pt idx="267">
                  <c:v>1E-10</c:v>
                </c:pt>
                <c:pt idx="268">
                  <c:v>1E-10</c:v>
                </c:pt>
                <c:pt idx="269">
                  <c:v>1E-10</c:v>
                </c:pt>
                <c:pt idx="270">
                  <c:v>1E-10</c:v>
                </c:pt>
                <c:pt idx="271">
                  <c:v>1E-10</c:v>
                </c:pt>
                <c:pt idx="272">
                  <c:v>1E-10</c:v>
                </c:pt>
                <c:pt idx="273">
                  <c:v>1E-10</c:v>
                </c:pt>
                <c:pt idx="274">
                  <c:v>1E-10</c:v>
                </c:pt>
                <c:pt idx="275">
                  <c:v>1E-10</c:v>
                </c:pt>
                <c:pt idx="276">
                  <c:v>1E-10</c:v>
                </c:pt>
                <c:pt idx="277">
                  <c:v>1E-10</c:v>
                </c:pt>
                <c:pt idx="278">
                  <c:v>1E-10</c:v>
                </c:pt>
                <c:pt idx="279">
                  <c:v>1E-10</c:v>
                </c:pt>
                <c:pt idx="280">
                  <c:v>1E-10</c:v>
                </c:pt>
                <c:pt idx="281">
                  <c:v>1E-10</c:v>
                </c:pt>
                <c:pt idx="282">
                  <c:v>1E-10</c:v>
                </c:pt>
                <c:pt idx="283">
                  <c:v>1E-10</c:v>
                </c:pt>
                <c:pt idx="284">
                  <c:v>1E-10</c:v>
                </c:pt>
                <c:pt idx="285">
                  <c:v>1E-10</c:v>
                </c:pt>
                <c:pt idx="286">
                  <c:v>1E-10</c:v>
                </c:pt>
                <c:pt idx="287">
                  <c:v>1E-10</c:v>
                </c:pt>
                <c:pt idx="288">
                  <c:v>1E-10</c:v>
                </c:pt>
                <c:pt idx="289">
                  <c:v>1E-10</c:v>
                </c:pt>
                <c:pt idx="290">
                  <c:v>1E-10</c:v>
                </c:pt>
                <c:pt idx="291">
                  <c:v>1E-10</c:v>
                </c:pt>
                <c:pt idx="292">
                  <c:v>1E-10</c:v>
                </c:pt>
                <c:pt idx="293">
                  <c:v>1E-10</c:v>
                </c:pt>
                <c:pt idx="294">
                  <c:v>1E-10</c:v>
                </c:pt>
                <c:pt idx="295">
                  <c:v>1E-10</c:v>
                </c:pt>
                <c:pt idx="296">
                  <c:v>1E-10</c:v>
                </c:pt>
                <c:pt idx="297">
                  <c:v>1E-10</c:v>
                </c:pt>
                <c:pt idx="298">
                  <c:v>1E-10</c:v>
                </c:pt>
                <c:pt idx="299">
                  <c:v>1E-10</c:v>
                </c:pt>
                <c:pt idx="300">
                  <c:v>1E-10</c:v>
                </c:pt>
                <c:pt idx="301">
                  <c:v>1E-10</c:v>
                </c:pt>
                <c:pt idx="302">
                  <c:v>1E-10</c:v>
                </c:pt>
                <c:pt idx="303">
                  <c:v>1E-10</c:v>
                </c:pt>
                <c:pt idx="304">
                  <c:v>1E-10</c:v>
                </c:pt>
                <c:pt idx="305">
                  <c:v>1E-10</c:v>
                </c:pt>
                <c:pt idx="306">
                  <c:v>1E-10</c:v>
                </c:pt>
                <c:pt idx="307">
                  <c:v>1E-10</c:v>
                </c:pt>
                <c:pt idx="308">
                  <c:v>1E-10</c:v>
                </c:pt>
                <c:pt idx="309">
                  <c:v>1E-10</c:v>
                </c:pt>
                <c:pt idx="310">
                  <c:v>1E-10</c:v>
                </c:pt>
                <c:pt idx="311">
                  <c:v>1E-10</c:v>
                </c:pt>
                <c:pt idx="312">
                  <c:v>1E-10</c:v>
                </c:pt>
                <c:pt idx="313">
                  <c:v>1E-10</c:v>
                </c:pt>
                <c:pt idx="314">
                  <c:v>1E-10</c:v>
                </c:pt>
                <c:pt idx="315">
                  <c:v>1E-10</c:v>
                </c:pt>
                <c:pt idx="316">
                  <c:v>1E-10</c:v>
                </c:pt>
                <c:pt idx="317">
                  <c:v>1E-10</c:v>
                </c:pt>
                <c:pt idx="318">
                  <c:v>1E-10</c:v>
                </c:pt>
                <c:pt idx="319">
                  <c:v>1E-10</c:v>
                </c:pt>
                <c:pt idx="320">
                  <c:v>1E-10</c:v>
                </c:pt>
                <c:pt idx="321">
                  <c:v>1E-10</c:v>
                </c:pt>
                <c:pt idx="322">
                  <c:v>1E-10</c:v>
                </c:pt>
                <c:pt idx="323">
                  <c:v>1E-10</c:v>
                </c:pt>
                <c:pt idx="324">
                  <c:v>1E-10</c:v>
                </c:pt>
                <c:pt idx="325">
                  <c:v>1E-10</c:v>
                </c:pt>
                <c:pt idx="326">
                  <c:v>1E-10</c:v>
                </c:pt>
                <c:pt idx="327">
                  <c:v>1E-10</c:v>
                </c:pt>
                <c:pt idx="328">
                  <c:v>1E-10</c:v>
                </c:pt>
                <c:pt idx="329">
                  <c:v>1E-10</c:v>
                </c:pt>
                <c:pt idx="330">
                  <c:v>1E-10</c:v>
                </c:pt>
                <c:pt idx="331">
                  <c:v>1E-10</c:v>
                </c:pt>
                <c:pt idx="332">
                  <c:v>1E-10</c:v>
                </c:pt>
                <c:pt idx="333">
                  <c:v>1E-10</c:v>
                </c:pt>
                <c:pt idx="334">
                  <c:v>1E-10</c:v>
                </c:pt>
                <c:pt idx="335">
                  <c:v>1E-10</c:v>
                </c:pt>
                <c:pt idx="336">
                  <c:v>1E-10</c:v>
                </c:pt>
                <c:pt idx="337">
                  <c:v>1E-10</c:v>
                </c:pt>
                <c:pt idx="338">
                  <c:v>1E-10</c:v>
                </c:pt>
                <c:pt idx="339">
                  <c:v>1E-10</c:v>
                </c:pt>
                <c:pt idx="340">
                  <c:v>1E-10</c:v>
                </c:pt>
                <c:pt idx="341">
                  <c:v>1E-10</c:v>
                </c:pt>
                <c:pt idx="342">
                  <c:v>1E-10</c:v>
                </c:pt>
                <c:pt idx="343">
                  <c:v>1E-10</c:v>
                </c:pt>
                <c:pt idx="344">
                  <c:v>1E-10</c:v>
                </c:pt>
                <c:pt idx="345">
                  <c:v>1E-10</c:v>
                </c:pt>
                <c:pt idx="346">
                  <c:v>1E-10</c:v>
                </c:pt>
                <c:pt idx="347">
                  <c:v>1E-10</c:v>
                </c:pt>
                <c:pt idx="348">
                  <c:v>1E-10</c:v>
                </c:pt>
                <c:pt idx="349">
                  <c:v>1E-10</c:v>
                </c:pt>
                <c:pt idx="350">
                  <c:v>1E-10</c:v>
                </c:pt>
                <c:pt idx="351">
                  <c:v>1E-10</c:v>
                </c:pt>
                <c:pt idx="352">
                  <c:v>1E-10</c:v>
                </c:pt>
                <c:pt idx="353">
                  <c:v>1E-10</c:v>
                </c:pt>
                <c:pt idx="354">
                  <c:v>1E-10</c:v>
                </c:pt>
                <c:pt idx="355">
                  <c:v>1E-10</c:v>
                </c:pt>
                <c:pt idx="356">
                  <c:v>1E-10</c:v>
                </c:pt>
                <c:pt idx="357">
                  <c:v>1E-10</c:v>
                </c:pt>
                <c:pt idx="358">
                  <c:v>1E-10</c:v>
                </c:pt>
                <c:pt idx="359">
                  <c:v>1E-10</c:v>
                </c:pt>
                <c:pt idx="360">
                  <c:v>1E-10</c:v>
                </c:pt>
                <c:pt idx="361">
                  <c:v>1E-10</c:v>
                </c:pt>
                <c:pt idx="362">
                  <c:v>1E-10</c:v>
                </c:pt>
                <c:pt idx="363">
                  <c:v>1E-10</c:v>
                </c:pt>
                <c:pt idx="364">
                  <c:v>1E-10</c:v>
                </c:pt>
                <c:pt idx="365">
                  <c:v>1E-10</c:v>
                </c:pt>
                <c:pt idx="366">
                  <c:v>1E-10</c:v>
                </c:pt>
                <c:pt idx="367">
                  <c:v>1E-10</c:v>
                </c:pt>
                <c:pt idx="368">
                  <c:v>1E-10</c:v>
                </c:pt>
                <c:pt idx="369">
                  <c:v>1E-10</c:v>
                </c:pt>
                <c:pt idx="370">
                  <c:v>1E-10</c:v>
                </c:pt>
                <c:pt idx="371">
                  <c:v>1E-10</c:v>
                </c:pt>
                <c:pt idx="372">
                  <c:v>1E-10</c:v>
                </c:pt>
                <c:pt idx="373">
                  <c:v>1E-10</c:v>
                </c:pt>
                <c:pt idx="374">
                  <c:v>1E-10</c:v>
                </c:pt>
                <c:pt idx="375">
                  <c:v>1E-10</c:v>
                </c:pt>
                <c:pt idx="376">
                  <c:v>1E-10</c:v>
                </c:pt>
                <c:pt idx="377">
                  <c:v>1E-10</c:v>
                </c:pt>
                <c:pt idx="378">
                  <c:v>1E-10</c:v>
                </c:pt>
                <c:pt idx="379">
                  <c:v>1E-10</c:v>
                </c:pt>
                <c:pt idx="380">
                  <c:v>1E-10</c:v>
                </c:pt>
                <c:pt idx="381">
                  <c:v>1E-10</c:v>
                </c:pt>
                <c:pt idx="382">
                  <c:v>1E-10</c:v>
                </c:pt>
                <c:pt idx="383">
                  <c:v>1E-10</c:v>
                </c:pt>
                <c:pt idx="384">
                  <c:v>1E-10</c:v>
                </c:pt>
                <c:pt idx="385">
                  <c:v>1E-10</c:v>
                </c:pt>
                <c:pt idx="386">
                  <c:v>1E-10</c:v>
                </c:pt>
                <c:pt idx="387">
                  <c:v>1E-10</c:v>
                </c:pt>
                <c:pt idx="388">
                  <c:v>1E-10</c:v>
                </c:pt>
                <c:pt idx="389">
                  <c:v>1E-10</c:v>
                </c:pt>
                <c:pt idx="390">
                  <c:v>1E-10</c:v>
                </c:pt>
                <c:pt idx="391">
                  <c:v>1E-10</c:v>
                </c:pt>
                <c:pt idx="392">
                  <c:v>1E-10</c:v>
                </c:pt>
                <c:pt idx="393">
                  <c:v>1E-10</c:v>
                </c:pt>
                <c:pt idx="394">
                  <c:v>1E-10</c:v>
                </c:pt>
                <c:pt idx="395">
                  <c:v>1E-10</c:v>
                </c:pt>
                <c:pt idx="396">
                  <c:v>1E-10</c:v>
                </c:pt>
                <c:pt idx="397">
                  <c:v>1E-10</c:v>
                </c:pt>
                <c:pt idx="398">
                  <c:v>1E-10</c:v>
                </c:pt>
                <c:pt idx="399">
                  <c:v>1E-10</c:v>
                </c:pt>
                <c:pt idx="400">
                  <c:v>1E-10</c:v>
                </c:pt>
                <c:pt idx="401">
                  <c:v>1E-10</c:v>
                </c:pt>
                <c:pt idx="402">
                  <c:v>1E-10</c:v>
                </c:pt>
                <c:pt idx="403">
                  <c:v>1E-10</c:v>
                </c:pt>
                <c:pt idx="404">
                  <c:v>1E-10</c:v>
                </c:pt>
                <c:pt idx="405">
                  <c:v>1E-10</c:v>
                </c:pt>
                <c:pt idx="406">
                  <c:v>1E-10</c:v>
                </c:pt>
                <c:pt idx="407">
                  <c:v>1E-10</c:v>
                </c:pt>
                <c:pt idx="408">
                  <c:v>1E-10</c:v>
                </c:pt>
                <c:pt idx="409">
                  <c:v>1E-10</c:v>
                </c:pt>
                <c:pt idx="410">
                  <c:v>1E-10</c:v>
                </c:pt>
                <c:pt idx="411">
                  <c:v>1E-10</c:v>
                </c:pt>
                <c:pt idx="412">
                  <c:v>1E-10</c:v>
                </c:pt>
                <c:pt idx="413">
                  <c:v>1E-10</c:v>
                </c:pt>
                <c:pt idx="414">
                  <c:v>1E-10</c:v>
                </c:pt>
                <c:pt idx="415">
                  <c:v>1E-10</c:v>
                </c:pt>
                <c:pt idx="416">
                  <c:v>1E-10</c:v>
                </c:pt>
                <c:pt idx="417">
                  <c:v>1E-10</c:v>
                </c:pt>
                <c:pt idx="418">
                  <c:v>1E-10</c:v>
                </c:pt>
                <c:pt idx="419">
                  <c:v>1E-10</c:v>
                </c:pt>
                <c:pt idx="420">
                  <c:v>1E-10</c:v>
                </c:pt>
                <c:pt idx="421">
                  <c:v>1E-10</c:v>
                </c:pt>
                <c:pt idx="422">
                  <c:v>1E-10</c:v>
                </c:pt>
                <c:pt idx="423">
                  <c:v>1E-10</c:v>
                </c:pt>
                <c:pt idx="424">
                  <c:v>1E-10</c:v>
                </c:pt>
                <c:pt idx="425">
                  <c:v>1E-10</c:v>
                </c:pt>
                <c:pt idx="426">
                  <c:v>1E-10</c:v>
                </c:pt>
                <c:pt idx="427">
                  <c:v>1E-10</c:v>
                </c:pt>
                <c:pt idx="428">
                  <c:v>1E-10</c:v>
                </c:pt>
                <c:pt idx="429">
                  <c:v>1E-10</c:v>
                </c:pt>
                <c:pt idx="430">
                  <c:v>1E-10</c:v>
                </c:pt>
                <c:pt idx="431">
                  <c:v>1E-10</c:v>
                </c:pt>
                <c:pt idx="432">
                  <c:v>1E-10</c:v>
                </c:pt>
                <c:pt idx="433">
                  <c:v>1E-10</c:v>
                </c:pt>
                <c:pt idx="434">
                  <c:v>1E-10</c:v>
                </c:pt>
                <c:pt idx="435">
                  <c:v>1E-10</c:v>
                </c:pt>
                <c:pt idx="436">
                  <c:v>1E-10</c:v>
                </c:pt>
                <c:pt idx="437">
                  <c:v>1E-10</c:v>
                </c:pt>
                <c:pt idx="438">
                  <c:v>1E-10</c:v>
                </c:pt>
                <c:pt idx="439">
                  <c:v>1E-10</c:v>
                </c:pt>
                <c:pt idx="440">
                  <c:v>1E-10</c:v>
                </c:pt>
                <c:pt idx="441">
                  <c:v>1E-10</c:v>
                </c:pt>
                <c:pt idx="442">
                  <c:v>1E-10</c:v>
                </c:pt>
                <c:pt idx="443">
                  <c:v>1E-10</c:v>
                </c:pt>
                <c:pt idx="444">
                  <c:v>1E-10</c:v>
                </c:pt>
                <c:pt idx="445">
                  <c:v>1E-10</c:v>
                </c:pt>
                <c:pt idx="446">
                  <c:v>1E-10</c:v>
                </c:pt>
                <c:pt idx="447">
                  <c:v>1E-10</c:v>
                </c:pt>
                <c:pt idx="448">
                  <c:v>1E-10</c:v>
                </c:pt>
                <c:pt idx="449">
                  <c:v>1E-10</c:v>
                </c:pt>
                <c:pt idx="450">
                  <c:v>1E-10</c:v>
                </c:pt>
                <c:pt idx="451">
                  <c:v>1E-10</c:v>
                </c:pt>
                <c:pt idx="452">
                  <c:v>1E-10</c:v>
                </c:pt>
                <c:pt idx="453">
                  <c:v>1E-10</c:v>
                </c:pt>
                <c:pt idx="454">
                  <c:v>1E-10</c:v>
                </c:pt>
                <c:pt idx="455">
                  <c:v>1E-10</c:v>
                </c:pt>
                <c:pt idx="456">
                  <c:v>1E-10</c:v>
                </c:pt>
                <c:pt idx="457">
                  <c:v>1E-10</c:v>
                </c:pt>
                <c:pt idx="458">
                  <c:v>1E-10</c:v>
                </c:pt>
                <c:pt idx="459">
                  <c:v>1E-10</c:v>
                </c:pt>
                <c:pt idx="460">
                  <c:v>1E-10</c:v>
                </c:pt>
                <c:pt idx="461">
                  <c:v>1E-10</c:v>
                </c:pt>
                <c:pt idx="462">
                  <c:v>1E-10</c:v>
                </c:pt>
                <c:pt idx="463">
                  <c:v>1E-10</c:v>
                </c:pt>
                <c:pt idx="464">
                  <c:v>1E-10</c:v>
                </c:pt>
                <c:pt idx="465">
                  <c:v>1E-10</c:v>
                </c:pt>
                <c:pt idx="466">
                  <c:v>1E-10</c:v>
                </c:pt>
                <c:pt idx="467">
                  <c:v>1E-10</c:v>
                </c:pt>
                <c:pt idx="468">
                  <c:v>1E-10</c:v>
                </c:pt>
                <c:pt idx="469">
                  <c:v>1E-10</c:v>
                </c:pt>
                <c:pt idx="470">
                  <c:v>1E-10</c:v>
                </c:pt>
                <c:pt idx="471">
                  <c:v>1E-10</c:v>
                </c:pt>
                <c:pt idx="472">
                  <c:v>1E-10</c:v>
                </c:pt>
                <c:pt idx="473">
                  <c:v>1E-10</c:v>
                </c:pt>
                <c:pt idx="474">
                  <c:v>1E-10</c:v>
                </c:pt>
                <c:pt idx="475">
                  <c:v>1E-10</c:v>
                </c:pt>
                <c:pt idx="476">
                  <c:v>1E-10</c:v>
                </c:pt>
                <c:pt idx="477">
                  <c:v>1E-10</c:v>
                </c:pt>
                <c:pt idx="478">
                  <c:v>1E-10</c:v>
                </c:pt>
                <c:pt idx="479">
                  <c:v>1E-10</c:v>
                </c:pt>
                <c:pt idx="480">
                  <c:v>1E-10</c:v>
                </c:pt>
                <c:pt idx="481">
                  <c:v>1E-10</c:v>
                </c:pt>
                <c:pt idx="482">
                  <c:v>1E-10</c:v>
                </c:pt>
                <c:pt idx="483">
                  <c:v>1E-10</c:v>
                </c:pt>
                <c:pt idx="484">
                  <c:v>1E-10</c:v>
                </c:pt>
                <c:pt idx="485">
                  <c:v>1E-10</c:v>
                </c:pt>
                <c:pt idx="486">
                  <c:v>1E-10</c:v>
                </c:pt>
                <c:pt idx="487">
                  <c:v>1E-10</c:v>
                </c:pt>
                <c:pt idx="488">
                  <c:v>1E-10</c:v>
                </c:pt>
                <c:pt idx="489">
                  <c:v>1E-10</c:v>
                </c:pt>
                <c:pt idx="490">
                  <c:v>1E-10</c:v>
                </c:pt>
                <c:pt idx="491">
                  <c:v>1E-10</c:v>
                </c:pt>
                <c:pt idx="492">
                  <c:v>1E-10</c:v>
                </c:pt>
                <c:pt idx="493">
                  <c:v>1E-10</c:v>
                </c:pt>
                <c:pt idx="494">
                  <c:v>1E-10</c:v>
                </c:pt>
                <c:pt idx="495">
                  <c:v>1E-10</c:v>
                </c:pt>
                <c:pt idx="496">
                  <c:v>1E-10</c:v>
                </c:pt>
                <c:pt idx="497">
                  <c:v>1E-10</c:v>
                </c:pt>
                <c:pt idx="498">
                  <c:v>1E-10</c:v>
                </c:pt>
                <c:pt idx="499">
                  <c:v>1E-10</c:v>
                </c:pt>
                <c:pt idx="500">
                  <c:v>1E-10</c:v>
                </c:pt>
                <c:pt idx="501">
                  <c:v>1E-10</c:v>
                </c:pt>
                <c:pt idx="502">
                  <c:v>1E-10</c:v>
                </c:pt>
                <c:pt idx="503">
                  <c:v>1E-10</c:v>
                </c:pt>
                <c:pt idx="504">
                  <c:v>1E-10</c:v>
                </c:pt>
                <c:pt idx="505">
                  <c:v>1E-10</c:v>
                </c:pt>
                <c:pt idx="506">
                  <c:v>1E-10</c:v>
                </c:pt>
                <c:pt idx="507">
                  <c:v>1E-10</c:v>
                </c:pt>
                <c:pt idx="508">
                  <c:v>1E-10</c:v>
                </c:pt>
                <c:pt idx="509">
                  <c:v>1E-10</c:v>
                </c:pt>
                <c:pt idx="510">
                  <c:v>1E-10</c:v>
                </c:pt>
                <c:pt idx="511">
                  <c:v>1E-10</c:v>
                </c:pt>
                <c:pt idx="512">
                  <c:v>1E-10</c:v>
                </c:pt>
                <c:pt idx="513">
                  <c:v>1E-10</c:v>
                </c:pt>
                <c:pt idx="514">
                  <c:v>1E-10</c:v>
                </c:pt>
                <c:pt idx="515">
                  <c:v>1E-10</c:v>
                </c:pt>
                <c:pt idx="516">
                  <c:v>1E-10</c:v>
                </c:pt>
                <c:pt idx="517">
                  <c:v>1E-10</c:v>
                </c:pt>
                <c:pt idx="518">
                  <c:v>1E-10</c:v>
                </c:pt>
                <c:pt idx="519">
                  <c:v>1E-10</c:v>
                </c:pt>
                <c:pt idx="520">
                  <c:v>1E-10</c:v>
                </c:pt>
                <c:pt idx="521">
                  <c:v>1E-10</c:v>
                </c:pt>
                <c:pt idx="522">
                  <c:v>1E-10</c:v>
                </c:pt>
                <c:pt idx="523">
                  <c:v>1E-10</c:v>
                </c:pt>
                <c:pt idx="524">
                  <c:v>1E-10</c:v>
                </c:pt>
                <c:pt idx="525">
                  <c:v>1E-10</c:v>
                </c:pt>
                <c:pt idx="526">
                  <c:v>1E-10</c:v>
                </c:pt>
                <c:pt idx="527">
                  <c:v>1E-10</c:v>
                </c:pt>
                <c:pt idx="528">
                  <c:v>1E-10</c:v>
                </c:pt>
                <c:pt idx="529">
                  <c:v>1E-10</c:v>
                </c:pt>
                <c:pt idx="530">
                  <c:v>1E-10</c:v>
                </c:pt>
                <c:pt idx="531">
                  <c:v>1E-10</c:v>
                </c:pt>
                <c:pt idx="532">
                  <c:v>1E-10</c:v>
                </c:pt>
                <c:pt idx="533">
                  <c:v>1E-10</c:v>
                </c:pt>
                <c:pt idx="534">
                  <c:v>1E-10</c:v>
                </c:pt>
                <c:pt idx="535">
                  <c:v>1E-10</c:v>
                </c:pt>
                <c:pt idx="536">
                  <c:v>1E-10</c:v>
                </c:pt>
                <c:pt idx="537">
                  <c:v>1E-10</c:v>
                </c:pt>
                <c:pt idx="538">
                  <c:v>1E-10</c:v>
                </c:pt>
                <c:pt idx="539">
                  <c:v>1E-10</c:v>
                </c:pt>
                <c:pt idx="540">
                  <c:v>1E-10</c:v>
                </c:pt>
                <c:pt idx="541">
                  <c:v>1E-10</c:v>
                </c:pt>
                <c:pt idx="542">
                  <c:v>1E-10</c:v>
                </c:pt>
                <c:pt idx="543">
                  <c:v>1E-10</c:v>
                </c:pt>
                <c:pt idx="544">
                  <c:v>1E-10</c:v>
                </c:pt>
                <c:pt idx="545">
                  <c:v>1E-10</c:v>
                </c:pt>
                <c:pt idx="546">
                  <c:v>1E-10</c:v>
                </c:pt>
                <c:pt idx="547">
                  <c:v>1E-10</c:v>
                </c:pt>
                <c:pt idx="548">
                  <c:v>1E-10</c:v>
                </c:pt>
                <c:pt idx="549">
                  <c:v>1E-10</c:v>
                </c:pt>
                <c:pt idx="550">
                  <c:v>1E-10</c:v>
                </c:pt>
                <c:pt idx="551">
                  <c:v>1E-10</c:v>
                </c:pt>
                <c:pt idx="552">
                  <c:v>1E-10</c:v>
                </c:pt>
                <c:pt idx="553">
                  <c:v>1E-10</c:v>
                </c:pt>
                <c:pt idx="554">
                  <c:v>1E-10</c:v>
                </c:pt>
                <c:pt idx="555">
                  <c:v>1E-10</c:v>
                </c:pt>
                <c:pt idx="556">
                  <c:v>1E-10</c:v>
                </c:pt>
                <c:pt idx="557">
                  <c:v>1E-10</c:v>
                </c:pt>
                <c:pt idx="558">
                  <c:v>1E-10</c:v>
                </c:pt>
                <c:pt idx="559">
                  <c:v>1E-10</c:v>
                </c:pt>
                <c:pt idx="560">
                  <c:v>1E-10</c:v>
                </c:pt>
                <c:pt idx="561">
                  <c:v>1E-10</c:v>
                </c:pt>
                <c:pt idx="562">
                  <c:v>1E-10</c:v>
                </c:pt>
                <c:pt idx="563">
                  <c:v>1E-10</c:v>
                </c:pt>
                <c:pt idx="564">
                  <c:v>1E-10</c:v>
                </c:pt>
                <c:pt idx="565">
                  <c:v>1E-10</c:v>
                </c:pt>
                <c:pt idx="566">
                  <c:v>1E-10</c:v>
                </c:pt>
                <c:pt idx="567">
                  <c:v>1E-10</c:v>
                </c:pt>
                <c:pt idx="568">
                  <c:v>1E-10</c:v>
                </c:pt>
                <c:pt idx="569">
                  <c:v>1E-10</c:v>
                </c:pt>
                <c:pt idx="570">
                  <c:v>1E-10</c:v>
                </c:pt>
                <c:pt idx="571">
                  <c:v>1E-10</c:v>
                </c:pt>
                <c:pt idx="572">
                  <c:v>1E-10</c:v>
                </c:pt>
                <c:pt idx="573">
                  <c:v>1E-10</c:v>
                </c:pt>
                <c:pt idx="574">
                  <c:v>1E-10</c:v>
                </c:pt>
                <c:pt idx="575">
                  <c:v>1E-10</c:v>
                </c:pt>
                <c:pt idx="576">
                  <c:v>1E-10</c:v>
                </c:pt>
                <c:pt idx="577">
                  <c:v>1E-10</c:v>
                </c:pt>
                <c:pt idx="578">
                  <c:v>1E-10</c:v>
                </c:pt>
                <c:pt idx="579">
                  <c:v>1E-10</c:v>
                </c:pt>
                <c:pt idx="580">
                  <c:v>1E-10</c:v>
                </c:pt>
                <c:pt idx="581">
                  <c:v>1E-10</c:v>
                </c:pt>
                <c:pt idx="582">
                  <c:v>1E-10</c:v>
                </c:pt>
                <c:pt idx="583">
                  <c:v>1E-10</c:v>
                </c:pt>
                <c:pt idx="584">
                  <c:v>1E-10</c:v>
                </c:pt>
                <c:pt idx="585">
                  <c:v>1E-10</c:v>
                </c:pt>
                <c:pt idx="586">
                  <c:v>1E-10</c:v>
                </c:pt>
                <c:pt idx="587">
                  <c:v>1E-10</c:v>
                </c:pt>
                <c:pt idx="588">
                  <c:v>1E-10</c:v>
                </c:pt>
                <c:pt idx="589">
                  <c:v>1E-10</c:v>
                </c:pt>
                <c:pt idx="590">
                  <c:v>1E-10</c:v>
                </c:pt>
                <c:pt idx="591">
                  <c:v>1E-10</c:v>
                </c:pt>
                <c:pt idx="592">
                  <c:v>1E-10</c:v>
                </c:pt>
                <c:pt idx="593">
                  <c:v>1E-10</c:v>
                </c:pt>
                <c:pt idx="594">
                  <c:v>1E-10</c:v>
                </c:pt>
                <c:pt idx="595">
                  <c:v>1E-10</c:v>
                </c:pt>
                <c:pt idx="596">
                  <c:v>1E-10</c:v>
                </c:pt>
                <c:pt idx="597">
                  <c:v>1E-10</c:v>
                </c:pt>
                <c:pt idx="598">
                  <c:v>1E-10</c:v>
                </c:pt>
                <c:pt idx="599">
                  <c:v>1E-10</c:v>
                </c:pt>
                <c:pt idx="600">
                  <c:v>1E-10</c:v>
                </c:pt>
                <c:pt idx="601">
                  <c:v>1E-10</c:v>
                </c:pt>
                <c:pt idx="602">
                  <c:v>1E-10</c:v>
                </c:pt>
                <c:pt idx="603">
                  <c:v>1E-10</c:v>
                </c:pt>
                <c:pt idx="604">
                  <c:v>1E-10</c:v>
                </c:pt>
                <c:pt idx="605">
                  <c:v>1E-10</c:v>
                </c:pt>
                <c:pt idx="606">
                  <c:v>1E-10</c:v>
                </c:pt>
                <c:pt idx="607">
                  <c:v>1E-10</c:v>
                </c:pt>
                <c:pt idx="608">
                  <c:v>1E-10</c:v>
                </c:pt>
                <c:pt idx="609">
                  <c:v>1E-10</c:v>
                </c:pt>
                <c:pt idx="610">
                  <c:v>1E-10</c:v>
                </c:pt>
                <c:pt idx="611">
                  <c:v>1E-10</c:v>
                </c:pt>
                <c:pt idx="612">
                  <c:v>1E-10</c:v>
                </c:pt>
                <c:pt idx="613">
                  <c:v>1E-10</c:v>
                </c:pt>
                <c:pt idx="614">
                  <c:v>1E-10</c:v>
                </c:pt>
                <c:pt idx="615">
                  <c:v>1E-10</c:v>
                </c:pt>
                <c:pt idx="616">
                  <c:v>1E-10</c:v>
                </c:pt>
                <c:pt idx="617">
                  <c:v>1E-10</c:v>
                </c:pt>
                <c:pt idx="618">
                  <c:v>1E-10</c:v>
                </c:pt>
                <c:pt idx="619">
                  <c:v>1E-10</c:v>
                </c:pt>
                <c:pt idx="620">
                  <c:v>1E-10</c:v>
                </c:pt>
                <c:pt idx="621">
                  <c:v>1E-10</c:v>
                </c:pt>
                <c:pt idx="622">
                  <c:v>1E-10</c:v>
                </c:pt>
                <c:pt idx="623">
                  <c:v>1E-10</c:v>
                </c:pt>
                <c:pt idx="624">
                  <c:v>1E-10</c:v>
                </c:pt>
                <c:pt idx="625">
                  <c:v>1E-10</c:v>
                </c:pt>
                <c:pt idx="626">
                  <c:v>1E-10</c:v>
                </c:pt>
                <c:pt idx="627">
                  <c:v>1E-10</c:v>
                </c:pt>
                <c:pt idx="628">
                  <c:v>1E-10</c:v>
                </c:pt>
                <c:pt idx="629">
                  <c:v>1E-10</c:v>
                </c:pt>
                <c:pt idx="630">
                  <c:v>1E-10</c:v>
                </c:pt>
                <c:pt idx="631">
                  <c:v>1E-10</c:v>
                </c:pt>
                <c:pt idx="632">
                  <c:v>1E-10</c:v>
                </c:pt>
                <c:pt idx="633">
                  <c:v>1E-10</c:v>
                </c:pt>
                <c:pt idx="634">
                  <c:v>1E-10</c:v>
                </c:pt>
                <c:pt idx="635">
                  <c:v>1E-10</c:v>
                </c:pt>
                <c:pt idx="636">
                  <c:v>1E-10</c:v>
                </c:pt>
                <c:pt idx="637">
                  <c:v>1E-10</c:v>
                </c:pt>
                <c:pt idx="638">
                  <c:v>1E-10</c:v>
                </c:pt>
                <c:pt idx="639">
                  <c:v>1E-10</c:v>
                </c:pt>
                <c:pt idx="640">
                  <c:v>1E-10</c:v>
                </c:pt>
                <c:pt idx="641">
                  <c:v>1E-10</c:v>
                </c:pt>
                <c:pt idx="642">
                  <c:v>1E-10</c:v>
                </c:pt>
                <c:pt idx="643">
                  <c:v>1E-10</c:v>
                </c:pt>
                <c:pt idx="644">
                  <c:v>1E-10</c:v>
                </c:pt>
                <c:pt idx="645">
                  <c:v>1E-10</c:v>
                </c:pt>
                <c:pt idx="646">
                  <c:v>1E-10</c:v>
                </c:pt>
                <c:pt idx="647">
                  <c:v>1E-10</c:v>
                </c:pt>
                <c:pt idx="648">
                  <c:v>1E-10</c:v>
                </c:pt>
                <c:pt idx="649">
                  <c:v>1E-10</c:v>
                </c:pt>
                <c:pt idx="650">
                  <c:v>1E-10</c:v>
                </c:pt>
                <c:pt idx="651">
                  <c:v>1E-10</c:v>
                </c:pt>
                <c:pt idx="652">
                  <c:v>1E-10</c:v>
                </c:pt>
                <c:pt idx="653">
                  <c:v>1E-10</c:v>
                </c:pt>
                <c:pt idx="654">
                  <c:v>1E-10</c:v>
                </c:pt>
                <c:pt idx="655">
                  <c:v>1E-10</c:v>
                </c:pt>
                <c:pt idx="656">
                  <c:v>1E-10</c:v>
                </c:pt>
                <c:pt idx="657">
                  <c:v>1E-10</c:v>
                </c:pt>
                <c:pt idx="658">
                  <c:v>1E-10</c:v>
                </c:pt>
                <c:pt idx="659">
                  <c:v>1E-10</c:v>
                </c:pt>
                <c:pt idx="660">
                  <c:v>1E-10</c:v>
                </c:pt>
                <c:pt idx="661">
                  <c:v>1E-10</c:v>
                </c:pt>
                <c:pt idx="662">
                  <c:v>1E-10</c:v>
                </c:pt>
                <c:pt idx="663">
                  <c:v>1E-10</c:v>
                </c:pt>
                <c:pt idx="664">
                  <c:v>1E-10</c:v>
                </c:pt>
                <c:pt idx="665">
                  <c:v>1E-10</c:v>
                </c:pt>
                <c:pt idx="666">
                  <c:v>1E-10</c:v>
                </c:pt>
                <c:pt idx="667">
                  <c:v>1E-10</c:v>
                </c:pt>
                <c:pt idx="668">
                  <c:v>1E-10</c:v>
                </c:pt>
                <c:pt idx="669">
                  <c:v>1E-10</c:v>
                </c:pt>
                <c:pt idx="670">
                  <c:v>1E-10</c:v>
                </c:pt>
                <c:pt idx="671">
                  <c:v>1E-10</c:v>
                </c:pt>
                <c:pt idx="672">
                  <c:v>1E-10</c:v>
                </c:pt>
                <c:pt idx="673">
                  <c:v>1E-10</c:v>
                </c:pt>
                <c:pt idx="674">
                  <c:v>1E-10</c:v>
                </c:pt>
                <c:pt idx="675">
                  <c:v>1E-10</c:v>
                </c:pt>
                <c:pt idx="676">
                  <c:v>1E-10</c:v>
                </c:pt>
                <c:pt idx="677">
                  <c:v>1E-10</c:v>
                </c:pt>
                <c:pt idx="678">
                  <c:v>1E-10</c:v>
                </c:pt>
                <c:pt idx="679">
                  <c:v>1E-10</c:v>
                </c:pt>
                <c:pt idx="680">
                  <c:v>1E-10</c:v>
                </c:pt>
                <c:pt idx="681">
                  <c:v>1E-10</c:v>
                </c:pt>
                <c:pt idx="682">
                  <c:v>1E-10</c:v>
                </c:pt>
                <c:pt idx="683">
                  <c:v>1E-10</c:v>
                </c:pt>
                <c:pt idx="684">
                  <c:v>1E-10</c:v>
                </c:pt>
                <c:pt idx="685">
                  <c:v>1E-10</c:v>
                </c:pt>
                <c:pt idx="686">
                  <c:v>1E-10</c:v>
                </c:pt>
                <c:pt idx="687">
                  <c:v>1E-10</c:v>
                </c:pt>
                <c:pt idx="688">
                  <c:v>1E-10</c:v>
                </c:pt>
                <c:pt idx="689">
                  <c:v>1E-10</c:v>
                </c:pt>
                <c:pt idx="690">
                  <c:v>1E-10</c:v>
                </c:pt>
                <c:pt idx="691">
                  <c:v>1E-10</c:v>
                </c:pt>
                <c:pt idx="692">
                  <c:v>1E-10</c:v>
                </c:pt>
                <c:pt idx="693">
                  <c:v>1E-10</c:v>
                </c:pt>
                <c:pt idx="694">
                  <c:v>1E-10</c:v>
                </c:pt>
                <c:pt idx="695">
                  <c:v>1E-10</c:v>
                </c:pt>
                <c:pt idx="696">
                  <c:v>1E-10</c:v>
                </c:pt>
                <c:pt idx="697">
                  <c:v>1E-10</c:v>
                </c:pt>
                <c:pt idx="698">
                  <c:v>1E-10</c:v>
                </c:pt>
                <c:pt idx="699">
                  <c:v>1E-10</c:v>
                </c:pt>
                <c:pt idx="700">
                  <c:v>1E-10</c:v>
                </c:pt>
                <c:pt idx="701">
                  <c:v>1E-10</c:v>
                </c:pt>
                <c:pt idx="702">
                  <c:v>1E-10</c:v>
                </c:pt>
                <c:pt idx="703">
                  <c:v>1E-10</c:v>
                </c:pt>
                <c:pt idx="704">
                  <c:v>1E-10</c:v>
                </c:pt>
                <c:pt idx="705">
                  <c:v>1E-10</c:v>
                </c:pt>
                <c:pt idx="706">
                  <c:v>1E-10</c:v>
                </c:pt>
                <c:pt idx="707">
                  <c:v>1E-10</c:v>
                </c:pt>
                <c:pt idx="708">
                  <c:v>1E-10</c:v>
                </c:pt>
                <c:pt idx="709">
                  <c:v>1E-10</c:v>
                </c:pt>
                <c:pt idx="710">
                  <c:v>1E-10</c:v>
                </c:pt>
                <c:pt idx="711">
                  <c:v>1E-10</c:v>
                </c:pt>
                <c:pt idx="712">
                  <c:v>1E-10</c:v>
                </c:pt>
                <c:pt idx="713">
                  <c:v>1E-10</c:v>
                </c:pt>
                <c:pt idx="714">
                  <c:v>1E-10</c:v>
                </c:pt>
                <c:pt idx="715">
                  <c:v>1E-10</c:v>
                </c:pt>
                <c:pt idx="716">
                  <c:v>1E-10</c:v>
                </c:pt>
                <c:pt idx="717">
                  <c:v>1E-10</c:v>
                </c:pt>
                <c:pt idx="718">
                  <c:v>1E-10</c:v>
                </c:pt>
                <c:pt idx="719">
                  <c:v>1E-10</c:v>
                </c:pt>
                <c:pt idx="720">
                  <c:v>1E-10</c:v>
                </c:pt>
                <c:pt idx="721">
                  <c:v>1E-10</c:v>
                </c:pt>
                <c:pt idx="722">
                  <c:v>1E-10</c:v>
                </c:pt>
                <c:pt idx="723">
                  <c:v>1E-10</c:v>
                </c:pt>
                <c:pt idx="724">
                  <c:v>1E-10</c:v>
                </c:pt>
                <c:pt idx="725">
                  <c:v>1E-10</c:v>
                </c:pt>
                <c:pt idx="726">
                  <c:v>1E-10</c:v>
                </c:pt>
                <c:pt idx="727">
                  <c:v>1E-10</c:v>
                </c:pt>
                <c:pt idx="728">
                  <c:v>1E-10</c:v>
                </c:pt>
                <c:pt idx="729">
                  <c:v>1E-10</c:v>
                </c:pt>
                <c:pt idx="730">
                  <c:v>1E-10</c:v>
                </c:pt>
                <c:pt idx="731">
                  <c:v>1E-10</c:v>
                </c:pt>
                <c:pt idx="732">
                  <c:v>1E-10</c:v>
                </c:pt>
                <c:pt idx="733">
                  <c:v>1E-10</c:v>
                </c:pt>
                <c:pt idx="734">
                  <c:v>1E-10</c:v>
                </c:pt>
                <c:pt idx="735">
                  <c:v>1E-10</c:v>
                </c:pt>
                <c:pt idx="736">
                  <c:v>1E-10</c:v>
                </c:pt>
                <c:pt idx="737">
                  <c:v>1E-10</c:v>
                </c:pt>
                <c:pt idx="738">
                  <c:v>1E-10</c:v>
                </c:pt>
                <c:pt idx="739">
                  <c:v>1E-10</c:v>
                </c:pt>
                <c:pt idx="740">
                  <c:v>1E-10</c:v>
                </c:pt>
                <c:pt idx="741">
                  <c:v>1E-10</c:v>
                </c:pt>
                <c:pt idx="742">
                  <c:v>1E-10</c:v>
                </c:pt>
                <c:pt idx="743">
                  <c:v>1E-10</c:v>
                </c:pt>
                <c:pt idx="744">
                  <c:v>1E-10</c:v>
                </c:pt>
                <c:pt idx="745">
                  <c:v>1E-10</c:v>
                </c:pt>
                <c:pt idx="746">
                  <c:v>1E-10</c:v>
                </c:pt>
                <c:pt idx="747">
                  <c:v>1E-10</c:v>
                </c:pt>
                <c:pt idx="748">
                  <c:v>1E-10</c:v>
                </c:pt>
                <c:pt idx="749">
                  <c:v>1E-10</c:v>
                </c:pt>
                <c:pt idx="750">
                  <c:v>1E-10</c:v>
                </c:pt>
                <c:pt idx="751">
                  <c:v>1E-10</c:v>
                </c:pt>
                <c:pt idx="752">
                  <c:v>1E-10</c:v>
                </c:pt>
                <c:pt idx="753">
                  <c:v>1E-10</c:v>
                </c:pt>
                <c:pt idx="754">
                  <c:v>1E-10</c:v>
                </c:pt>
                <c:pt idx="755">
                  <c:v>1E-10</c:v>
                </c:pt>
                <c:pt idx="756">
                  <c:v>1E-10</c:v>
                </c:pt>
                <c:pt idx="757">
                  <c:v>1E-10</c:v>
                </c:pt>
                <c:pt idx="758">
                  <c:v>1E-10</c:v>
                </c:pt>
                <c:pt idx="759">
                  <c:v>1E-10</c:v>
                </c:pt>
                <c:pt idx="760">
                  <c:v>1E-10</c:v>
                </c:pt>
                <c:pt idx="761">
                  <c:v>1E-10</c:v>
                </c:pt>
                <c:pt idx="762">
                  <c:v>1E-10</c:v>
                </c:pt>
                <c:pt idx="763">
                  <c:v>1E-10</c:v>
                </c:pt>
                <c:pt idx="764">
                  <c:v>1E-10</c:v>
                </c:pt>
                <c:pt idx="765">
                  <c:v>1E-10</c:v>
                </c:pt>
                <c:pt idx="766">
                  <c:v>1E-10</c:v>
                </c:pt>
                <c:pt idx="767">
                  <c:v>1E-10</c:v>
                </c:pt>
                <c:pt idx="768">
                  <c:v>1E-10</c:v>
                </c:pt>
                <c:pt idx="769">
                  <c:v>1E-10</c:v>
                </c:pt>
                <c:pt idx="770">
                  <c:v>1E-10</c:v>
                </c:pt>
                <c:pt idx="771">
                  <c:v>1E-10</c:v>
                </c:pt>
                <c:pt idx="772">
                  <c:v>1E-10</c:v>
                </c:pt>
                <c:pt idx="773">
                  <c:v>1E-10</c:v>
                </c:pt>
                <c:pt idx="774">
                  <c:v>1E-10</c:v>
                </c:pt>
                <c:pt idx="775">
                  <c:v>1E-10</c:v>
                </c:pt>
                <c:pt idx="776">
                  <c:v>1E-10</c:v>
                </c:pt>
                <c:pt idx="777">
                  <c:v>1E-10</c:v>
                </c:pt>
                <c:pt idx="778">
                  <c:v>1E-10</c:v>
                </c:pt>
                <c:pt idx="779">
                  <c:v>1E-10</c:v>
                </c:pt>
                <c:pt idx="780">
                  <c:v>1E-10</c:v>
                </c:pt>
                <c:pt idx="781">
                  <c:v>1E-10</c:v>
                </c:pt>
                <c:pt idx="782">
                  <c:v>1E-10</c:v>
                </c:pt>
                <c:pt idx="783">
                  <c:v>1E-10</c:v>
                </c:pt>
                <c:pt idx="784">
                  <c:v>1E-10</c:v>
                </c:pt>
                <c:pt idx="785">
                  <c:v>1E-10</c:v>
                </c:pt>
                <c:pt idx="786">
                  <c:v>1E-10</c:v>
                </c:pt>
                <c:pt idx="787">
                  <c:v>1E-10</c:v>
                </c:pt>
                <c:pt idx="788">
                  <c:v>1E-10</c:v>
                </c:pt>
                <c:pt idx="789">
                  <c:v>1E-10</c:v>
                </c:pt>
                <c:pt idx="790">
                  <c:v>1E-10</c:v>
                </c:pt>
                <c:pt idx="791">
                  <c:v>1E-10</c:v>
                </c:pt>
                <c:pt idx="792">
                  <c:v>1E-10</c:v>
                </c:pt>
                <c:pt idx="793">
                  <c:v>1E-10</c:v>
                </c:pt>
                <c:pt idx="794">
                  <c:v>1E-10</c:v>
                </c:pt>
                <c:pt idx="795">
                  <c:v>1E-10</c:v>
                </c:pt>
                <c:pt idx="796">
                  <c:v>1E-10</c:v>
                </c:pt>
                <c:pt idx="797">
                  <c:v>1E-10</c:v>
                </c:pt>
                <c:pt idx="798">
                  <c:v>1E-10</c:v>
                </c:pt>
                <c:pt idx="799">
                  <c:v>1E-10</c:v>
                </c:pt>
                <c:pt idx="800">
                  <c:v>1E-10</c:v>
                </c:pt>
                <c:pt idx="801">
                  <c:v>1E-10</c:v>
                </c:pt>
                <c:pt idx="802">
                  <c:v>1E-10</c:v>
                </c:pt>
                <c:pt idx="803">
                  <c:v>1E-10</c:v>
                </c:pt>
                <c:pt idx="804">
                  <c:v>1E-10</c:v>
                </c:pt>
                <c:pt idx="805">
                  <c:v>1E-10</c:v>
                </c:pt>
                <c:pt idx="806">
                  <c:v>1E-10</c:v>
                </c:pt>
                <c:pt idx="807">
                  <c:v>1E-10</c:v>
                </c:pt>
                <c:pt idx="808">
                  <c:v>1E-10</c:v>
                </c:pt>
                <c:pt idx="809">
                  <c:v>1E-10</c:v>
                </c:pt>
                <c:pt idx="810">
                  <c:v>1E-10</c:v>
                </c:pt>
                <c:pt idx="811">
                  <c:v>1E-10</c:v>
                </c:pt>
                <c:pt idx="812">
                  <c:v>1E-10</c:v>
                </c:pt>
                <c:pt idx="813">
                  <c:v>1E-10</c:v>
                </c:pt>
                <c:pt idx="814">
                  <c:v>1E-10</c:v>
                </c:pt>
                <c:pt idx="815">
                  <c:v>1E-10</c:v>
                </c:pt>
                <c:pt idx="816">
                  <c:v>1E-10</c:v>
                </c:pt>
                <c:pt idx="817">
                  <c:v>1E-10</c:v>
                </c:pt>
                <c:pt idx="818">
                  <c:v>1E-10</c:v>
                </c:pt>
                <c:pt idx="819">
                  <c:v>1E-10</c:v>
                </c:pt>
                <c:pt idx="820">
                  <c:v>1E-10</c:v>
                </c:pt>
                <c:pt idx="821">
                  <c:v>1E-10</c:v>
                </c:pt>
                <c:pt idx="822">
                  <c:v>1E-10</c:v>
                </c:pt>
                <c:pt idx="823">
                  <c:v>1E-10</c:v>
                </c:pt>
                <c:pt idx="824">
                  <c:v>1E-10</c:v>
                </c:pt>
                <c:pt idx="825">
                  <c:v>1E-10</c:v>
                </c:pt>
                <c:pt idx="826">
                  <c:v>1E-10</c:v>
                </c:pt>
                <c:pt idx="827">
                  <c:v>1E-10</c:v>
                </c:pt>
                <c:pt idx="828">
                  <c:v>1E-10</c:v>
                </c:pt>
                <c:pt idx="829">
                  <c:v>1E-10</c:v>
                </c:pt>
                <c:pt idx="830">
                  <c:v>1E-10</c:v>
                </c:pt>
                <c:pt idx="831">
                  <c:v>1E-10</c:v>
                </c:pt>
                <c:pt idx="832">
                  <c:v>1E-10</c:v>
                </c:pt>
                <c:pt idx="833">
                  <c:v>1E-10</c:v>
                </c:pt>
                <c:pt idx="834">
                  <c:v>1E-10</c:v>
                </c:pt>
                <c:pt idx="835">
                  <c:v>1E-10</c:v>
                </c:pt>
                <c:pt idx="836">
                  <c:v>1E-10</c:v>
                </c:pt>
                <c:pt idx="837">
                  <c:v>1E-10</c:v>
                </c:pt>
                <c:pt idx="838">
                  <c:v>1E-10</c:v>
                </c:pt>
                <c:pt idx="839">
                  <c:v>1E-10</c:v>
                </c:pt>
                <c:pt idx="840">
                  <c:v>1E-10</c:v>
                </c:pt>
                <c:pt idx="841">
                  <c:v>1E-10</c:v>
                </c:pt>
                <c:pt idx="842">
                  <c:v>1E-10</c:v>
                </c:pt>
                <c:pt idx="843">
                  <c:v>1E-10</c:v>
                </c:pt>
                <c:pt idx="844">
                  <c:v>1E-10</c:v>
                </c:pt>
                <c:pt idx="845">
                  <c:v>1E-10</c:v>
                </c:pt>
                <c:pt idx="846">
                  <c:v>1E-10</c:v>
                </c:pt>
                <c:pt idx="847">
                  <c:v>1E-10</c:v>
                </c:pt>
                <c:pt idx="848">
                  <c:v>1E-10</c:v>
                </c:pt>
                <c:pt idx="849">
                  <c:v>1E-10</c:v>
                </c:pt>
                <c:pt idx="850">
                  <c:v>1E-10</c:v>
                </c:pt>
                <c:pt idx="851">
                  <c:v>1E-10</c:v>
                </c:pt>
                <c:pt idx="852">
                  <c:v>1E-10</c:v>
                </c:pt>
                <c:pt idx="853">
                  <c:v>1E-10</c:v>
                </c:pt>
                <c:pt idx="854">
                  <c:v>1E-10</c:v>
                </c:pt>
                <c:pt idx="855">
                  <c:v>1E-10</c:v>
                </c:pt>
                <c:pt idx="856">
                  <c:v>1E-10</c:v>
                </c:pt>
                <c:pt idx="857">
                  <c:v>1E-10</c:v>
                </c:pt>
                <c:pt idx="858">
                  <c:v>1E-10</c:v>
                </c:pt>
                <c:pt idx="859">
                  <c:v>1E-10</c:v>
                </c:pt>
                <c:pt idx="860">
                  <c:v>1E-10</c:v>
                </c:pt>
                <c:pt idx="861">
                  <c:v>1E-10</c:v>
                </c:pt>
                <c:pt idx="862">
                  <c:v>1E-10</c:v>
                </c:pt>
                <c:pt idx="863">
                  <c:v>1E-10</c:v>
                </c:pt>
                <c:pt idx="864">
                  <c:v>1E-10</c:v>
                </c:pt>
                <c:pt idx="865">
                  <c:v>1E-10</c:v>
                </c:pt>
                <c:pt idx="866">
                  <c:v>1E-10</c:v>
                </c:pt>
                <c:pt idx="867">
                  <c:v>1E-10</c:v>
                </c:pt>
                <c:pt idx="868">
                  <c:v>1E-10</c:v>
                </c:pt>
                <c:pt idx="869">
                  <c:v>1E-10</c:v>
                </c:pt>
                <c:pt idx="870">
                  <c:v>1E-10</c:v>
                </c:pt>
                <c:pt idx="871">
                  <c:v>1E-10</c:v>
                </c:pt>
                <c:pt idx="872">
                  <c:v>1E-10</c:v>
                </c:pt>
                <c:pt idx="873">
                  <c:v>1E-10</c:v>
                </c:pt>
                <c:pt idx="874">
                  <c:v>1E-10</c:v>
                </c:pt>
                <c:pt idx="875">
                  <c:v>1E-10</c:v>
                </c:pt>
                <c:pt idx="876">
                  <c:v>1E-10</c:v>
                </c:pt>
                <c:pt idx="877">
                  <c:v>1E-10</c:v>
                </c:pt>
                <c:pt idx="878">
                  <c:v>1E-10</c:v>
                </c:pt>
                <c:pt idx="879">
                  <c:v>1E-10</c:v>
                </c:pt>
                <c:pt idx="880">
                  <c:v>1E-10</c:v>
                </c:pt>
                <c:pt idx="881">
                  <c:v>1E-10</c:v>
                </c:pt>
                <c:pt idx="882">
                  <c:v>1E-10</c:v>
                </c:pt>
                <c:pt idx="883">
                  <c:v>1E-10</c:v>
                </c:pt>
                <c:pt idx="884">
                  <c:v>1E-10</c:v>
                </c:pt>
                <c:pt idx="885">
                  <c:v>1E-10</c:v>
                </c:pt>
                <c:pt idx="886">
                  <c:v>1E-10</c:v>
                </c:pt>
                <c:pt idx="887">
                  <c:v>1E-10</c:v>
                </c:pt>
                <c:pt idx="888">
                  <c:v>1E-10</c:v>
                </c:pt>
                <c:pt idx="889">
                  <c:v>1E-10</c:v>
                </c:pt>
                <c:pt idx="890">
                  <c:v>1E-10</c:v>
                </c:pt>
                <c:pt idx="891">
                  <c:v>1E-10</c:v>
                </c:pt>
                <c:pt idx="892">
                  <c:v>1E-10</c:v>
                </c:pt>
                <c:pt idx="893">
                  <c:v>1E-10</c:v>
                </c:pt>
                <c:pt idx="894">
                  <c:v>1E-10</c:v>
                </c:pt>
                <c:pt idx="895">
                  <c:v>1E-10</c:v>
                </c:pt>
                <c:pt idx="896">
                  <c:v>1E-10</c:v>
                </c:pt>
                <c:pt idx="897">
                  <c:v>1E-10</c:v>
                </c:pt>
                <c:pt idx="898">
                  <c:v>1E-10</c:v>
                </c:pt>
                <c:pt idx="899">
                  <c:v>1E-10</c:v>
                </c:pt>
                <c:pt idx="900">
                  <c:v>1E-10</c:v>
                </c:pt>
                <c:pt idx="901">
                  <c:v>1E-10</c:v>
                </c:pt>
                <c:pt idx="902">
                  <c:v>1E-10</c:v>
                </c:pt>
                <c:pt idx="903">
                  <c:v>1E-10</c:v>
                </c:pt>
                <c:pt idx="904">
                  <c:v>1E-10</c:v>
                </c:pt>
                <c:pt idx="905">
                  <c:v>1E-10</c:v>
                </c:pt>
                <c:pt idx="906">
                  <c:v>1E-10</c:v>
                </c:pt>
                <c:pt idx="907">
                  <c:v>1E-10</c:v>
                </c:pt>
                <c:pt idx="908">
                  <c:v>1E-10</c:v>
                </c:pt>
                <c:pt idx="909">
                  <c:v>1E-10</c:v>
                </c:pt>
                <c:pt idx="910">
                  <c:v>1E-10</c:v>
                </c:pt>
                <c:pt idx="911">
                  <c:v>1E-10</c:v>
                </c:pt>
                <c:pt idx="912">
                  <c:v>1E-10</c:v>
                </c:pt>
                <c:pt idx="913">
                  <c:v>1E-10</c:v>
                </c:pt>
                <c:pt idx="914">
                  <c:v>1E-10</c:v>
                </c:pt>
                <c:pt idx="915">
                  <c:v>1E-10</c:v>
                </c:pt>
                <c:pt idx="916">
                  <c:v>1E-10</c:v>
                </c:pt>
                <c:pt idx="917">
                  <c:v>1E-10</c:v>
                </c:pt>
                <c:pt idx="918">
                  <c:v>1E-10</c:v>
                </c:pt>
                <c:pt idx="919">
                  <c:v>1E-10</c:v>
                </c:pt>
                <c:pt idx="920">
                  <c:v>1E-10</c:v>
                </c:pt>
                <c:pt idx="921">
                  <c:v>1E-10</c:v>
                </c:pt>
                <c:pt idx="922">
                  <c:v>1E-10</c:v>
                </c:pt>
                <c:pt idx="923">
                  <c:v>1E-10</c:v>
                </c:pt>
                <c:pt idx="924">
                  <c:v>1E-10</c:v>
                </c:pt>
                <c:pt idx="925">
                  <c:v>1E-10</c:v>
                </c:pt>
                <c:pt idx="926">
                  <c:v>1E-10</c:v>
                </c:pt>
                <c:pt idx="927">
                  <c:v>1E-10</c:v>
                </c:pt>
                <c:pt idx="928">
                  <c:v>1E-10</c:v>
                </c:pt>
                <c:pt idx="929">
                  <c:v>1E-10</c:v>
                </c:pt>
                <c:pt idx="930">
                  <c:v>1E-10</c:v>
                </c:pt>
                <c:pt idx="931">
                  <c:v>1E-10</c:v>
                </c:pt>
                <c:pt idx="932">
                  <c:v>1E-10</c:v>
                </c:pt>
                <c:pt idx="933">
                  <c:v>1E-10</c:v>
                </c:pt>
                <c:pt idx="934">
                  <c:v>1E-10</c:v>
                </c:pt>
                <c:pt idx="935">
                  <c:v>1E-10</c:v>
                </c:pt>
                <c:pt idx="936">
                  <c:v>1E-10</c:v>
                </c:pt>
                <c:pt idx="937">
                  <c:v>1E-10</c:v>
                </c:pt>
                <c:pt idx="938">
                  <c:v>1E-10</c:v>
                </c:pt>
                <c:pt idx="939">
                  <c:v>1E-10</c:v>
                </c:pt>
                <c:pt idx="940">
                  <c:v>1E-10</c:v>
                </c:pt>
                <c:pt idx="941">
                  <c:v>1E-10</c:v>
                </c:pt>
                <c:pt idx="942">
                  <c:v>1E-10</c:v>
                </c:pt>
                <c:pt idx="943">
                  <c:v>1E-10</c:v>
                </c:pt>
                <c:pt idx="944">
                  <c:v>1E-10</c:v>
                </c:pt>
                <c:pt idx="945">
                  <c:v>1E-10</c:v>
                </c:pt>
                <c:pt idx="946">
                  <c:v>1E-10</c:v>
                </c:pt>
                <c:pt idx="947">
                  <c:v>1E-10</c:v>
                </c:pt>
                <c:pt idx="948">
                  <c:v>1E-10</c:v>
                </c:pt>
                <c:pt idx="949">
                  <c:v>1E-10</c:v>
                </c:pt>
                <c:pt idx="950">
                  <c:v>1E-10</c:v>
                </c:pt>
                <c:pt idx="951">
                  <c:v>1E-10</c:v>
                </c:pt>
                <c:pt idx="952">
                  <c:v>1E-10</c:v>
                </c:pt>
                <c:pt idx="953">
                  <c:v>1E-10</c:v>
                </c:pt>
                <c:pt idx="954">
                  <c:v>1E-10</c:v>
                </c:pt>
                <c:pt idx="955">
                  <c:v>1E-10</c:v>
                </c:pt>
                <c:pt idx="956">
                  <c:v>1E-10</c:v>
                </c:pt>
                <c:pt idx="957">
                  <c:v>1E-10</c:v>
                </c:pt>
                <c:pt idx="958">
                  <c:v>1E-10</c:v>
                </c:pt>
                <c:pt idx="959">
                  <c:v>1E-10</c:v>
                </c:pt>
                <c:pt idx="960">
                  <c:v>1E-10</c:v>
                </c:pt>
                <c:pt idx="961">
                  <c:v>1E-10</c:v>
                </c:pt>
                <c:pt idx="962">
                  <c:v>1E-10</c:v>
                </c:pt>
                <c:pt idx="963">
                  <c:v>1E-10</c:v>
                </c:pt>
                <c:pt idx="964">
                  <c:v>1E-10</c:v>
                </c:pt>
                <c:pt idx="965">
                  <c:v>1E-10</c:v>
                </c:pt>
                <c:pt idx="966">
                  <c:v>1E-10</c:v>
                </c:pt>
                <c:pt idx="967">
                  <c:v>1E-10</c:v>
                </c:pt>
                <c:pt idx="968">
                  <c:v>1E-10</c:v>
                </c:pt>
                <c:pt idx="969">
                  <c:v>1E-10</c:v>
                </c:pt>
                <c:pt idx="970">
                  <c:v>1E-10</c:v>
                </c:pt>
                <c:pt idx="971">
                  <c:v>1E-10</c:v>
                </c:pt>
                <c:pt idx="972">
                  <c:v>1E-10</c:v>
                </c:pt>
                <c:pt idx="973">
                  <c:v>1E-10</c:v>
                </c:pt>
                <c:pt idx="974">
                  <c:v>1E-10</c:v>
                </c:pt>
                <c:pt idx="975">
                  <c:v>1E-10</c:v>
                </c:pt>
                <c:pt idx="976">
                  <c:v>1E-10</c:v>
                </c:pt>
                <c:pt idx="977">
                  <c:v>1E-10</c:v>
                </c:pt>
                <c:pt idx="978">
                  <c:v>1E-10</c:v>
                </c:pt>
                <c:pt idx="979">
                  <c:v>1E-10</c:v>
                </c:pt>
                <c:pt idx="980">
                  <c:v>1E-10</c:v>
                </c:pt>
                <c:pt idx="981">
                  <c:v>1E-10</c:v>
                </c:pt>
                <c:pt idx="982">
                  <c:v>1E-10</c:v>
                </c:pt>
                <c:pt idx="983">
                  <c:v>1E-10</c:v>
                </c:pt>
                <c:pt idx="984">
                  <c:v>1E-10</c:v>
                </c:pt>
                <c:pt idx="985">
                  <c:v>1E-10</c:v>
                </c:pt>
                <c:pt idx="986">
                  <c:v>1E-10</c:v>
                </c:pt>
                <c:pt idx="987">
                  <c:v>1E-10</c:v>
                </c:pt>
                <c:pt idx="988">
                  <c:v>1E-10</c:v>
                </c:pt>
                <c:pt idx="989">
                  <c:v>1E-10</c:v>
                </c:pt>
                <c:pt idx="990">
                  <c:v>1E-10</c:v>
                </c:pt>
                <c:pt idx="991">
                  <c:v>1E-10</c:v>
                </c:pt>
                <c:pt idx="992">
                  <c:v>1E-10</c:v>
                </c:pt>
                <c:pt idx="993">
                  <c:v>1E-10</c:v>
                </c:pt>
                <c:pt idx="994">
                  <c:v>1E-10</c:v>
                </c:pt>
                <c:pt idx="995">
                  <c:v>1E-10</c:v>
                </c:pt>
                <c:pt idx="996">
                  <c:v>1E-10</c:v>
                </c:pt>
                <c:pt idx="997">
                  <c:v>1E-10</c:v>
                </c:pt>
                <c:pt idx="998">
                  <c:v>1E-10</c:v>
                </c:pt>
                <c:pt idx="999">
                  <c:v>1E-10</c:v>
                </c:pt>
                <c:pt idx="1000">
                  <c:v>1E-10</c:v>
                </c:pt>
              </c:numCache>
            </c:numRef>
          </c:xVal>
          <c:yVal>
            <c:numRef>
              <c:f>Data!$I$4:$I$10004</c:f>
              <c:numCache>
                <c:formatCode>General</c:formatCode>
                <c:ptCount val="10001"/>
                <c:pt idx="0">
                  <c:v>0.01</c:v>
                </c:pt>
                <c:pt idx="1">
                  <c:v>0.11</c:v>
                </c:pt>
                <c:pt idx="2">
                  <c:v>0.21000000000000002</c:v>
                </c:pt>
                <c:pt idx="3">
                  <c:v>0.31000000000000005</c:v>
                </c:pt>
                <c:pt idx="4">
                  <c:v>0.41000000000000003</c:v>
                </c:pt>
                <c:pt idx="5">
                  <c:v>0.51</c:v>
                </c:pt>
                <c:pt idx="6">
                  <c:v>0.61</c:v>
                </c:pt>
                <c:pt idx="7">
                  <c:v>0.71</c:v>
                </c:pt>
                <c:pt idx="8">
                  <c:v>0.80999999999999994</c:v>
                </c:pt>
                <c:pt idx="9">
                  <c:v>0.90999999999999992</c:v>
                </c:pt>
                <c:pt idx="10">
                  <c:v>1.01</c:v>
                </c:pt>
                <c:pt idx="11">
                  <c:v>1.1100000000000001</c:v>
                </c:pt>
                <c:pt idx="12">
                  <c:v>1.2100000000000002</c:v>
                </c:pt>
                <c:pt idx="13">
                  <c:v>1.3100000000000003</c:v>
                </c:pt>
                <c:pt idx="14">
                  <c:v>1.4100000000000004</c:v>
                </c:pt>
                <c:pt idx="15">
                  <c:v>1.5100000000000005</c:v>
                </c:pt>
                <c:pt idx="16">
                  <c:v>1.6100000000000005</c:v>
                </c:pt>
                <c:pt idx="17">
                  <c:v>1.7100000000000006</c:v>
                </c:pt>
                <c:pt idx="18">
                  <c:v>1.8100000000000007</c:v>
                </c:pt>
                <c:pt idx="19">
                  <c:v>1.9100000000000008</c:v>
                </c:pt>
                <c:pt idx="20">
                  <c:v>2.0100000000000007</c:v>
                </c:pt>
                <c:pt idx="21">
                  <c:v>2.1100000000000008</c:v>
                </c:pt>
                <c:pt idx="22">
                  <c:v>2.2100000000000009</c:v>
                </c:pt>
                <c:pt idx="23">
                  <c:v>2.3100000000000009</c:v>
                </c:pt>
                <c:pt idx="24">
                  <c:v>2.410000000000001</c:v>
                </c:pt>
                <c:pt idx="25">
                  <c:v>2.5100000000000011</c:v>
                </c:pt>
                <c:pt idx="26">
                  <c:v>2.6100000000000012</c:v>
                </c:pt>
                <c:pt idx="27">
                  <c:v>2.7100000000000013</c:v>
                </c:pt>
                <c:pt idx="28">
                  <c:v>2.8100000000000014</c:v>
                </c:pt>
                <c:pt idx="29">
                  <c:v>2.9100000000000015</c:v>
                </c:pt>
                <c:pt idx="30">
                  <c:v>3.0100000000000016</c:v>
                </c:pt>
                <c:pt idx="31">
                  <c:v>3.1100000000000017</c:v>
                </c:pt>
                <c:pt idx="32">
                  <c:v>3.2100000000000017</c:v>
                </c:pt>
                <c:pt idx="33">
                  <c:v>3.3100000000000018</c:v>
                </c:pt>
                <c:pt idx="34">
                  <c:v>3.4100000000000019</c:v>
                </c:pt>
                <c:pt idx="35">
                  <c:v>3.510000000000002</c:v>
                </c:pt>
                <c:pt idx="36">
                  <c:v>3.6100000000000021</c:v>
                </c:pt>
                <c:pt idx="37">
                  <c:v>3.7100000000000022</c:v>
                </c:pt>
                <c:pt idx="38">
                  <c:v>3.8100000000000023</c:v>
                </c:pt>
                <c:pt idx="39">
                  <c:v>3.9100000000000024</c:v>
                </c:pt>
                <c:pt idx="40">
                  <c:v>4.0100000000000025</c:v>
                </c:pt>
                <c:pt idx="41">
                  <c:v>4.1100000000000021</c:v>
                </c:pt>
                <c:pt idx="42">
                  <c:v>4.2100000000000017</c:v>
                </c:pt>
                <c:pt idx="43">
                  <c:v>4.3100000000000014</c:v>
                </c:pt>
                <c:pt idx="44">
                  <c:v>4.410000000000001</c:v>
                </c:pt>
                <c:pt idx="45">
                  <c:v>4.5100000000000007</c:v>
                </c:pt>
                <c:pt idx="46">
                  <c:v>4.6100000000000003</c:v>
                </c:pt>
                <c:pt idx="47">
                  <c:v>4.71</c:v>
                </c:pt>
                <c:pt idx="48">
                  <c:v>4.8099999999999996</c:v>
                </c:pt>
                <c:pt idx="49">
                  <c:v>4.9099999999999993</c:v>
                </c:pt>
                <c:pt idx="50">
                  <c:v>5.0099999999999989</c:v>
                </c:pt>
                <c:pt idx="51">
                  <c:v>5.1099999999999985</c:v>
                </c:pt>
                <c:pt idx="52">
                  <c:v>5.2099999999999982</c:v>
                </c:pt>
                <c:pt idx="53">
                  <c:v>5.3099999999999978</c:v>
                </c:pt>
                <c:pt idx="54">
                  <c:v>5.4099999999999975</c:v>
                </c:pt>
                <c:pt idx="55">
                  <c:v>5.5099999999999971</c:v>
                </c:pt>
                <c:pt idx="56">
                  <c:v>5.6099999999999968</c:v>
                </c:pt>
                <c:pt idx="57">
                  <c:v>5.7099999999999964</c:v>
                </c:pt>
                <c:pt idx="58">
                  <c:v>5.8099999999999961</c:v>
                </c:pt>
                <c:pt idx="59">
                  <c:v>5.9099999999999957</c:v>
                </c:pt>
                <c:pt idx="60">
                  <c:v>6.0099999999999953</c:v>
                </c:pt>
                <c:pt idx="61">
                  <c:v>6.109999999999995</c:v>
                </c:pt>
                <c:pt idx="62">
                  <c:v>6.2099999999999946</c:v>
                </c:pt>
                <c:pt idx="63">
                  <c:v>6.3099999999999943</c:v>
                </c:pt>
                <c:pt idx="64">
                  <c:v>6.4099999999999939</c:v>
                </c:pt>
                <c:pt idx="65">
                  <c:v>6.5099999999999936</c:v>
                </c:pt>
                <c:pt idx="66">
                  <c:v>6.6099999999999932</c:v>
                </c:pt>
                <c:pt idx="67">
                  <c:v>6.7099999999999929</c:v>
                </c:pt>
                <c:pt idx="68">
                  <c:v>6.8099999999999925</c:v>
                </c:pt>
                <c:pt idx="69">
                  <c:v>6.9099999999999921</c:v>
                </c:pt>
                <c:pt idx="70">
                  <c:v>7.0099999999999918</c:v>
                </c:pt>
                <c:pt idx="71">
                  <c:v>7.1099999999999914</c:v>
                </c:pt>
                <c:pt idx="72">
                  <c:v>7.2099999999999911</c:v>
                </c:pt>
                <c:pt idx="73">
                  <c:v>7.3099999999999907</c:v>
                </c:pt>
                <c:pt idx="74">
                  <c:v>7.4099999999999904</c:v>
                </c:pt>
                <c:pt idx="75">
                  <c:v>7.50999999999999</c:v>
                </c:pt>
                <c:pt idx="76">
                  <c:v>7.6099999999999897</c:v>
                </c:pt>
                <c:pt idx="77">
                  <c:v>7.7099999999999893</c:v>
                </c:pt>
                <c:pt idx="78">
                  <c:v>7.809999999999989</c:v>
                </c:pt>
                <c:pt idx="79">
                  <c:v>7.9099999999999886</c:v>
                </c:pt>
                <c:pt idx="80">
                  <c:v>8.0099999999999891</c:v>
                </c:pt>
                <c:pt idx="81">
                  <c:v>8.1099999999999888</c:v>
                </c:pt>
                <c:pt idx="82">
                  <c:v>8.2099999999999884</c:v>
                </c:pt>
                <c:pt idx="83">
                  <c:v>8.3099999999999881</c:v>
                </c:pt>
                <c:pt idx="84">
                  <c:v>8.4099999999999877</c:v>
                </c:pt>
                <c:pt idx="85">
                  <c:v>8.5099999999999874</c:v>
                </c:pt>
                <c:pt idx="86">
                  <c:v>8.609999999999987</c:v>
                </c:pt>
                <c:pt idx="87">
                  <c:v>8.7099999999999866</c:v>
                </c:pt>
                <c:pt idx="88">
                  <c:v>8.8099999999999863</c:v>
                </c:pt>
                <c:pt idx="89">
                  <c:v>8.9099999999999859</c:v>
                </c:pt>
                <c:pt idx="90">
                  <c:v>9.0099999999999856</c:v>
                </c:pt>
                <c:pt idx="91">
                  <c:v>9.1099999999999852</c:v>
                </c:pt>
                <c:pt idx="92">
                  <c:v>9.2099999999999849</c:v>
                </c:pt>
                <c:pt idx="93">
                  <c:v>9.3099999999999845</c:v>
                </c:pt>
                <c:pt idx="94">
                  <c:v>9.4099999999999842</c:v>
                </c:pt>
                <c:pt idx="95">
                  <c:v>9.5099999999999838</c:v>
                </c:pt>
                <c:pt idx="96">
                  <c:v>9.6099999999999834</c:v>
                </c:pt>
                <c:pt idx="97">
                  <c:v>9.7099999999999831</c:v>
                </c:pt>
                <c:pt idx="98">
                  <c:v>9.8099999999999827</c:v>
                </c:pt>
                <c:pt idx="99">
                  <c:v>9.9099999999999824</c:v>
                </c:pt>
                <c:pt idx="100">
                  <c:v>10.009999999999982</c:v>
                </c:pt>
                <c:pt idx="101">
                  <c:v>10.109999999999982</c:v>
                </c:pt>
                <c:pt idx="102">
                  <c:v>10.209999999999981</c:v>
                </c:pt>
                <c:pt idx="103">
                  <c:v>10.309999999999981</c:v>
                </c:pt>
                <c:pt idx="104">
                  <c:v>10.409999999999981</c:v>
                </c:pt>
                <c:pt idx="105">
                  <c:v>10.50999999999998</c:v>
                </c:pt>
                <c:pt idx="106">
                  <c:v>10.60999999999998</c:v>
                </c:pt>
                <c:pt idx="107">
                  <c:v>10.70999999999998</c:v>
                </c:pt>
                <c:pt idx="108">
                  <c:v>10.809999999999979</c:v>
                </c:pt>
                <c:pt idx="109">
                  <c:v>10.909999999999979</c:v>
                </c:pt>
                <c:pt idx="110">
                  <c:v>11.009999999999978</c:v>
                </c:pt>
                <c:pt idx="111">
                  <c:v>11.109999999999978</c:v>
                </c:pt>
                <c:pt idx="112">
                  <c:v>11.209999999999978</c:v>
                </c:pt>
                <c:pt idx="113">
                  <c:v>11.309999999999977</c:v>
                </c:pt>
                <c:pt idx="114">
                  <c:v>11.409999999999977</c:v>
                </c:pt>
                <c:pt idx="115">
                  <c:v>11.509999999999977</c:v>
                </c:pt>
                <c:pt idx="116">
                  <c:v>11.609999999999976</c:v>
                </c:pt>
                <c:pt idx="117">
                  <c:v>11.709999999999976</c:v>
                </c:pt>
                <c:pt idx="118">
                  <c:v>11.809999999999976</c:v>
                </c:pt>
                <c:pt idx="119">
                  <c:v>11.909999999999975</c:v>
                </c:pt>
                <c:pt idx="120">
                  <c:v>12.009999999999975</c:v>
                </c:pt>
                <c:pt idx="121">
                  <c:v>12.109999999999975</c:v>
                </c:pt>
                <c:pt idx="122">
                  <c:v>12.209999999999974</c:v>
                </c:pt>
                <c:pt idx="123">
                  <c:v>12.309999999999974</c:v>
                </c:pt>
                <c:pt idx="124">
                  <c:v>12.409999999999973</c:v>
                </c:pt>
                <c:pt idx="125">
                  <c:v>12.509999999999973</c:v>
                </c:pt>
                <c:pt idx="126">
                  <c:v>12.609999999999973</c:v>
                </c:pt>
                <c:pt idx="127">
                  <c:v>12.709999999999972</c:v>
                </c:pt>
                <c:pt idx="128">
                  <c:v>12.809999999999972</c:v>
                </c:pt>
                <c:pt idx="129">
                  <c:v>12.909999999999972</c:v>
                </c:pt>
                <c:pt idx="130">
                  <c:v>13.009999999999971</c:v>
                </c:pt>
                <c:pt idx="131">
                  <c:v>13.109999999999971</c:v>
                </c:pt>
                <c:pt idx="132">
                  <c:v>13.209999999999971</c:v>
                </c:pt>
                <c:pt idx="133">
                  <c:v>13.30999999999997</c:v>
                </c:pt>
                <c:pt idx="134">
                  <c:v>13.40999999999997</c:v>
                </c:pt>
                <c:pt idx="135">
                  <c:v>13.50999999999997</c:v>
                </c:pt>
                <c:pt idx="136">
                  <c:v>13.609999999999969</c:v>
                </c:pt>
                <c:pt idx="137">
                  <c:v>13.709999999999969</c:v>
                </c:pt>
                <c:pt idx="138">
                  <c:v>13.809999999999969</c:v>
                </c:pt>
                <c:pt idx="139">
                  <c:v>13.909999999999968</c:v>
                </c:pt>
                <c:pt idx="140">
                  <c:v>14.009999999999968</c:v>
                </c:pt>
                <c:pt idx="141">
                  <c:v>14.109999999999967</c:v>
                </c:pt>
                <c:pt idx="142">
                  <c:v>14.209999999999967</c:v>
                </c:pt>
                <c:pt idx="143">
                  <c:v>14.309999999999967</c:v>
                </c:pt>
                <c:pt idx="144">
                  <c:v>14.409999999999966</c:v>
                </c:pt>
                <c:pt idx="145">
                  <c:v>14.509999999999966</c:v>
                </c:pt>
                <c:pt idx="146">
                  <c:v>14.609999999999966</c:v>
                </c:pt>
                <c:pt idx="147">
                  <c:v>14.709999999999965</c:v>
                </c:pt>
                <c:pt idx="148">
                  <c:v>14.809999999999965</c:v>
                </c:pt>
                <c:pt idx="149">
                  <c:v>14.909999999999965</c:v>
                </c:pt>
                <c:pt idx="150">
                  <c:v>15.009999999999964</c:v>
                </c:pt>
                <c:pt idx="151">
                  <c:v>15.109999999999964</c:v>
                </c:pt>
                <c:pt idx="152">
                  <c:v>15.209999999999964</c:v>
                </c:pt>
                <c:pt idx="153">
                  <c:v>15.309999999999963</c:v>
                </c:pt>
                <c:pt idx="154">
                  <c:v>15.409999999999963</c:v>
                </c:pt>
                <c:pt idx="155">
                  <c:v>15.509999999999962</c:v>
                </c:pt>
                <c:pt idx="156">
                  <c:v>15.609999999999962</c:v>
                </c:pt>
                <c:pt idx="157">
                  <c:v>15.709999999999962</c:v>
                </c:pt>
                <c:pt idx="158">
                  <c:v>15.809999999999961</c:v>
                </c:pt>
                <c:pt idx="159">
                  <c:v>15.909999999999961</c:v>
                </c:pt>
                <c:pt idx="160">
                  <c:v>16.009999999999962</c:v>
                </c:pt>
                <c:pt idx="161">
                  <c:v>16.109999999999964</c:v>
                </c:pt>
                <c:pt idx="162">
                  <c:v>16.209999999999965</c:v>
                </c:pt>
                <c:pt idx="163">
                  <c:v>16.309999999999967</c:v>
                </c:pt>
                <c:pt idx="164">
                  <c:v>16.409999999999968</c:v>
                </c:pt>
                <c:pt idx="165">
                  <c:v>16.50999999999997</c:v>
                </c:pt>
                <c:pt idx="166">
                  <c:v>16.609999999999971</c:v>
                </c:pt>
                <c:pt idx="167">
                  <c:v>16.709999999999972</c:v>
                </c:pt>
                <c:pt idx="168">
                  <c:v>16.809999999999974</c:v>
                </c:pt>
                <c:pt idx="169">
                  <c:v>16.909999999999975</c:v>
                </c:pt>
                <c:pt idx="170">
                  <c:v>17.009999999999977</c:v>
                </c:pt>
                <c:pt idx="171">
                  <c:v>17.109999999999978</c:v>
                </c:pt>
                <c:pt idx="172">
                  <c:v>17.20999999999998</c:v>
                </c:pt>
                <c:pt idx="173">
                  <c:v>17.309999999999981</c:v>
                </c:pt>
                <c:pt idx="174">
                  <c:v>17.409999999999982</c:v>
                </c:pt>
                <c:pt idx="175">
                  <c:v>17.509999999999984</c:v>
                </c:pt>
                <c:pt idx="176">
                  <c:v>17.609999999999985</c:v>
                </c:pt>
                <c:pt idx="177">
                  <c:v>17.709999999999987</c:v>
                </c:pt>
                <c:pt idx="178">
                  <c:v>17.809999999999988</c:v>
                </c:pt>
                <c:pt idx="179">
                  <c:v>17.909999999999989</c:v>
                </c:pt>
                <c:pt idx="180">
                  <c:v>18.009999999999991</c:v>
                </c:pt>
                <c:pt idx="181">
                  <c:v>18.109999999999992</c:v>
                </c:pt>
                <c:pt idx="182">
                  <c:v>18.209999999999994</c:v>
                </c:pt>
                <c:pt idx="183">
                  <c:v>18.309999999999995</c:v>
                </c:pt>
                <c:pt idx="184">
                  <c:v>18.409999999999997</c:v>
                </c:pt>
                <c:pt idx="185">
                  <c:v>18.509999999999998</c:v>
                </c:pt>
                <c:pt idx="186">
                  <c:v>18.61</c:v>
                </c:pt>
                <c:pt idx="187">
                  <c:v>18.71</c:v>
                </c:pt>
                <c:pt idx="188">
                  <c:v>18.810000000000002</c:v>
                </c:pt>
                <c:pt idx="189">
                  <c:v>18.910000000000004</c:v>
                </c:pt>
                <c:pt idx="190">
                  <c:v>19.010000000000005</c:v>
                </c:pt>
                <c:pt idx="191">
                  <c:v>19.110000000000007</c:v>
                </c:pt>
                <c:pt idx="192">
                  <c:v>19.210000000000008</c:v>
                </c:pt>
                <c:pt idx="193">
                  <c:v>19.310000000000009</c:v>
                </c:pt>
                <c:pt idx="194">
                  <c:v>19.410000000000011</c:v>
                </c:pt>
                <c:pt idx="195">
                  <c:v>19.510000000000012</c:v>
                </c:pt>
                <c:pt idx="196">
                  <c:v>19.610000000000014</c:v>
                </c:pt>
                <c:pt idx="197">
                  <c:v>19.710000000000015</c:v>
                </c:pt>
                <c:pt idx="198">
                  <c:v>19.810000000000016</c:v>
                </c:pt>
                <c:pt idx="199">
                  <c:v>19.910000000000018</c:v>
                </c:pt>
                <c:pt idx="200">
                  <c:v>20.010000000000019</c:v>
                </c:pt>
                <c:pt idx="201">
                  <c:v>20.110000000000021</c:v>
                </c:pt>
                <c:pt idx="202">
                  <c:v>20.210000000000022</c:v>
                </c:pt>
                <c:pt idx="203">
                  <c:v>20.310000000000024</c:v>
                </c:pt>
                <c:pt idx="204">
                  <c:v>20.410000000000025</c:v>
                </c:pt>
                <c:pt idx="205">
                  <c:v>20.510000000000026</c:v>
                </c:pt>
                <c:pt idx="206">
                  <c:v>20.610000000000028</c:v>
                </c:pt>
                <c:pt idx="207">
                  <c:v>20.710000000000029</c:v>
                </c:pt>
                <c:pt idx="208">
                  <c:v>20.810000000000031</c:v>
                </c:pt>
                <c:pt idx="209">
                  <c:v>20.910000000000032</c:v>
                </c:pt>
                <c:pt idx="210">
                  <c:v>21.010000000000034</c:v>
                </c:pt>
                <c:pt idx="211">
                  <c:v>21.110000000000035</c:v>
                </c:pt>
                <c:pt idx="212">
                  <c:v>21.210000000000036</c:v>
                </c:pt>
                <c:pt idx="213">
                  <c:v>21.310000000000038</c:v>
                </c:pt>
                <c:pt idx="214">
                  <c:v>21.410000000000039</c:v>
                </c:pt>
                <c:pt idx="215">
                  <c:v>21.510000000000041</c:v>
                </c:pt>
                <c:pt idx="216">
                  <c:v>21.610000000000042</c:v>
                </c:pt>
                <c:pt idx="217">
                  <c:v>21.710000000000043</c:v>
                </c:pt>
                <c:pt idx="218">
                  <c:v>21.810000000000045</c:v>
                </c:pt>
                <c:pt idx="219">
                  <c:v>21.910000000000046</c:v>
                </c:pt>
                <c:pt idx="220">
                  <c:v>22.010000000000048</c:v>
                </c:pt>
                <c:pt idx="221">
                  <c:v>22.110000000000049</c:v>
                </c:pt>
                <c:pt idx="222">
                  <c:v>22.210000000000051</c:v>
                </c:pt>
                <c:pt idx="223">
                  <c:v>22.310000000000052</c:v>
                </c:pt>
                <c:pt idx="224">
                  <c:v>22.410000000000053</c:v>
                </c:pt>
                <c:pt idx="225">
                  <c:v>22.510000000000055</c:v>
                </c:pt>
                <c:pt idx="226">
                  <c:v>22.610000000000056</c:v>
                </c:pt>
                <c:pt idx="227">
                  <c:v>22.710000000000058</c:v>
                </c:pt>
                <c:pt idx="228">
                  <c:v>22.810000000000059</c:v>
                </c:pt>
                <c:pt idx="229">
                  <c:v>22.910000000000061</c:v>
                </c:pt>
                <c:pt idx="230">
                  <c:v>23.010000000000062</c:v>
                </c:pt>
                <c:pt idx="231">
                  <c:v>23.110000000000063</c:v>
                </c:pt>
                <c:pt idx="232">
                  <c:v>23.210000000000065</c:v>
                </c:pt>
                <c:pt idx="233">
                  <c:v>23.310000000000066</c:v>
                </c:pt>
                <c:pt idx="234">
                  <c:v>23.410000000000068</c:v>
                </c:pt>
                <c:pt idx="235">
                  <c:v>23.510000000000069</c:v>
                </c:pt>
                <c:pt idx="236">
                  <c:v>23.61000000000007</c:v>
                </c:pt>
                <c:pt idx="237">
                  <c:v>23.710000000000072</c:v>
                </c:pt>
                <c:pt idx="238">
                  <c:v>23.810000000000073</c:v>
                </c:pt>
                <c:pt idx="239">
                  <c:v>23.910000000000075</c:v>
                </c:pt>
                <c:pt idx="240">
                  <c:v>24.010000000000076</c:v>
                </c:pt>
                <c:pt idx="241">
                  <c:v>24.110000000000078</c:v>
                </c:pt>
                <c:pt idx="242">
                  <c:v>24.210000000000079</c:v>
                </c:pt>
                <c:pt idx="243">
                  <c:v>24.31000000000008</c:v>
                </c:pt>
                <c:pt idx="244">
                  <c:v>24.410000000000082</c:v>
                </c:pt>
                <c:pt idx="245">
                  <c:v>24.510000000000083</c:v>
                </c:pt>
                <c:pt idx="246">
                  <c:v>24.610000000000085</c:v>
                </c:pt>
                <c:pt idx="247">
                  <c:v>24.710000000000086</c:v>
                </c:pt>
                <c:pt idx="248">
                  <c:v>24.810000000000088</c:v>
                </c:pt>
                <c:pt idx="249">
                  <c:v>24.910000000000089</c:v>
                </c:pt>
                <c:pt idx="250">
                  <c:v>25.01000000000009</c:v>
                </c:pt>
                <c:pt idx="251">
                  <c:v>25.110000000000092</c:v>
                </c:pt>
                <c:pt idx="252">
                  <c:v>25.210000000000093</c:v>
                </c:pt>
                <c:pt idx="253">
                  <c:v>25.310000000000095</c:v>
                </c:pt>
                <c:pt idx="254">
                  <c:v>25.410000000000096</c:v>
                </c:pt>
                <c:pt idx="255">
                  <c:v>25.510000000000097</c:v>
                </c:pt>
                <c:pt idx="256">
                  <c:v>25.610000000000099</c:v>
                </c:pt>
                <c:pt idx="257">
                  <c:v>25.7100000000001</c:v>
                </c:pt>
                <c:pt idx="258">
                  <c:v>25.810000000000102</c:v>
                </c:pt>
                <c:pt idx="259">
                  <c:v>25.910000000000103</c:v>
                </c:pt>
                <c:pt idx="260">
                  <c:v>26.010000000000105</c:v>
                </c:pt>
                <c:pt idx="261">
                  <c:v>26.110000000000106</c:v>
                </c:pt>
                <c:pt idx="262">
                  <c:v>26.210000000000107</c:v>
                </c:pt>
                <c:pt idx="263">
                  <c:v>26.310000000000109</c:v>
                </c:pt>
                <c:pt idx="264">
                  <c:v>26.41000000000011</c:v>
                </c:pt>
                <c:pt idx="265">
                  <c:v>26.510000000000112</c:v>
                </c:pt>
                <c:pt idx="266">
                  <c:v>26.610000000000113</c:v>
                </c:pt>
                <c:pt idx="267">
                  <c:v>26.710000000000115</c:v>
                </c:pt>
                <c:pt idx="268">
                  <c:v>26.810000000000116</c:v>
                </c:pt>
                <c:pt idx="269">
                  <c:v>26.910000000000117</c:v>
                </c:pt>
                <c:pt idx="270">
                  <c:v>27.010000000000119</c:v>
                </c:pt>
                <c:pt idx="271">
                  <c:v>27.11000000000012</c:v>
                </c:pt>
                <c:pt idx="272">
                  <c:v>27.210000000000122</c:v>
                </c:pt>
                <c:pt idx="273">
                  <c:v>27.310000000000123</c:v>
                </c:pt>
                <c:pt idx="274">
                  <c:v>27.410000000000124</c:v>
                </c:pt>
                <c:pt idx="275">
                  <c:v>27.510000000000126</c:v>
                </c:pt>
                <c:pt idx="276">
                  <c:v>27.610000000000127</c:v>
                </c:pt>
                <c:pt idx="277">
                  <c:v>27.710000000000129</c:v>
                </c:pt>
                <c:pt idx="278">
                  <c:v>27.81000000000013</c:v>
                </c:pt>
                <c:pt idx="279">
                  <c:v>27.910000000000132</c:v>
                </c:pt>
                <c:pt idx="280">
                  <c:v>28.010000000000133</c:v>
                </c:pt>
                <c:pt idx="281">
                  <c:v>28.110000000000134</c:v>
                </c:pt>
                <c:pt idx="282">
                  <c:v>28.210000000000136</c:v>
                </c:pt>
                <c:pt idx="283">
                  <c:v>28.310000000000137</c:v>
                </c:pt>
                <c:pt idx="284">
                  <c:v>28.410000000000139</c:v>
                </c:pt>
                <c:pt idx="285">
                  <c:v>28.51000000000014</c:v>
                </c:pt>
                <c:pt idx="286">
                  <c:v>28.610000000000142</c:v>
                </c:pt>
                <c:pt idx="287">
                  <c:v>28.710000000000143</c:v>
                </c:pt>
                <c:pt idx="288">
                  <c:v>28.810000000000144</c:v>
                </c:pt>
                <c:pt idx="289">
                  <c:v>28.910000000000146</c:v>
                </c:pt>
                <c:pt idx="290">
                  <c:v>29.010000000000147</c:v>
                </c:pt>
                <c:pt idx="291">
                  <c:v>29.110000000000149</c:v>
                </c:pt>
                <c:pt idx="292">
                  <c:v>29.21000000000015</c:v>
                </c:pt>
                <c:pt idx="293">
                  <c:v>29.310000000000151</c:v>
                </c:pt>
                <c:pt idx="294">
                  <c:v>29.410000000000153</c:v>
                </c:pt>
                <c:pt idx="295">
                  <c:v>29.510000000000154</c:v>
                </c:pt>
                <c:pt idx="296">
                  <c:v>29.610000000000156</c:v>
                </c:pt>
                <c:pt idx="297">
                  <c:v>29.710000000000157</c:v>
                </c:pt>
                <c:pt idx="298">
                  <c:v>29.810000000000159</c:v>
                </c:pt>
                <c:pt idx="299">
                  <c:v>29.91000000000016</c:v>
                </c:pt>
                <c:pt idx="300">
                  <c:v>30.010000000000161</c:v>
                </c:pt>
                <c:pt idx="301">
                  <c:v>30.110000000000163</c:v>
                </c:pt>
                <c:pt idx="302">
                  <c:v>30.210000000000164</c:v>
                </c:pt>
                <c:pt idx="303">
                  <c:v>30.310000000000166</c:v>
                </c:pt>
                <c:pt idx="304">
                  <c:v>30.410000000000167</c:v>
                </c:pt>
                <c:pt idx="305">
                  <c:v>30.510000000000169</c:v>
                </c:pt>
                <c:pt idx="306">
                  <c:v>30.61000000000017</c:v>
                </c:pt>
                <c:pt idx="307">
                  <c:v>30.710000000000171</c:v>
                </c:pt>
                <c:pt idx="308">
                  <c:v>30.810000000000173</c:v>
                </c:pt>
                <c:pt idx="309">
                  <c:v>30.910000000000174</c:v>
                </c:pt>
                <c:pt idx="310">
                  <c:v>31.010000000000176</c:v>
                </c:pt>
                <c:pt idx="311">
                  <c:v>31.110000000000177</c:v>
                </c:pt>
                <c:pt idx="312">
                  <c:v>31.210000000000178</c:v>
                </c:pt>
                <c:pt idx="313">
                  <c:v>31.31000000000018</c:v>
                </c:pt>
                <c:pt idx="314">
                  <c:v>31.410000000000181</c:v>
                </c:pt>
                <c:pt idx="315">
                  <c:v>31.510000000000183</c:v>
                </c:pt>
                <c:pt idx="316">
                  <c:v>31.610000000000184</c:v>
                </c:pt>
                <c:pt idx="317">
                  <c:v>31.710000000000186</c:v>
                </c:pt>
                <c:pt idx="318">
                  <c:v>31.810000000000187</c:v>
                </c:pt>
                <c:pt idx="319">
                  <c:v>31.910000000000188</c:v>
                </c:pt>
                <c:pt idx="320">
                  <c:v>32.01000000000019</c:v>
                </c:pt>
                <c:pt idx="321">
                  <c:v>32.110000000000191</c:v>
                </c:pt>
                <c:pt idx="322">
                  <c:v>32.210000000000193</c:v>
                </c:pt>
                <c:pt idx="323">
                  <c:v>32.310000000000194</c:v>
                </c:pt>
                <c:pt idx="324">
                  <c:v>32.410000000000196</c:v>
                </c:pt>
                <c:pt idx="325">
                  <c:v>32.510000000000197</c:v>
                </c:pt>
                <c:pt idx="326">
                  <c:v>32.610000000000198</c:v>
                </c:pt>
                <c:pt idx="327">
                  <c:v>32.7100000000002</c:v>
                </c:pt>
                <c:pt idx="328">
                  <c:v>32.810000000000201</c:v>
                </c:pt>
                <c:pt idx="329">
                  <c:v>32.910000000000203</c:v>
                </c:pt>
                <c:pt idx="330">
                  <c:v>33.010000000000204</c:v>
                </c:pt>
                <c:pt idx="331">
                  <c:v>33.110000000000205</c:v>
                </c:pt>
                <c:pt idx="332">
                  <c:v>33.210000000000207</c:v>
                </c:pt>
                <c:pt idx="333">
                  <c:v>33.310000000000208</c:v>
                </c:pt>
                <c:pt idx="334">
                  <c:v>33.41000000000021</c:v>
                </c:pt>
                <c:pt idx="335">
                  <c:v>33.510000000000211</c:v>
                </c:pt>
                <c:pt idx="336">
                  <c:v>33.610000000000213</c:v>
                </c:pt>
                <c:pt idx="337">
                  <c:v>33.710000000000214</c:v>
                </c:pt>
                <c:pt idx="338">
                  <c:v>33.810000000000215</c:v>
                </c:pt>
                <c:pt idx="339">
                  <c:v>33.910000000000217</c:v>
                </c:pt>
                <c:pt idx="340">
                  <c:v>34.010000000000218</c:v>
                </c:pt>
                <c:pt idx="341">
                  <c:v>34.11000000000022</c:v>
                </c:pt>
                <c:pt idx="342">
                  <c:v>34.210000000000221</c:v>
                </c:pt>
                <c:pt idx="343">
                  <c:v>34.310000000000223</c:v>
                </c:pt>
                <c:pt idx="344">
                  <c:v>34.410000000000224</c:v>
                </c:pt>
                <c:pt idx="345">
                  <c:v>34.510000000000225</c:v>
                </c:pt>
                <c:pt idx="346">
                  <c:v>34.610000000000227</c:v>
                </c:pt>
                <c:pt idx="347">
                  <c:v>34.710000000000228</c:v>
                </c:pt>
                <c:pt idx="348">
                  <c:v>34.81000000000023</c:v>
                </c:pt>
                <c:pt idx="349">
                  <c:v>34.910000000000231</c:v>
                </c:pt>
                <c:pt idx="350">
                  <c:v>35.010000000000232</c:v>
                </c:pt>
                <c:pt idx="351">
                  <c:v>35.110000000000234</c:v>
                </c:pt>
                <c:pt idx="352">
                  <c:v>35.210000000000235</c:v>
                </c:pt>
                <c:pt idx="353">
                  <c:v>35.310000000000237</c:v>
                </c:pt>
                <c:pt idx="354">
                  <c:v>35.410000000000238</c:v>
                </c:pt>
                <c:pt idx="355">
                  <c:v>35.51000000000024</c:v>
                </c:pt>
                <c:pt idx="356">
                  <c:v>35.610000000000241</c:v>
                </c:pt>
                <c:pt idx="357">
                  <c:v>35.710000000000242</c:v>
                </c:pt>
                <c:pt idx="358">
                  <c:v>35.810000000000244</c:v>
                </c:pt>
                <c:pt idx="359">
                  <c:v>35.910000000000245</c:v>
                </c:pt>
                <c:pt idx="360">
                  <c:v>36.010000000000247</c:v>
                </c:pt>
                <c:pt idx="361">
                  <c:v>36.110000000000248</c:v>
                </c:pt>
                <c:pt idx="362">
                  <c:v>36.21000000000025</c:v>
                </c:pt>
                <c:pt idx="363">
                  <c:v>36.310000000000251</c:v>
                </c:pt>
                <c:pt idx="364">
                  <c:v>36.410000000000252</c:v>
                </c:pt>
                <c:pt idx="365">
                  <c:v>36.510000000000254</c:v>
                </c:pt>
                <c:pt idx="366">
                  <c:v>36.610000000000255</c:v>
                </c:pt>
                <c:pt idx="367">
                  <c:v>36.710000000000257</c:v>
                </c:pt>
                <c:pt idx="368">
                  <c:v>36.810000000000258</c:v>
                </c:pt>
                <c:pt idx="369">
                  <c:v>36.910000000000259</c:v>
                </c:pt>
                <c:pt idx="370">
                  <c:v>37.010000000000261</c:v>
                </c:pt>
                <c:pt idx="371">
                  <c:v>37.110000000000262</c:v>
                </c:pt>
                <c:pt idx="372">
                  <c:v>37.210000000000264</c:v>
                </c:pt>
                <c:pt idx="373">
                  <c:v>37.310000000000265</c:v>
                </c:pt>
                <c:pt idx="374">
                  <c:v>37.410000000000267</c:v>
                </c:pt>
                <c:pt idx="375">
                  <c:v>37.510000000000268</c:v>
                </c:pt>
                <c:pt idx="376">
                  <c:v>37.610000000000269</c:v>
                </c:pt>
                <c:pt idx="377">
                  <c:v>37.710000000000271</c:v>
                </c:pt>
                <c:pt idx="378">
                  <c:v>37.810000000000272</c:v>
                </c:pt>
                <c:pt idx="379">
                  <c:v>37.910000000000274</c:v>
                </c:pt>
                <c:pt idx="380">
                  <c:v>38.010000000000275</c:v>
                </c:pt>
                <c:pt idx="381">
                  <c:v>38.110000000000277</c:v>
                </c:pt>
                <c:pt idx="382">
                  <c:v>38.210000000000278</c:v>
                </c:pt>
                <c:pt idx="383">
                  <c:v>38.310000000000279</c:v>
                </c:pt>
                <c:pt idx="384">
                  <c:v>38.410000000000281</c:v>
                </c:pt>
                <c:pt idx="385">
                  <c:v>38.510000000000282</c:v>
                </c:pt>
                <c:pt idx="386">
                  <c:v>38.610000000000284</c:v>
                </c:pt>
                <c:pt idx="387">
                  <c:v>38.710000000000285</c:v>
                </c:pt>
                <c:pt idx="388">
                  <c:v>38.810000000000286</c:v>
                </c:pt>
                <c:pt idx="389">
                  <c:v>38.910000000000288</c:v>
                </c:pt>
                <c:pt idx="390">
                  <c:v>39.010000000000289</c:v>
                </c:pt>
                <c:pt idx="391">
                  <c:v>39.110000000000291</c:v>
                </c:pt>
                <c:pt idx="392">
                  <c:v>39.210000000000292</c:v>
                </c:pt>
                <c:pt idx="393">
                  <c:v>39.310000000000294</c:v>
                </c:pt>
                <c:pt idx="394">
                  <c:v>39.410000000000295</c:v>
                </c:pt>
                <c:pt idx="395">
                  <c:v>39.510000000000296</c:v>
                </c:pt>
                <c:pt idx="396">
                  <c:v>39.610000000000298</c:v>
                </c:pt>
                <c:pt idx="397">
                  <c:v>39.710000000000299</c:v>
                </c:pt>
                <c:pt idx="398">
                  <c:v>39.810000000000301</c:v>
                </c:pt>
                <c:pt idx="399">
                  <c:v>39.910000000000302</c:v>
                </c:pt>
                <c:pt idx="400">
                  <c:v>40.010000000000304</c:v>
                </c:pt>
                <c:pt idx="401">
                  <c:v>40.110000000000305</c:v>
                </c:pt>
                <c:pt idx="402">
                  <c:v>40.210000000000306</c:v>
                </c:pt>
                <c:pt idx="403">
                  <c:v>40.310000000000308</c:v>
                </c:pt>
                <c:pt idx="404">
                  <c:v>40.410000000000309</c:v>
                </c:pt>
                <c:pt idx="405">
                  <c:v>40.510000000000311</c:v>
                </c:pt>
                <c:pt idx="406">
                  <c:v>40.610000000000312</c:v>
                </c:pt>
                <c:pt idx="407">
                  <c:v>40.710000000000313</c:v>
                </c:pt>
                <c:pt idx="408">
                  <c:v>40.810000000000315</c:v>
                </c:pt>
                <c:pt idx="409">
                  <c:v>40.910000000000316</c:v>
                </c:pt>
                <c:pt idx="410">
                  <c:v>41.010000000000318</c:v>
                </c:pt>
                <c:pt idx="411">
                  <c:v>41.110000000000319</c:v>
                </c:pt>
                <c:pt idx="412">
                  <c:v>41.210000000000321</c:v>
                </c:pt>
                <c:pt idx="413">
                  <c:v>41.310000000000322</c:v>
                </c:pt>
                <c:pt idx="414">
                  <c:v>41.410000000000323</c:v>
                </c:pt>
                <c:pt idx="415">
                  <c:v>41.510000000000325</c:v>
                </c:pt>
                <c:pt idx="416">
                  <c:v>41.610000000000326</c:v>
                </c:pt>
                <c:pt idx="417">
                  <c:v>41.710000000000328</c:v>
                </c:pt>
                <c:pt idx="418">
                  <c:v>41.810000000000329</c:v>
                </c:pt>
                <c:pt idx="419">
                  <c:v>41.910000000000331</c:v>
                </c:pt>
                <c:pt idx="420">
                  <c:v>42.010000000000332</c:v>
                </c:pt>
                <c:pt idx="421">
                  <c:v>42.110000000000333</c:v>
                </c:pt>
                <c:pt idx="422">
                  <c:v>42.210000000000335</c:v>
                </c:pt>
                <c:pt idx="423">
                  <c:v>42.310000000000336</c:v>
                </c:pt>
                <c:pt idx="424">
                  <c:v>42.410000000000338</c:v>
                </c:pt>
                <c:pt idx="425">
                  <c:v>42.510000000000339</c:v>
                </c:pt>
                <c:pt idx="426">
                  <c:v>42.61000000000034</c:v>
                </c:pt>
                <c:pt idx="427">
                  <c:v>42.710000000000342</c:v>
                </c:pt>
                <c:pt idx="428">
                  <c:v>42.810000000000343</c:v>
                </c:pt>
                <c:pt idx="429">
                  <c:v>42.910000000000345</c:v>
                </c:pt>
                <c:pt idx="430">
                  <c:v>43.010000000000346</c:v>
                </c:pt>
                <c:pt idx="431">
                  <c:v>43.110000000000348</c:v>
                </c:pt>
                <c:pt idx="432">
                  <c:v>43.210000000000349</c:v>
                </c:pt>
                <c:pt idx="433">
                  <c:v>43.31000000000035</c:v>
                </c:pt>
                <c:pt idx="434">
                  <c:v>43.410000000000352</c:v>
                </c:pt>
                <c:pt idx="435">
                  <c:v>43.510000000000353</c:v>
                </c:pt>
                <c:pt idx="436">
                  <c:v>43.610000000000355</c:v>
                </c:pt>
                <c:pt idx="437">
                  <c:v>43.710000000000356</c:v>
                </c:pt>
                <c:pt idx="438">
                  <c:v>43.810000000000358</c:v>
                </c:pt>
                <c:pt idx="439">
                  <c:v>43.910000000000359</c:v>
                </c:pt>
                <c:pt idx="440">
                  <c:v>44.01000000000036</c:v>
                </c:pt>
                <c:pt idx="441">
                  <c:v>44.110000000000362</c:v>
                </c:pt>
                <c:pt idx="442">
                  <c:v>44.210000000000363</c:v>
                </c:pt>
                <c:pt idx="443">
                  <c:v>44.310000000000365</c:v>
                </c:pt>
                <c:pt idx="444">
                  <c:v>44.410000000000366</c:v>
                </c:pt>
                <c:pt idx="445">
                  <c:v>44.510000000000367</c:v>
                </c:pt>
                <c:pt idx="446">
                  <c:v>44.610000000000369</c:v>
                </c:pt>
                <c:pt idx="447">
                  <c:v>44.71000000000037</c:v>
                </c:pt>
                <c:pt idx="448">
                  <c:v>44.810000000000372</c:v>
                </c:pt>
                <c:pt idx="449">
                  <c:v>44.910000000000373</c:v>
                </c:pt>
                <c:pt idx="450">
                  <c:v>45.010000000000375</c:v>
                </c:pt>
                <c:pt idx="451">
                  <c:v>45.110000000000376</c:v>
                </c:pt>
                <c:pt idx="452">
                  <c:v>45.210000000000377</c:v>
                </c:pt>
                <c:pt idx="453">
                  <c:v>45.310000000000379</c:v>
                </c:pt>
                <c:pt idx="454">
                  <c:v>45.41000000000038</c:v>
                </c:pt>
                <c:pt idx="455">
                  <c:v>45.510000000000382</c:v>
                </c:pt>
                <c:pt idx="456">
                  <c:v>45.610000000000383</c:v>
                </c:pt>
                <c:pt idx="457">
                  <c:v>45.710000000000385</c:v>
                </c:pt>
                <c:pt idx="458">
                  <c:v>45.810000000000386</c:v>
                </c:pt>
                <c:pt idx="459">
                  <c:v>45.910000000000387</c:v>
                </c:pt>
                <c:pt idx="460">
                  <c:v>46.010000000000389</c:v>
                </c:pt>
                <c:pt idx="461">
                  <c:v>46.11000000000039</c:v>
                </c:pt>
                <c:pt idx="462">
                  <c:v>46.210000000000392</c:v>
                </c:pt>
                <c:pt idx="463">
                  <c:v>46.310000000000393</c:v>
                </c:pt>
                <c:pt idx="464">
                  <c:v>46.410000000000394</c:v>
                </c:pt>
                <c:pt idx="465">
                  <c:v>46.510000000000396</c:v>
                </c:pt>
                <c:pt idx="466">
                  <c:v>46.610000000000397</c:v>
                </c:pt>
                <c:pt idx="467">
                  <c:v>46.710000000000399</c:v>
                </c:pt>
                <c:pt idx="468">
                  <c:v>46.8100000000004</c:v>
                </c:pt>
                <c:pt idx="469">
                  <c:v>46.910000000000402</c:v>
                </c:pt>
                <c:pt idx="470">
                  <c:v>47.010000000000403</c:v>
                </c:pt>
                <c:pt idx="471">
                  <c:v>47.110000000000404</c:v>
                </c:pt>
                <c:pt idx="472">
                  <c:v>47.210000000000406</c:v>
                </c:pt>
                <c:pt idx="473">
                  <c:v>47.310000000000407</c:v>
                </c:pt>
                <c:pt idx="474">
                  <c:v>47.410000000000409</c:v>
                </c:pt>
                <c:pt idx="475">
                  <c:v>47.51000000000041</c:v>
                </c:pt>
                <c:pt idx="476">
                  <c:v>47.610000000000412</c:v>
                </c:pt>
                <c:pt idx="477">
                  <c:v>47.710000000000413</c:v>
                </c:pt>
                <c:pt idx="478">
                  <c:v>47.810000000000414</c:v>
                </c:pt>
                <c:pt idx="479">
                  <c:v>47.910000000000416</c:v>
                </c:pt>
                <c:pt idx="480">
                  <c:v>48.010000000000417</c:v>
                </c:pt>
                <c:pt idx="481">
                  <c:v>48.110000000000419</c:v>
                </c:pt>
                <c:pt idx="482">
                  <c:v>48.21000000000042</c:v>
                </c:pt>
                <c:pt idx="483">
                  <c:v>48.310000000000421</c:v>
                </c:pt>
                <c:pt idx="484">
                  <c:v>48.410000000000423</c:v>
                </c:pt>
                <c:pt idx="485">
                  <c:v>48.510000000000424</c:v>
                </c:pt>
                <c:pt idx="486">
                  <c:v>48.610000000000426</c:v>
                </c:pt>
                <c:pt idx="487">
                  <c:v>48.710000000000427</c:v>
                </c:pt>
                <c:pt idx="488">
                  <c:v>48.810000000000429</c:v>
                </c:pt>
                <c:pt idx="489">
                  <c:v>48.91000000000043</c:v>
                </c:pt>
                <c:pt idx="490">
                  <c:v>49.010000000000431</c:v>
                </c:pt>
                <c:pt idx="491">
                  <c:v>49.110000000000433</c:v>
                </c:pt>
                <c:pt idx="492">
                  <c:v>49.210000000000434</c:v>
                </c:pt>
                <c:pt idx="493">
                  <c:v>49.310000000000436</c:v>
                </c:pt>
                <c:pt idx="494">
                  <c:v>49.410000000000437</c:v>
                </c:pt>
                <c:pt idx="495">
                  <c:v>49.510000000000439</c:v>
                </c:pt>
                <c:pt idx="496">
                  <c:v>49.61000000000044</c:v>
                </c:pt>
                <c:pt idx="497">
                  <c:v>49.710000000000441</c:v>
                </c:pt>
                <c:pt idx="498">
                  <c:v>49.810000000000443</c:v>
                </c:pt>
                <c:pt idx="499">
                  <c:v>49.910000000000444</c:v>
                </c:pt>
                <c:pt idx="500">
                  <c:v>50.010000000000446</c:v>
                </c:pt>
                <c:pt idx="501">
                  <c:v>50.110000000000447</c:v>
                </c:pt>
                <c:pt idx="502">
                  <c:v>50.210000000000448</c:v>
                </c:pt>
                <c:pt idx="503">
                  <c:v>50.31000000000045</c:v>
                </c:pt>
                <c:pt idx="504">
                  <c:v>50.410000000000451</c:v>
                </c:pt>
                <c:pt idx="505">
                  <c:v>50.510000000000453</c:v>
                </c:pt>
                <c:pt idx="506">
                  <c:v>50.610000000000454</c:v>
                </c:pt>
                <c:pt idx="507">
                  <c:v>50.710000000000456</c:v>
                </c:pt>
                <c:pt idx="508">
                  <c:v>50.810000000000457</c:v>
                </c:pt>
                <c:pt idx="509">
                  <c:v>50.910000000000458</c:v>
                </c:pt>
                <c:pt idx="510">
                  <c:v>51.01000000000046</c:v>
                </c:pt>
                <c:pt idx="511">
                  <c:v>51.110000000000461</c:v>
                </c:pt>
                <c:pt idx="512">
                  <c:v>51.210000000000463</c:v>
                </c:pt>
                <c:pt idx="513">
                  <c:v>51.310000000000464</c:v>
                </c:pt>
                <c:pt idx="514">
                  <c:v>51.410000000000466</c:v>
                </c:pt>
                <c:pt idx="515">
                  <c:v>51.510000000000467</c:v>
                </c:pt>
                <c:pt idx="516">
                  <c:v>51.610000000000468</c:v>
                </c:pt>
                <c:pt idx="517">
                  <c:v>51.71000000000047</c:v>
                </c:pt>
                <c:pt idx="518">
                  <c:v>51.810000000000471</c:v>
                </c:pt>
                <c:pt idx="519">
                  <c:v>51.910000000000473</c:v>
                </c:pt>
                <c:pt idx="520">
                  <c:v>52.010000000000474</c:v>
                </c:pt>
                <c:pt idx="521">
                  <c:v>52.110000000000475</c:v>
                </c:pt>
                <c:pt idx="522">
                  <c:v>52.210000000000477</c:v>
                </c:pt>
                <c:pt idx="523">
                  <c:v>52.310000000000478</c:v>
                </c:pt>
                <c:pt idx="524">
                  <c:v>52.41000000000048</c:v>
                </c:pt>
                <c:pt idx="525">
                  <c:v>52.510000000000481</c:v>
                </c:pt>
                <c:pt idx="526">
                  <c:v>52.610000000000483</c:v>
                </c:pt>
                <c:pt idx="527">
                  <c:v>52.710000000000484</c:v>
                </c:pt>
                <c:pt idx="528">
                  <c:v>52.810000000000485</c:v>
                </c:pt>
                <c:pt idx="529">
                  <c:v>52.910000000000487</c:v>
                </c:pt>
                <c:pt idx="530">
                  <c:v>53.010000000000488</c:v>
                </c:pt>
                <c:pt idx="531">
                  <c:v>53.11000000000049</c:v>
                </c:pt>
                <c:pt idx="532">
                  <c:v>53.210000000000491</c:v>
                </c:pt>
                <c:pt idx="533">
                  <c:v>53.310000000000493</c:v>
                </c:pt>
                <c:pt idx="534">
                  <c:v>53.410000000000494</c:v>
                </c:pt>
                <c:pt idx="535">
                  <c:v>53.510000000000495</c:v>
                </c:pt>
                <c:pt idx="536">
                  <c:v>53.610000000000497</c:v>
                </c:pt>
                <c:pt idx="537">
                  <c:v>53.710000000000498</c:v>
                </c:pt>
                <c:pt idx="538">
                  <c:v>53.8100000000005</c:v>
                </c:pt>
                <c:pt idx="539">
                  <c:v>53.910000000000501</c:v>
                </c:pt>
                <c:pt idx="540">
                  <c:v>54.010000000000502</c:v>
                </c:pt>
                <c:pt idx="541">
                  <c:v>54.110000000000504</c:v>
                </c:pt>
                <c:pt idx="542">
                  <c:v>54.210000000000505</c:v>
                </c:pt>
                <c:pt idx="543">
                  <c:v>54.310000000000507</c:v>
                </c:pt>
                <c:pt idx="544">
                  <c:v>54.410000000000508</c:v>
                </c:pt>
                <c:pt idx="545">
                  <c:v>54.51000000000051</c:v>
                </c:pt>
                <c:pt idx="546">
                  <c:v>54.610000000000511</c:v>
                </c:pt>
                <c:pt idx="547">
                  <c:v>54.710000000000512</c:v>
                </c:pt>
                <c:pt idx="548">
                  <c:v>54.810000000000514</c:v>
                </c:pt>
                <c:pt idx="549">
                  <c:v>54.910000000000515</c:v>
                </c:pt>
                <c:pt idx="550">
                  <c:v>55.010000000000517</c:v>
                </c:pt>
                <c:pt idx="551">
                  <c:v>55.110000000000518</c:v>
                </c:pt>
                <c:pt idx="552">
                  <c:v>55.21000000000052</c:v>
                </c:pt>
                <c:pt idx="553">
                  <c:v>55.310000000000521</c:v>
                </c:pt>
                <c:pt idx="554">
                  <c:v>55.410000000000522</c:v>
                </c:pt>
                <c:pt idx="555">
                  <c:v>55.510000000000524</c:v>
                </c:pt>
                <c:pt idx="556">
                  <c:v>55.610000000000525</c:v>
                </c:pt>
                <c:pt idx="557">
                  <c:v>55.710000000000527</c:v>
                </c:pt>
                <c:pt idx="558">
                  <c:v>55.810000000000528</c:v>
                </c:pt>
                <c:pt idx="559">
                  <c:v>55.910000000000529</c:v>
                </c:pt>
                <c:pt idx="560">
                  <c:v>56.010000000000531</c:v>
                </c:pt>
                <c:pt idx="561">
                  <c:v>56.110000000000532</c:v>
                </c:pt>
                <c:pt idx="562">
                  <c:v>56.210000000000534</c:v>
                </c:pt>
                <c:pt idx="563">
                  <c:v>56.310000000000535</c:v>
                </c:pt>
                <c:pt idx="564">
                  <c:v>56.410000000000537</c:v>
                </c:pt>
                <c:pt idx="565">
                  <c:v>56.510000000000538</c:v>
                </c:pt>
                <c:pt idx="566">
                  <c:v>56.610000000000539</c:v>
                </c:pt>
                <c:pt idx="567">
                  <c:v>56.710000000000541</c:v>
                </c:pt>
                <c:pt idx="568">
                  <c:v>56.810000000000542</c:v>
                </c:pt>
                <c:pt idx="569">
                  <c:v>56.910000000000544</c:v>
                </c:pt>
                <c:pt idx="570">
                  <c:v>57.010000000000545</c:v>
                </c:pt>
                <c:pt idx="571">
                  <c:v>57.110000000000547</c:v>
                </c:pt>
                <c:pt idx="572">
                  <c:v>57.210000000000548</c:v>
                </c:pt>
                <c:pt idx="573">
                  <c:v>57.310000000000549</c:v>
                </c:pt>
                <c:pt idx="574">
                  <c:v>57.410000000000551</c:v>
                </c:pt>
                <c:pt idx="575">
                  <c:v>57.510000000000552</c:v>
                </c:pt>
                <c:pt idx="576">
                  <c:v>57.610000000000554</c:v>
                </c:pt>
                <c:pt idx="577">
                  <c:v>57.710000000000555</c:v>
                </c:pt>
                <c:pt idx="578">
                  <c:v>57.810000000000556</c:v>
                </c:pt>
                <c:pt idx="579">
                  <c:v>57.910000000000558</c:v>
                </c:pt>
                <c:pt idx="580">
                  <c:v>58.010000000000559</c:v>
                </c:pt>
                <c:pt idx="581">
                  <c:v>58.110000000000561</c:v>
                </c:pt>
                <c:pt idx="582">
                  <c:v>58.210000000000562</c:v>
                </c:pt>
                <c:pt idx="583">
                  <c:v>58.310000000000564</c:v>
                </c:pt>
                <c:pt idx="584">
                  <c:v>58.410000000000565</c:v>
                </c:pt>
                <c:pt idx="585">
                  <c:v>58.510000000000566</c:v>
                </c:pt>
                <c:pt idx="586">
                  <c:v>58.610000000000568</c:v>
                </c:pt>
                <c:pt idx="587">
                  <c:v>58.710000000000569</c:v>
                </c:pt>
                <c:pt idx="588">
                  <c:v>58.810000000000571</c:v>
                </c:pt>
                <c:pt idx="589">
                  <c:v>58.910000000000572</c:v>
                </c:pt>
                <c:pt idx="590">
                  <c:v>59.010000000000574</c:v>
                </c:pt>
                <c:pt idx="591">
                  <c:v>59.110000000000575</c:v>
                </c:pt>
                <c:pt idx="592">
                  <c:v>59.210000000000576</c:v>
                </c:pt>
                <c:pt idx="593">
                  <c:v>59.310000000000578</c:v>
                </c:pt>
                <c:pt idx="594">
                  <c:v>59.410000000000579</c:v>
                </c:pt>
                <c:pt idx="595">
                  <c:v>59.510000000000581</c:v>
                </c:pt>
                <c:pt idx="596">
                  <c:v>59.610000000000582</c:v>
                </c:pt>
                <c:pt idx="597">
                  <c:v>59.710000000000583</c:v>
                </c:pt>
                <c:pt idx="598">
                  <c:v>59.810000000000585</c:v>
                </c:pt>
                <c:pt idx="599">
                  <c:v>59.910000000000586</c:v>
                </c:pt>
                <c:pt idx="600">
                  <c:v>60.010000000000588</c:v>
                </c:pt>
                <c:pt idx="601">
                  <c:v>60.110000000000589</c:v>
                </c:pt>
                <c:pt idx="602">
                  <c:v>60.210000000000591</c:v>
                </c:pt>
                <c:pt idx="603">
                  <c:v>60.310000000000592</c:v>
                </c:pt>
                <c:pt idx="604">
                  <c:v>60.410000000000593</c:v>
                </c:pt>
                <c:pt idx="605">
                  <c:v>60.510000000000595</c:v>
                </c:pt>
                <c:pt idx="606">
                  <c:v>60.610000000000596</c:v>
                </c:pt>
                <c:pt idx="607">
                  <c:v>60.710000000000598</c:v>
                </c:pt>
                <c:pt idx="608">
                  <c:v>60.810000000000599</c:v>
                </c:pt>
                <c:pt idx="609">
                  <c:v>60.910000000000601</c:v>
                </c:pt>
                <c:pt idx="610">
                  <c:v>61.010000000000602</c:v>
                </c:pt>
                <c:pt idx="611">
                  <c:v>61.110000000000603</c:v>
                </c:pt>
                <c:pt idx="612">
                  <c:v>61.210000000000605</c:v>
                </c:pt>
                <c:pt idx="613">
                  <c:v>61.310000000000606</c:v>
                </c:pt>
                <c:pt idx="614">
                  <c:v>61.410000000000608</c:v>
                </c:pt>
                <c:pt idx="615">
                  <c:v>61.510000000000609</c:v>
                </c:pt>
                <c:pt idx="616">
                  <c:v>61.61000000000061</c:v>
                </c:pt>
                <c:pt idx="617">
                  <c:v>61.710000000000612</c:v>
                </c:pt>
                <c:pt idx="618">
                  <c:v>61.810000000000613</c:v>
                </c:pt>
                <c:pt idx="619">
                  <c:v>61.910000000000615</c:v>
                </c:pt>
                <c:pt idx="620">
                  <c:v>62.010000000000616</c:v>
                </c:pt>
                <c:pt idx="621">
                  <c:v>62.110000000000618</c:v>
                </c:pt>
                <c:pt idx="622">
                  <c:v>62.210000000000619</c:v>
                </c:pt>
                <c:pt idx="623">
                  <c:v>62.31000000000062</c:v>
                </c:pt>
                <c:pt idx="624">
                  <c:v>62.410000000000622</c:v>
                </c:pt>
                <c:pt idx="625">
                  <c:v>62.510000000000623</c:v>
                </c:pt>
                <c:pt idx="626">
                  <c:v>62.610000000000625</c:v>
                </c:pt>
                <c:pt idx="627">
                  <c:v>62.710000000000626</c:v>
                </c:pt>
                <c:pt idx="628">
                  <c:v>62.810000000000628</c:v>
                </c:pt>
                <c:pt idx="629">
                  <c:v>62.910000000000629</c:v>
                </c:pt>
                <c:pt idx="630">
                  <c:v>63.01000000000063</c:v>
                </c:pt>
                <c:pt idx="631">
                  <c:v>63.110000000000632</c:v>
                </c:pt>
                <c:pt idx="632">
                  <c:v>63.210000000000633</c:v>
                </c:pt>
                <c:pt idx="633">
                  <c:v>63.310000000000635</c:v>
                </c:pt>
                <c:pt idx="634">
                  <c:v>63.410000000000636</c:v>
                </c:pt>
                <c:pt idx="635">
                  <c:v>63.510000000000637</c:v>
                </c:pt>
                <c:pt idx="636">
                  <c:v>63.610000000000639</c:v>
                </c:pt>
                <c:pt idx="637">
                  <c:v>63.71000000000064</c:v>
                </c:pt>
                <c:pt idx="638">
                  <c:v>63.810000000000642</c:v>
                </c:pt>
                <c:pt idx="639">
                  <c:v>63.910000000000643</c:v>
                </c:pt>
                <c:pt idx="640">
                  <c:v>64.010000000000645</c:v>
                </c:pt>
                <c:pt idx="641">
                  <c:v>64.110000000000639</c:v>
                </c:pt>
                <c:pt idx="642">
                  <c:v>64.210000000000633</c:v>
                </c:pt>
                <c:pt idx="643">
                  <c:v>64.310000000000628</c:v>
                </c:pt>
                <c:pt idx="644">
                  <c:v>64.410000000000622</c:v>
                </c:pt>
                <c:pt idx="645">
                  <c:v>64.510000000000616</c:v>
                </c:pt>
                <c:pt idx="646">
                  <c:v>64.61000000000061</c:v>
                </c:pt>
                <c:pt idx="647">
                  <c:v>64.710000000000605</c:v>
                </c:pt>
                <c:pt idx="648">
                  <c:v>64.810000000000599</c:v>
                </c:pt>
                <c:pt idx="649">
                  <c:v>64.910000000000593</c:v>
                </c:pt>
                <c:pt idx="650">
                  <c:v>65.010000000000588</c:v>
                </c:pt>
                <c:pt idx="651">
                  <c:v>65.110000000000582</c:v>
                </c:pt>
                <c:pt idx="652">
                  <c:v>65.210000000000576</c:v>
                </c:pt>
                <c:pt idx="653">
                  <c:v>65.310000000000571</c:v>
                </c:pt>
                <c:pt idx="654">
                  <c:v>65.410000000000565</c:v>
                </c:pt>
                <c:pt idx="655">
                  <c:v>65.510000000000559</c:v>
                </c:pt>
                <c:pt idx="656">
                  <c:v>65.610000000000554</c:v>
                </c:pt>
                <c:pt idx="657">
                  <c:v>65.710000000000548</c:v>
                </c:pt>
                <c:pt idx="658">
                  <c:v>65.810000000000542</c:v>
                </c:pt>
                <c:pt idx="659">
                  <c:v>65.910000000000537</c:v>
                </c:pt>
                <c:pt idx="660">
                  <c:v>66.010000000000531</c:v>
                </c:pt>
                <c:pt idx="661">
                  <c:v>66.110000000000525</c:v>
                </c:pt>
                <c:pt idx="662">
                  <c:v>66.21000000000052</c:v>
                </c:pt>
                <c:pt idx="663">
                  <c:v>66.310000000000514</c:v>
                </c:pt>
                <c:pt idx="664">
                  <c:v>66.410000000000508</c:v>
                </c:pt>
                <c:pt idx="665">
                  <c:v>66.510000000000502</c:v>
                </c:pt>
                <c:pt idx="666">
                  <c:v>66.610000000000497</c:v>
                </c:pt>
                <c:pt idx="667">
                  <c:v>66.710000000000491</c:v>
                </c:pt>
                <c:pt idx="668">
                  <c:v>66.810000000000485</c:v>
                </c:pt>
                <c:pt idx="669">
                  <c:v>66.91000000000048</c:v>
                </c:pt>
                <c:pt idx="670">
                  <c:v>67.010000000000474</c:v>
                </c:pt>
                <c:pt idx="671">
                  <c:v>67.110000000000468</c:v>
                </c:pt>
                <c:pt idx="672">
                  <c:v>67.210000000000463</c:v>
                </c:pt>
                <c:pt idx="673">
                  <c:v>67.310000000000457</c:v>
                </c:pt>
                <c:pt idx="674">
                  <c:v>67.410000000000451</c:v>
                </c:pt>
                <c:pt idx="675">
                  <c:v>67.510000000000446</c:v>
                </c:pt>
                <c:pt idx="676">
                  <c:v>67.61000000000044</c:v>
                </c:pt>
                <c:pt idx="677">
                  <c:v>67.710000000000434</c:v>
                </c:pt>
                <c:pt idx="678">
                  <c:v>67.810000000000429</c:v>
                </c:pt>
                <c:pt idx="679">
                  <c:v>67.910000000000423</c:v>
                </c:pt>
                <c:pt idx="680">
                  <c:v>68.010000000000417</c:v>
                </c:pt>
                <c:pt idx="681">
                  <c:v>68.110000000000412</c:v>
                </c:pt>
                <c:pt idx="682">
                  <c:v>68.210000000000406</c:v>
                </c:pt>
                <c:pt idx="683">
                  <c:v>68.3100000000004</c:v>
                </c:pt>
                <c:pt idx="684">
                  <c:v>68.410000000000394</c:v>
                </c:pt>
                <c:pt idx="685">
                  <c:v>68.510000000000389</c:v>
                </c:pt>
                <c:pt idx="686">
                  <c:v>68.610000000000383</c:v>
                </c:pt>
                <c:pt idx="687">
                  <c:v>68.710000000000377</c:v>
                </c:pt>
                <c:pt idx="688">
                  <c:v>68.810000000000372</c:v>
                </c:pt>
                <c:pt idx="689">
                  <c:v>68.910000000000366</c:v>
                </c:pt>
                <c:pt idx="690">
                  <c:v>69.01000000000036</c:v>
                </c:pt>
                <c:pt idx="691">
                  <c:v>69.110000000000355</c:v>
                </c:pt>
                <c:pt idx="692">
                  <c:v>69.210000000000349</c:v>
                </c:pt>
                <c:pt idx="693">
                  <c:v>69.310000000000343</c:v>
                </c:pt>
                <c:pt idx="694">
                  <c:v>69.410000000000338</c:v>
                </c:pt>
                <c:pt idx="695">
                  <c:v>69.510000000000332</c:v>
                </c:pt>
                <c:pt idx="696">
                  <c:v>69.610000000000326</c:v>
                </c:pt>
                <c:pt idx="697">
                  <c:v>69.710000000000321</c:v>
                </c:pt>
                <c:pt idx="698">
                  <c:v>69.810000000000315</c:v>
                </c:pt>
                <c:pt idx="699">
                  <c:v>69.910000000000309</c:v>
                </c:pt>
                <c:pt idx="700">
                  <c:v>70.010000000000304</c:v>
                </c:pt>
                <c:pt idx="701">
                  <c:v>70.110000000000298</c:v>
                </c:pt>
                <c:pt idx="702">
                  <c:v>70.210000000000292</c:v>
                </c:pt>
                <c:pt idx="703">
                  <c:v>70.310000000000286</c:v>
                </c:pt>
                <c:pt idx="704">
                  <c:v>70.410000000000281</c:v>
                </c:pt>
                <c:pt idx="705">
                  <c:v>70.510000000000275</c:v>
                </c:pt>
                <c:pt idx="706">
                  <c:v>70.610000000000269</c:v>
                </c:pt>
                <c:pt idx="707">
                  <c:v>70.710000000000264</c:v>
                </c:pt>
                <c:pt idx="708">
                  <c:v>70.810000000000258</c:v>
                </c:pt>
                <c:pt idx="709">
                  <c:v>70.910000000000252</c:v>
                </c:pt>
                <c:pt idx="710">
                  <c:v>71.010000000000247</c:v>
                </c:pt>
                <c:pt idx="711">
                  <c:v>71.110000000000241</c:v>
                </c:pt>
                <c:pt idx="712">
                  <c:v>71.210000000000235</c:v>
                </c:pt>
                <c:pt idx="713">
                  <c:v>71.31000000000023</c:v>
                </c:pt>
                <c:pt idx="714">
                  <c:v>71.410000000000224</c:v>
                </c:pt>
                <c:pt idx="715">
                  <c:v>71.510000000000218</c:v>
                </c:pt>
                <c:pt idx="716">
                  <c:v>71.610000000000213</c:v>
                </c:pt>
                <c:pt idx="717">
                  <c:v>71.710000000000207</c:v>
                </c:pt>
                <c:pt idx="718">
                  <c:v>71.810000000000201</c:v>
                </c:pt>
                <c:pt idx="719">
                  <c:v>71.910000000000196</c:v>
                </c:pt>
                <c:pt idx="720">
                  <c:v>72.01000000000019</c:v>
                </c:pt>
                <c:pt idx="721">
                  <c:v>72.110000000000184</c:v>
                </c:pt>
                <c:pt idx="722">
                  <c:v>72.210000000000178</c:v>
                </c:pt>
                <c:pt idx="723">
                  <c:v>72.310000000000173</c:v>
                </c:pt>
                <c:pt idx="724">
                  <c:v>72.410000000000167</c:v>
                </c:pt>
                <c:pt idx="725">
                  <c:v>72.510000000000161</c:v>
                </c:pt>
                <c:pt idx="726">
                  <c:v>72.610000000000156</c:v>
                </c:pt>
                <c:pt idx="727">
                  <c:v>72.71000000000015</c:v>
                </c:pt>
                <c:pt idx="728">
                  <c:v>72.810000000000144</c:v>
                </c:pt>
                <c:pt idx="729">
                  <c:v>72.910000000000139</c:v>
                </c:pt>
                <c:pt idx="730">
                  <c:v>73.010000000000133</c:v>
                </c:pt>
                <c:pt idx="731">
                  <c:v>73.110000000000127</c:v>
                </c:pt>
                <c:pt idx="732">
                  <c:v>73.210000000000122</c:v>
                </c:pt>
                <c:pt idx="733">
                  <c:v>73.310000000000116</c:v>
                </c:pt>
                <c:pt idx="734">
                  <c:v>73.41000000000011</c:v>
                </c:pt>
                <c:pt idx="735">
                  <c:v>73.510000000000105</c:v>
                </c:pt>
                <c:pt idx="736">
                  <c:v>73.610000000000099</c:v>
                </c:pt>
                <c:pt idx="737">
                  <c:v>73.710000000000093</c:v>
                </c:pt>
                <c:pt idx="738">
                  <c:v>73.810000000000088</c:v>
                </c:pt>
                <c:pt idx="739">
                  <c:v>73.910000000000082</c:v>
                </c:pt>
                <c:pt idx="740">
                  <c:v>74.010000000000076</c:v>
                </c:pt>
                <c:pt idx="741">
                  <c:v>74.11000000000007</c:v>
                </c:pt>
                <c:pt idx="742">
                  <c:v>74.210000000000065</c:v>
                </c:pt>
                <c:pt idx="743">
                  <c:v>74.310000000000059</c:v>
                </c:pt>
                <c:pt idx="744">
                  <c:v>74.410000000000053</c:v>
                </c:pt>
                <c:pt idx="745">
                  <c:v>74.510000000000048</c:v>
                </c:pt>
                <c:pt idx="746">
                  <c:v>74.610000000000042</c:v>
                </c:pt>
                <c:pt idx="747">
                  <c:v>74.710000000000036</c:v>
                </c:pt>
                <c:pt idx="748">
                  <c:v>74.810000000000031</c:v>
                </c:pt>
                <c:pt idx="749">
                  <c:v>74.910000000000025</c:v>
                </c:pt>
                <c:pt idx="750">
                  <c:v>75.010000000000019</c:v>
                </c:pt>
                <c:pt idx="751">
                  <c:v>75.110000000000014</c:v>
                </c:pt>
                <c:pt idx="752">
                  <c:v>75.210000000000008</c:v>
                </c:pt>
                <c:pt idx="753">
                  <c:v>75.31</c:v>
                </c:pt>
                <c:pt idx="754">
                  <c:v>75.41</c:v>
                </c:pt>
                <c:pt idx="755">
                  <c:v>75.509999999999991</c:v>
                </c:pt>
                <c:pt idx="756">
                  <c:v>75.609999999999985</c:v>
                </c:pt>
                <c:pt idx="757">
                  <c:v>75.70999999999998</c:v>
                </c:pt>
                <c:pt idx="758">
                  <c:v>75.809999999999974</c:v>
                </c:pt>
                <c:pt idx="759">
                  <c:v>75.909999999999968</c:v>
                </c:pt>
                <c:pt idx="760">
                  <c:v>76.009999999999962</c:v>
                </c:pt>
                <c:pt idx="761">
                  <c:v>76.109999999999957</c:v>
                </c:pt>
                <c:pt idx="762">
                  <c:v>76.209999999999951</c:v>
                </c:pt>
                <c:pt idx="763">
                  <c:v>76.309999999999945</c:v>
                </c:pt>
                <c:pt idx="764">
                  <c:v>76.40999999999994</c:v>
                </c:pt>
                <c:pt idx="765">
                  <c:v>76.509999999999934</c:v>
                </c:pt>
                <c:pt idx="766">
                  <c:v>76.609999999999928</c:v>
                </c:pt>
                <c:pt idx="767">
                  <c:v>76.709999999999923</c:v>
                </c:pt>
                <c:pt idx="768">
                  <c:v>76.809999999999917</c:v>
                </c:pt>
                <c:pt idx="769">
                  <c:v>76.909999999999911</c:v>
                </c:pt>
                <c:pt idx="770">
                  <c:v>77.009999999999906</c:v>
                </c:pt>
                <c:pt idx="771">
                  <c:v>77.1099999999999</c:v>
                </c:pt>
                <c:pt idx="772">
                  <c:v>77.209999999999894</c:v>
                </c:pt>
                <c:pt idx="773">
                  <c:v>77.309999999999889</c:v>
                </c:pt>
                <c:pt idx="774">
                  <c:v>77.409999999999883</c:v>
                </c:pt>
                <c:pt idx="775">
                  <c:v>77.509999999999877</c:v>
                </c:pt>
                <c:pt idx="776">
                  <c:v>77.609999999999872</c:v>
                </c:pt>
                <c:pt idx="777">
                  <c:v>77.709999999999866</c:v>
                </c:pt>
                <c:pt idx="778">
                  <c:v>77.80999999999986</c:v>
                </c:pt>
                <c:pt idx="779">
                  <c:v>77.909999999999854</c:v>
                </c:pt>
                <c:pt idx="780">
                  <c:v>78.009999999999849</c:v>
                </c:pt>
                <c:pt idx="781">
                  <c:v>78.109999999999843</c:v>
                </c:pt>
                <c:pt idx="782">
                  <c:v>78.209999999999837</c:v>
                </c:pt>
                <c:pt idx="783">
                  <c:v>78.309999999999832</c:v>
                </c:pt>
                <c:pt idx="784">
                  <c:v>78.409999999999826</c:v>
                </c:pt>
                <c:pt idx="785">
                  <c:v>78.50999999999982</c:v>
                </c:pt>
                <c:pt idx="786">
                  <c:v>78.609999999999815</c:v>
                </c:pt>
                <c:pt idx="787">
                  <c:v>78.709999999999809</c:v>
                </c:pt>
                <c:pt idx="788">
                  <c:v>78.809999999999803</c:v>
                </c:pt>
                <c:pt idx="789">
                  <c:v>78.909999999999798</c:v>
                </c:pt>
                <c:pt idx="790">
                  <c:v>79.009999999999792</c:v>
                </c:pt>
                <c:pt idx="791">
                  <c:v>79.109999999999786</c:v>
                </c:pt>
                <c:pt idx="792">
                  <c:v>79.209999999999781</c:v>
                </c:pt>
                <c:pt idx="793">
                  <c:v>79.309999999999775</c:v>
                </c:pt>
                <c:pt idx="794">
                  <c:v>79.409999999999769</c:v>
                </c:pt>
                <c:pt idx="795">
                  <c:v>79.509999999999764</c:v>
                </c:pt>
                <c:pt idx="796">
                  <c:v>79.609999999999758</c:v>
                </c:pt>
                <c:pt idx="797">
                  <c:v>79.709999999999752</c:v>
                </c:pt>
                <c:pt idx="798">
                  <c:v>79.809999999999746</c:v>
                </c:pt>
                <c:pt idx="799">
                  <c:v>79.909999999999741</c:v>
                </c:pt>
                <c:pt idx="800">
                  <c:v>80.009999999999735</c:v>
                </c:pt>
                <c:pt idx="801">
                  <c:v>80.109999999999729</c:v>
                </c:pt>
                <c:pt idx="802">
                  <c:v>80.209999999999724</c:v>
                </c:pt>
                <c:pt idx="803">
                  <c:v>80.309999999999718</c:v>
                </c:pt>
                <c:pt idx="804">
                  <c:v>80.409999999999712</c:v>
                </c:pt>
                <c:pt idx="805">
                  <c:v>80.509999999999707</c:v>
                </c:pt>
                <c:pt idx="806">
                  <c:v>80.609999999999701</c:v>
                </c:pt>
                <c:pt idx="807">
                  <c:v>80.709999999999695</c:v>
                </c:pt>
                <c:pt idx="808">
                  <c:v>80.80999999999969</c:v>
                </c:pt>
                <c:pt idx="809">
                  <c:v>80.909999999999684</c:v>
                </c:pt>
                <c:pt idx="810">
                  <c:v>81.009999999999678</c:v>
                </c:pt>
                <c:pt idx="811">
                  <c:v>81.109999999999673</c:v>
                </c:pt>
                <c:pt idx="812">
                  <c:v>81.209999999999667</c:v>
                </c:pt>
                <c:pt idx="813">
                  <c:v>81.309999999999661</c:v>
                </c:pt>
                <c:pt idx="814">
                  <c:v>81.409999999999656</c:v>
                </c:pt>
                <c:pt idx="815">
                  <c:v>81.50999999999965</c:v>
                </c:pt>
                <c:pt idx="816">
                  <c:v>81.609999999999644</c:v>
                </c:pt>
                <c:pt idx="817">
                  <c:v>81.709999999999638</c:v>
                </c:pt>
                <c:pt idx="818">
                  <c:v>81.809999999999633</c:v>
                </c:pt>
                <c:pt idx="819">
                  <c:v>81.909999999999627</c:v>
                </c:pt>
                <c:pt idx="820">
                  <c:v>82.009999999999621</c:v>
                </c:pt>
                <c:pt idx="821">
                  <c:v>82.109999999999616</c:v>
                </c:pt>
                <c:pt idx="822">
                  <c:v>82.20999999999961</c:v>
                </c:pt>
                <c:pt idx="823">
                  <c:v>82.309999999999604</c:v>
                </c:pt>
                <c:pt idx="824">
                  <c:v>82.409999999999599</c:v>
                </c:pt>
                <c:pt idx="825">
                  <c:v>82.509999999999593</c:v>
                </c:pt>
                <c:pt idx="826">
                  <c:v>82.609999999999587</c:v>
                </c:pt>
                <c:pt idx="827">
                  <c:v>82.709999999999582</c:v>
                </c:pt>
                <c:pt idx="828">
                  <c:v>82.809999999999576</c:v>
                </c:pt>
                <c:pt idx="829">
                  <c:v>82.90999999999957</c:v>
                </c:pt>
                <c:pt idx="830">
                  <c:v>83.009999999999565</c:v>
                </c:pt>
                <c:pt idx="831">
                  <c:v>83.109999999999559</c:v>
                </c:pt>
                <c:pt idx="832">
                  <c:v>83.209999999999553</c:v>
                </c:pt>
                <c:pt idx="833">
                  <c:v>83.309999999999548</c:v>
                </c:pt>
                <c:pt idx="834">
                  <c:v>83.409999999999542</c:v>
                </c:pt>
                <c:pt idx="835">
                  <c:v>83.509999999999536</c:v>
                </c:pt>
                <c:pt idx="836">
                  <c:v>83.60999999999953</c:v>
                </c:pt>
                <c:pt idx="837">
                  <c:v>83.709999999999525</c:v>
                </c:pt>
                <c:pt idx="838">
                  <c:v>83.809999999999519</c:v>
                </c:pt>
                <c:pt idx="839">
                  <c:v>83.909999999999513</c:v>
                </c:pt>
                <c:pt idx="840">
                  <c:v>84.009999999999508</c:v>
                </c:pt>
                <c:pt idx="841">
                  <c:v>84.109999999999502</c:v>
                </c:pt>
                <c:pt idx="842">
                  <c:v>84.209999999999496</c:v>
                </c:pt>
                <c:pt idx="843">
                  <c:v>84.309999999999491</c:v>
                </c:pt>
                <c:pt idx="844">
                  <c:v>84.409999999999485</c:v>
                </c:pt>
                <c:pt idx="845">
                  <c:v>84.509999999999479</c:v>
                </c:pt>
                <c:pt idx="846">
                  <c:v>84.609999999999474</c:v>
                </c:pt>
                <c:pt idx="847">
                  <c:v>84.709999999999468</c:v>
                </c:pt>
                <c:pt idx="848">
                  <c:v>84.809999999999462</c:v>
                </c:pt>
                <c:pt idx="849">
                  <c:v>84.909999999999457</c:v>
                </c:pt>
                <c:pt idx="850">
                  <c:v>85.009999999999451</c:v>
                </c:pt>
                <c:pt idx="851">
                  <c:v>85.109999999999445</c:v>
                </c:pt>
                <c:pt idx="852">
                  <c:v>85.20999999999944</c:v>
                </c:pt>
                <c:pt idx="853">
                  <c:v>85.309999999999434</c:v>
                </c:pt>
                <c:pt idx="854">
                  <c:v>85.409999999999428</c:v>
                </c:pt>
                <c:pt idx="855">
                  <c:v>85.509999999999422</c:v>
                </c:pt>
                <c:pt idx="856">
                  <c:v>85.609999999999417</c:v>
                </c:pt>
                <c:pt idx="857">
                  <c:v>85.709999999999411</c:v>
                </c:pt>
                <c:pt idx="858">
                  <c:v>85.809999999999405</c:v>
                </c:pt>
                <c:pt idx="859">
                  <c:v>85.9099999999994</c:v>
                </c:pt>
                <c:pt idx="860">
                  <c:v>86.009999999999394</c:v>
                </c:pt>
                <c:pt idx="861">
                  <c:v>86.109999999999388</c:v>
                </c:pt>
                <c:pt idx="862">
                  <c:v>86.209999999999383</c:v>
                </c:pt>
                <c:pt idx="863">
                  <c:v>86.309999999999377</c:v>
                </c:pt>
                <c:pt idx="864">
                  <c:v>86.409999999999371</c:v>
                </c:pt>
                <c:pt idx="865">
                  <c:v>86.509999999999366</c:v>
                </c:pt>
                <c:pt idx="866">
                  <c:v>86.60999999999936</c:v>
                </c:pt>
                <c:pt idx="867">
                  <c:v>86.709999999999354</c:v>
                </c:pt>
                <c:pt idx="868">
                  <c:v>86.809999999999349</c:v>
                </c:pt>
                <c:pt idx="869">
                  <c:v>86.909999999999343</c:v>
                </c:pt>
                <c:pt idx="870">
                  <c:v>87.009999999999337</c:v>
                </c:pt>
                <c:pt idx="871">
                  <c:v>87.109999999999332</c:v>
                </c:pt>
                <c:pt idx="872">
                  <c:v>87.209999999999326</c:v>
                </c:pt>
                <c:pt idx="873">
                  <c:v>87.30999999999932</c:v>
                </c:pt>
                <c:pt idx="874">
                  <c:v>87.409999999999314</c:v>
                </c:pt>
                <c:pt idx="875">
                  <c:v>87.509999999999309</c:v>
                </c:pt>
                <c:pt idx="876">
                  <c:v>87.609999999999303</c:v>
                </c:pt>
                <c:pt idx="877">
                  <c:v>87.709999999999297</c:v>
                </c:pt>
                <c:pt idx="878">
                  <c:v>87.809999999999292</c:v>
                </c:pt>
                <c:pt idx="879">
                  <c:v>87.909999999999286</c:v>
                </c:pt>
                <c:pt idx="880">
                  <c:v>88.00999999999928</c:v>
                </c:pt>
                <c:pt idx="881">
                  <c:v>88.109999999999275</c:v>
                </c:pt>
                <c:pt idx="882">
                  <c:v>88.209999999999269</c:v>
                </c:pt>
                <c:pt idx="883">
                  <c:v>88.309999999999263</c:v>
                </c:pt>
                <c:pt idx="884">
                  <c:v>88.409999999999258</c:v>
                </c:pt>
                <c:pt idx="885">
                  <c:v>88.509999999999252</c:v>
                </c:pt>
                <c:pt idx="886">
                  <c:v>88.609999999999246</c:v>
                </c:pt>
                <c:pt idx="887">
                  <c:v>88.709999999999241</c:v>
                </c:pt>
                <c:pt idx="888">
                  <c:v>88.809999999999235</c:v>
                </c:pt>
                <c:pt idx="889">
                  <c:v>88.909999999999229</c:v>
                </c:pt>
                <c:pt idx="890">
                  <c:v>89.009999999999224</c:v>
                </c:pt>
                <c:pt idx="891">
                  <c:v>89.109999999999218</c:v>
                </c:pt>
                <c:pt idx="892">
                  <c:v>89.209999999999212</c:v>
                </c:pt>
                <c:pt idx="893">
                  <c:v>89.309999999999206</c:v>
                </c:pt>
                <c:pt idx="894">
                  <c:v>89.409999999999201</c:v>
                </c:pt>
                <c:pt idx="895">
                  <c:v>89.509999999999195</c:v>
                </c:pt>
                <c:pt idx="896">
                  <c:v>89.609999999999189</c:v>
                </c:pt>
                <c:pt idx="897">
                  <c:v>89.709999999999184</c:v>
                </c:pt>
                <c:pt idx="898">
                  <c:v>89.809999999999178</c:v>
                </c:pt>
                <c:pt idx="899">
                  <c:v>89.909999999999172</c:v>
                </c:pt>
                <c:pt idx="900">
                  <c:v>90.009999999999167</c:v>
                </c:pt>
                <c:pt idx="901">
                  <c:v>90.109999999999161</c:v>
                </c:pt>
                <c:pt idx="902">
                  <c:v>90.209999999999155</c:v>
                </c:pt>
                <c:pt idx="903">
                  <c:v>90.30999999999915</c:v>
                </c:pt>
                <c:pt idx="904">
                  <c:v>90.409999999999144</c:v>
                </c:pt>
                <c:pt idx="905">
                  <c:v>90.509999999999138</c:v>
                </c:pt>
                <c:pt idx="906">
                  <c:v>90.609999999999133</c:v>
                </c:pt>
                <c:pt idx="907">
                  <c:v>90.709999999999127</c:v>
                </c:pt>
                <c:pt idx="908">
                  <c:v>90.809999999999121</c:v>
                </c:pt>
                <c:pt idx="909">
                  <c:v>90.909999999999116</c:v>
                </c:pt>
                <c:pt idx="910">
                  <c:v>91.00999999999911</c:v>
                </c:pt>
                <c:pt idx="911">
                  <c:v>91.109999999999104</c:v>
                </c:pt>
                <c:pt idx="912">
                  <c:v>91.209999999999098</c:v>
                </c:pt>
                <c:pt idx="913">
                  <c:v>91.309999999999093</c:v>
                </c:pt>
                <c:pt idx="914">
                  <c:v>91.409999999999087</c:v>
                </c:pt>
                <c:pt idx="915">
                  <c:v>91.509999999999081</c:v>
                </c:pt>
                <c:pt idx="916">
                  <c:v>91.609999999999076</c:v>
                </c:pt>
                <c:pt idx="917">
                  <c:v>91.70999999999907</c:v>
                </c:pt>
                <c:pt idx="918">
                  <c:v>91.809999999999064</c:v>
                </c:pt>
                <c:pt idx="919">
                  <c:v>91.909999999999059</c:v>
                </c:pt>
                <c:pt idx="920">
                  <c:v>92.009999999999053</c:v>
                </c:pt>
                <c:pt idx="921">
                  <c:v>92.109999999999047</c:v>
                </c:pt>
                <c:pt idx="922">
                  <c:v>92.209999999999042</c:v>
                </c:pt>
                <c:pt idx="923">
                  <c:v>92.309999999999036</c:v>
                </c:pt>
                <c:pt idx="924">
                  <c:v>92.40999999999903</c:v>
                </c:pt>
                <c:pt idx="925">
                  <c:v>92.509999999999025</c:v>
                </c:pt>
                <c:pt idx="926">
                  <c:v>92.609999999999019</c:v>
                </c:pt>
                <c:pt idx="927">
                  <c:v>92.709999999999013</c:v>
                </c:pt>
                <c:pt idx="928">
                  <c:v>92.809999999999008</c:v>
                </c:pt>
                <c:pt idx="929">
                  <c:v>92.909999999999002</c:v>
                </c:pt>
                <c:pt idx="930">
                  <c:v>93.009999999998996</c:v>
                </c:pt>
                <c:pt idx="931">
                  <c:v>93.10999999999899</c:v>
                </c:pt>
                <c:pt idx="932">
                  <c:v>93.209999999998985</c:v>
                </c:pt>
                <c:pt idx="933">
                  <c:v>93.309999999998979</c:v>
                </c:pt>
                <c:pt idx="934">
                  <c:v>93.409999999998973</c:v>
                </c:pt>
                <c:pt idx="935">
                  <c:v>93.509999999998968</c:v>
                </c:pt>
                <c:pt idx="936">
                  <c:v>93.609999999998962</c:v>
                </c:pt>
                <c:pt idx="937">
                  <c:v>93.709999999998956</c:v>
                </c:pt>
                <c:pt idx="938">
                  <c:v>93.809999999998951</c:v>
                </c:pt>
                <c:pt idx="939">
                  <c:v>93.909999999998945</c:v>
                </c:pt>
                <c:pt idx="940">
                  <c:v>94.009999999998939</c:v>
                </c:pt>
                <c:pt idx="941">
                  <c:v>94.109999999998934</c:v>
                </c:pt>
                <c:pt idx="942">
                  <c:v>94.209999999998928</c:v>
                </c:pt>
                <c:pt idx="943">
                  <c:v>94.309999999998922</c:v>
                </c:pt>
                <c:pt idx="944">
                  <c:v>94.409999999998917</c:v>
                </c:pt>
                <c:pt idx="945">
                  <c:v>94.509999999998911</c:v>
                </c:pt>
                <c:pt idx="946">
                  <c:v>94.609999999998905</c:v>
                </c:pt>
                <c:pt idx="947">
                  <c:v>94.7099999999989</c:v>
                </c:pt>
                <c:pt idx="948">
                  <c:v>94.809999999998894</c:v>
                </c:pt>
                <c:pt idx="949">
                  <c:v>94.909999999998888</c:v>
                </c:pt>
                <c:pt idx="950">
                  <c:v>95.009999999998882</c:v>
                </c:pt>
                <c:pt idx="951">
                  <c:v>95.109999999998877</c:v>
                </c:pt>
                <c:pt idx="952">
                  <c:v>95.209999999998871</c:v>
                </c:pt>
                <c:pt idx="953">
                  <c:v>95.309999999998865</c:v>
                </c:pt>
                <c:pt idx="954">
                  <c:v>95.40999999999886</c:v>
                </c:pt>
                <c:pt idx="955">
                  <c:v>95.509999999998854</c:v>
                </c:pt>
                <c:pt idx="956">
                  <c:v>95.609999999998848</c:v>
                </c:pt>
                <c:pt idx="957">
                  <c:v>95.709999999998843</c:v>
                </c:pt>
                <c:pt idx="958">
                  <c:v>95.809999999998837</c:v>
                </c:pt>
                <c:pt idx="959">
                  <c:v>95.909999999998831</c:v>
                </c:pt>
                <c:pt idx="960">
                  <c:v>96.009999999998826</c:v>
                </c:pt>
                <c:pt idx="961">
                  <c:v>96.10999999999882</c:v>
                </c:pt>
                <c:pt idx="962">
                  <c:v>96.209999999998814</c:v>
                </c:pt>
                <c:pt idx="963">
                  <c:v>96.309999999998809</c:v>
                </c:pt>
                <c:pt idx="964">
                  <c:v>96.409999999998803</c:v>
                </c:pt>
                <c:pt idx="965">
                  <c:v>96.509999999998797</c:v>
                </c:pt>
                <c:pt idx="966">
                  <c:v>96.609999999998792</c:v>
                </c:pt>
                <c:pt idx="967">
                  <c:v>96.709999999998786</c:v>
                </c:pt>
                <c:pt idx="968">
                  <c:v>96.80999999999878</c:v>
                </c:pt>
                <c:pt idx="969">
                  <c:v>96.909999999998774</c:v>
                </c:pt>
                <c:pt idx="970">
                  <c:v>97.009999999998769</c:v>
                </c:pt>
                <c:pt idx="971">
                  <c:v>97.109999999998763</c:v>
                </c:pt>
                <c:pt idx="972">
                  <c:v>97.209999999998757</c:v>
                </c:pt>
                <c:pt idx="973">
                  <c:v>97.309999999998752</c:v>
                </c:pt>
                <c:pt idx="974">
                  <c:v>97.409999999998746</c:v>
                </c:pt>
                <c:pt idx="975">
                  <c:v>97.50999999999874</c:v>
                </c:pt>
                <c:pt idx="976">
                  <c:v>97.609999999998735</c:v>
                </c:pt>
                <c:pt idx="977">
                  <c:v>97.709999999998729</c:v>
                </c:pt>
                <c:pt idx="978">
                  <c:v>97.809999999998723</c:v>
                </c:pt>
                <c:pt idx="979">
                  <c:v>97.909999999998718</c:v>
                </c:pt>
                <c:pt idx="980">
                  <c:v>98.009999999998712</c:v>
                </c:pt>
                <c:pt idx="981">
                  <c:v>98.109999999998706</c:v>
                </c:pt>
                <c:pt idx="982">
                  <c:v>98.209999999998701</c:v>
                </c:pt>
                <c:pt idx="983">
                  <c:v>98.309999999998695</c:v>
                </c:pt>
                <c:pt idx="984">
                  <c:v>98.409999999998689</c:v>
                </c:pt>
                <c:pt idx="985">
                  <c:v>98.509999999998684</c:v>
                </c:pt>
                <c:pt idx="986">
                  <c:v>98.609999999998678</c:v>
                </c:pt>
                <c:pt idx="987">
                  <c:v>98.709999999998672</c:v>
                </c:pt>
                <c:pt idx="988">
                  <c:v>98.809999999998666</c:v>
                </c:pt>
                <c:pt idx="989">
                  <c:v>98.909999999998661</c:v>
                </c:pt>
                <c:pt idx="990">
                  <c:v>99.009999999998655</c:v>
                </c:pt>
                <c:pt idx="991">
                  <c:v>99.109999999998649</c:v>
                </c:pt>
                <c:pt idx="992">
                  <c:v>99.209999999998644</c:v>
                </c:pt>
                <c:pt idx="993">
                  <c:v>99.309999999998638</c:v>
                </c:pt>
                <c:pt idx="994">
                  <c:v>99.409999999998632</c:v>
                </c:pt>
                <c:pt idx="995">
                  <c:v>99.509999999998627</c:v>
                </c:pt>
                <c:pt idx="996">
                  <c:v>99.609999999998621</c:v>
                </c:pt>
                <c:pt idx="997">
                  <c:v>99.709999999998615</c:v>
                </c:pt>
                <c:pt idx="998">
                  <c:v>99.80999999999861</c:v>
                </c:pt>
                <c:pt idx="999">
                  <c:v>99.909999999998604</c:v>
                </c:pt>
                <c:pt idx="1000">
                  <c:v>100.0099999999986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F9-4AB4-AD3D-ED2B8F4D5CC2}"/>
            </c:ext>
          </c:extLst>
        </c:ser>
        <c:ser>
          <c:idx val="2"/>
          <c:order val="3"/>
          <c:tx>
            <c:v>D10 (mm)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Data!$D$8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Data!$B$8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F9-4AB4-AD3D-ED2B8F4D5CC2}"/>
            </c:ext>
          </c:extLst>
        </c:ser>
        <c:ser>
          <c:idx val="3"/>
          <c:order val="4"/>
          <c:tx>
            <c:v>D30 (mm)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dLbls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Data!$D$9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Data!$B$9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F9-4AB4-AD3D-ED2B8F4D5CC2}"/>
            </c:ext>
          </c:extLst>
        </c:ser>
        <c:ser>
          <c:idx val="4"/>
          <c:order val="5"/>
          <c:tx>
            <c:v>D60 (mm)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851327503600112E-3"/>
                  <c:y val="2.1550389205301931E-2"/>
                </c:manualLayout>
              </c:layout>
              <c:numFmt formatCode="0.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9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F9-4AB4-AD3D-ED2B8F4D5CC2}"/>
                </c:ext>
              </c:extLst>
            </c:dLbl>
            <c:numFmt formatCode="0.0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9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Data!$D$10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Data!$B$10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F9-4AB4-AD3D-ED2B8F4D5CC2}"/>
            </c:ext>
          </c:extLst>
        </c:ser>
        <c:ser>
          <c:idx val="5"/>
          <c:order val="6"/>
          <c:tx>
            <c:v>Gravel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Data!$A$63:$A$64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Data!$B$63:$B$64</c:f>
              <c:numCache>
                <c:formatCode>General</c:formatCode>
                <c:ptCount val="2"/>
                <c:pt idx="0">
                  <c:v>1.0000000000000001E-5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3F9-4AB4-AD3D-ED2B8F4D5CC2}"/>
            </c:ext>
          </c:extLst>
        </c:ser>
        <c:ser>
          <c:idx val="6"/>
          <c:order val="7"/>
          <c:tx>
            <c:v>Sand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Data!$A$66:$A$67</c:f>
              <c:numCache>
                <c:formatCode>General</c:formatCode>
                <c:ptCount val="2"/>
                <c:pt idx="0">
                  <c:v>4.75</c:v>
                </c:pt>
                <c:pt idx="1">
                  <c:v>4.75</c:v>
                </c:pt>
              </c:numCache>
            </c:numRef>
          </c:xVal>
          <c:yVal>
            <c:numRef>
              <c:f>Data!$B$66:$B$67</c:f>
              <c:numCache>
                <c:formatCode>General</c:formatCode>
                <c:ptCount val="2"/>
                <c:pt idx="0">
                  <c:v>9.9999999999999995E-7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3F9-4AB4-AD3D-ED2B8F4D5CC2}"/>
            </c:ext>
          </c:extLst>
        </c:ser>
        <c:ser>
          <c:idx val="7"/>
          <c:order val="8"/>
          <c:tx>
            <c:v>Fines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Data!$A$69:$A$70</c:f>
              <c:numCache>
                <c:formatCode>General</c:formatCode>
                <c:ptCount val="2"/>
                <c:pt idx="0">
                  <c:v>7.4999999999999997E-2</c:v>
                </c:pt>
                <c:pt idx="1">
                  <c:v>7.4999999999999997E-2</c:v>
                </c:pt>
              </c:numCache>
            </c:numRef>
          </c:xVal>
          <c:yVal>
            <c:numRef>
              <c:f>Data!$B$69:$B$70</c:f>
              <c:numCache>
                <c:formatCode>General</c:formatCode>
                <c:ptCount val="2"/>
                <c:pt idx="0">
                  <c:v>9.9999999999999995E-7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3F9-4AB4-AD3D-ED2B8F4D5CC2}"/>
            </c:ext>
          </c:extLst>
        </c:ser>
        <c:ser>
          <c:idx val="9"/>
          <c:order val="9"/>
          <c:tx>
            <c:v>d30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Data!$C$9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Data!$B$9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3F9-4AB4-AD3D-ED2B8F4D5CC2}"/>
            </c:ext>
          </c:extLst>
        </c:ser>
        <c:ser>
          <c:idx val="10"/>
          <c:order val="10"/>
          <c:tx>
            <c:v>d10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Data!$C$8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Data!$B$8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3F9-4AB4-AD3D-ED2B8F4D5CC2}"/>
            </c:ext>
          </c:extLst>
        </c:ser>
        <c:ser>
          <c:idx val="11"/>
          <c:order val="11"/>
          <c:tx>
            <c:v>d60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Data!$C$10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Data!$B$10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3F9-4AB4-AD3D-ED2B8F4D5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386160"/>
        <c:axId val="1"/>
      </c:scatterChart>
      <c:valAx>
        <c:axId val="536386160"/>
        <c:scaling>
          <c:logBase val="10"/>
          <c:orientation val="maxMin"/>
          <c:max val="100"/>
          <c:min val="1E-3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Grain Size (mm)</a:t>
                </a:r>
              </a:p>
            </c:rich>
          </c:tx>
          <c:layout>
            <c:manualLayout>
              <c:xMode val="edge"/>
              <c:yMode val="edge"/>
              <c:x val="0.42887458116352395"/>
              <c:y val="0.907773311230832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0"/>
        <c:minorUnit val="10"/>
      </c:valAx>
      <c:valAx>
        <c:axId val="1"/>
        <c:scaling>
          <c:orientation val="minMax"/>
          <c:max val="100"/>
          <c:min val="0"/>
        </c:scaling>
        <c:delete val="0"/>
        <c:axPos val="r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</a:t>
                </a:r>
              </a:p>
            </c:rich>
          </c:tx>
          <c:layout>
            <c:manualLayout>
              <c:xMode val="edge"/>
              <c:yMode val="edge"/>
              <c:x val="5.294775076837106E-3"/>
              <c:y val="0.411067136344798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386160"/>
        <c:crossesAt val="1000"/>
        <c:crossBetween val="midCat"/>
        <c:majorUnit val="10"/>
        <c:minorUnit val="2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73158164533709E-2"/>
          <c:y val="0.10261790302527973"/>
          <c:w val="0.83724845060754671"/>
          <c:h val="0.119371874568310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30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</xdr:colOff>
      <xdr:row>27</xdr:row>
      <xdr:rowOff>60960</xdr:rowOff>
    </xdr:from>
    <xdr:to>
      <xdr:col>1</xdr:col>
      <xdr:colOff>2825102</xdr:colOff>
      <xdr:row>31</xdr:row>
      <xdr:rowOff>129540</xdr:rowOff>
    </xdr:to>
    <xdr:sp macro="[0]!VIEWPLOT" textlink="">
      <xdr:nvSpPr>
        <xdr:cNvPr id="2071" name="Text Box 23">
          <a:extLst>
            <a:ext uri="{FF2B5EF4-FFF2-40B4-BE49-F238E27FC236}">
              <a16:creationId xmlns:a16="http://schemas.microsoft.com/office/drawing/2014/main" id="{608101D9-3A12-454B-9734-9A87CE162046}"/>
            </a:ext>
          </a:extLst>
        </xdr:cNvPr>
        <xdr:cNvSpPr txBox="1">
          <a:spLocks noChangeArrowheads="1"/>
        </xdr:cNvSpPr>
      </xdr:nvSpPr>
      <xdr:spPr bwMode="auto">
        <a:xfrm>
          <a:off x="200025" y="5238750"/>
          <a:ext cx="3409950" cy="838200"/>
        </a:xfrm>
        <a:prstGeom prst="rect">
          <a:avLst/>
        </a:prstGeom>
        <a:solidFill>
          <a:srgbClr val="99CC0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to View Particle</a:t>
          </a:r>
        </a:p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Size Distribution Curve</a:t>
          </a:r>
        </a:p>
      </xdr:txBody>
    </xdr:sp>
    <xdr:clientData/>
  </xdr:twoCellAnchor>
  <xdr:twoCellAnchor>
    <xdr:from>
      <xdr:col>0</xdr:col>
      <xdr:colOff>80010</xdr:colOff>
      <xdr:row>46</xdr:row>
      <xdr:rowOff>80010</xdr:rowOff>
    </xdr:from>
    <xdr:to>
      <xdr:col>1</xdr:col>
      <xdr:colOff>1054686</xdr:colOff>
      <xdr:row>53</xdr:row>
      <xdr:rowOff>59116</xdr:rowOff>
    </xdr:to>
    <xdr:sp macro="[0]!allZero" textlink="">
      <xdr:nvSpPr>
        <xdr:cNvPr id="2092" name="Text Box 44">
          <a:extLst>
            <a:ext uri="{FF2B5EF4-FFF2-40B4-BE49-F238E27FC236}">
              <a16:creationId xmlns:a16="http://schemas.microsoft.com/office/drawing/2014/main" id="{B2912CCA-0E3B-4345-87CC-04D0164A3FA1}"/>
            </a:ext>
          </a:extLst>
        </xdr:cNvPr>
        <xdr:cNvSpPr txBox="1">
          <a:spLocks noChangeArrowheads="1"/>
        </xdr:cNvSpPr>
      </xdr:nvSpPr>
      <xdr:spPr bwMode="auto">
        <a:xfrm>
          <a:off x="104775" y="8915400"/>
          <a:ext cx="1362075" cy="1095375"/>
        </a:xfrm>
        <a:prstGeom prst="rect">
          <a:avLst/>
        </a:prstGeom>
        <a:solidFill>
          <a:srgbClr val="99CC0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to Clear </a:t>
          </a:r>
        </a:p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Column A</a:t>
          </a:r>
        </a:p>
      </xdr:txBody>
    </xdr:sp>
    <xdr:clientData/>
  </xdr:twoCellAnchor>
  <xdr:twoCellAnchor>
    <xdr:from>
      <xdr:col>1</xdr:col>
      <xdr:colOff>1112520</xdr:colOff>
      <xdr:row>46</xdr:row>
      <xdr:rowOff>80010</xdr:rowOff>
    </xdr:from>
    <xdr:to>
      <xdr:col>1</xdr:col>
      <xdr:colOff>2255354</xdr:colOff>
      <xdr:row>53</xdr:row>
      <xdr:rowOff>59116</xdr:rowOff>
    </xdr:to>
    <xdr:sp macro="[0]!PassingBlank" textlink="">
      <xdr:nvSpPr>
        <xdr:cNvPr id="2093" name="Text Box 45">
          <a:extLst>
            <a:ext uri="{FF2B5EF4-FFF2-40B4-BE49-F238E27FC236}">
              <a16:creationId xmlns:a16="http://schemas.microsoft.com/office/drawing/2014/main" id="{188DB41B-61D4-4613-980B-DEFB2F707215}"/>
            </a:ext>
          </a:extLst>
        </xdr:cNvPr>
        <xdr:cNvSpPr txBox="1">
          <a:spLocks noChangeArrowheads="1"/>
        </xdr:cNvSpPr>
      </xdr:nvSpPr>
      <xdr:spPr bwMode="auto">
        <a:xfrm>
          <a:off x="1543050" y="8915400"/>
          <a:ext cx="1390650" cy="1095375"/>
        </a:xfrm>
        <a:prstGeom prst="rect">
          <a:avLst/>
        </a:prstGeom>
        <a:solidFill>
          <a:srgbClr val="99CC0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to Clear </a:t>
          </a:r>
        </a:p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Column 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129540</xdr:colOff>
      <xdr:row>42</xdr:row>
      <xdr:rowOff>54429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4A5E6621-514B-447F-A7EB-FE2F0A959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568234</xdr:colOff>
      <xdr:row>47</xdr:row>
      <xdr:rowOff>166280</xdr:rowOff>
    </xdr:from>
    <xdr:to>
      <xdr:col>5</xdr:col>
      <xdr:colOff>136842</xdr:colOff>
      <xdr:row>53</xdr:row>
      <xdr:rowOff>6848</xdr:rowOff>
    </xdr:to>
    <xdr:sp macro="[0]!ViewInput" textlink="">
      <xdr:nvSpPr>
        <xdr:cNvPr id="1649" name="Text Box 625">
          <a:extLst>
            <a:ext uri="{FF2B5EF4-FFF2-40B4-BE49-F238E27FC236}">
              <a16:creationId xmlns:a16="http://schemas.microsoft.com/office/drawing/2014/main" id="{0617846B-8B70-4DFD-8269-9ADCE2B35464}"/>
            </a:ext>
          </a:extLst>
        </xdr:cNvPr>
        <xdr:cNvSpPr txBox="1">
          <a:spLocks noChangeArrowheads="1"/>
        </xdr:cNvSpPr>
      </xdr:nvSpPr>
      <xdr:spPr bwMode="auto">
        <a:xfrm>
          <a:off x="568234" y="8684351"/>
          <a:ext cx="3201715" cy="901926"/>
        </a:xfrm>
        <a:prstGeom prst="rect">
          <a:avLst/>
        </a:prstGeom>
        <a:solidFill>
          <a:srgbClr val="99CC0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To Return to </a:t>
          </a:r>
        </a:p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Gradation Input Screen</a:t>
          </a:r>
        </a:p>
      </xdr:txBody>
    </xdr:sp>
    <xdr:clientData fPrintsWithSheet="0"/>
  </xdr:twoCellAnchor>
  <xdr:twoCellAnchor>
    <xdr:from>
      <xdr:col>5</xdr:col>
      <xdr:colOff>396784</xdr:colOff>
      <xdr:row>47</xdr:row>
      <xdr:rowOff>166280</xdr:rowOff>
    </xdr:from>
    <xdr:to>
      <xdr:col>15</xdr:col>
      <xdr:colOff>83293</xdr:colOff>
      <xdr:row>53</xdr:row>
      <xdr:rowOff>6848</xdr:rowOff>
    </xdr:to>
    <xdr:sp macro="[0]!Export" textlink="">
      <xdr:nvSpPr>
        <xdr:cNvPr id="1650" name="Text Box 626">
          <a:extLst>
            <a:ext uri="{FF2B5EF4-FFF2-40B4-BE49-F238E27FC236}">
              <a16:creationId xmlns:a16="http://schemas.microsoft.com/office/drawing/2014/main" id="{D99BC321-4AEB-4B97-B0BC-7BA3663DF224}"/>
            </a:ext>
          </a:extLst>
        </xdr:cNvPr>
        <xdr:cNvSpPr txBox="1">
          <a:spLocks noChangeArrowheads="1"/>
        </xdr:cNvSpPr>
      </xdr:nvSpPr>
      <xdr:spPr bwMode="auto">
        <a:xfrm>
          <a:off x="4029891" y="8684351"/>
          <a:ext cx="5006902" cy="901926"/>
        </a:xfrm>
        <a:prstGeom prst="rect">
          <a:avLst/>
        </a:prstGeom>
        <a:solidFill>
          <a:srgbClr val="99CC0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US" sz="2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to Save and View Material Properties File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141"/>
  <sheetViews>
    <sheetView showGridLines="0" showRowColHeaders="0" showZeros="0" tabSelected="1" showOutlineSymbols="0" zoomScale="75" zoomScaleNormal="75" workbookViewId="0">
      <selection activeCell="K30" sqref="K30:L30"/>
    </sheetView>
  </sheetViews>
  <sheetFormatPr defaultRowHeight="13.2" x14ac:dyDescent="0.25"/>
  <cols>
    <col min="1" max="1" width="2.88671875" style="47" customWidth="1"/>
    <col min="2" max="2" width="92.109375" style="47" customWidth="1"/>
    <col min="3" max="3" width="11.33203125" style="47" customWidth="1"/>
    <col min="4" max="4" width="8.88671875" style="47" customWidth="1"/>
    <col min="5" max="5" width="2.6640625" style="47" customWidth="1"/>
    <col min="6" max="6" width="11.33203125" style="47" customWidth="1"/>
    <col min="7" max="7" width="11.109375" style="47" customWidth="1"/>
    <col min="8" max="8" width="2.6640625" style="47" customWidth="1"/>
    <col min="9" max="9" width="14.33203125" style="47" customWidth="1"/>
    <col min="10" max="10" width="8.88671875" style="47" customWidth="1"/>
    <col min="11" max="11" width="12.109375" style="47" customWidth="1"/>
    <col min="12" max="12" width="11" style="47" customWidth="1"/>
    <col min="13" max="13" width="5.33203125" style="47" customWidth="1"/>
    <col min="14" max="14" width="5.6640625" style="47" customWidth="1"/>
    <col min="15" max="18" width="8.88671875" style="47" customWidth="1"/>
    <col min="19" max="19" width="9.109375" style="47" customWidth="1"/>
    <col min="20" max="16384" width="8.88671875" style="47"/>
  </cols>
  <sheetData>
    <row r="1" spans="2:20" ht="16.5" customHeight="1" thickBot="1" x14ac:dyDescent="0.3">
      <c r="B1" s="46" t="s">
        <v>17</v>
      </c>
    </row>
    <row r="2" spans="2:20" ht="15" customHeight="1" x14ac:dyDescent="0.25">
      <c r="B2" s="48" t="s">
        <v>218</v>
      </c>
      <c r="C2" s="93" t="s">
        <v>47</v>
      </c>
      <c r="D2" s="94"/>
      <c r="F2" s="93" t="s">
        <v>47</v>
      </c>
      <c r="G2" s="94"/>
      <c r="K2" s="99" t="s">
        <v>208</v>
      </c>
      <c r="L2" s="99" t="s">
        <v>38</v>
      </c>
    </row>
    <row r="3" spans="2:20" ht="15" customHeight="1" x14ac:dyDescent="0.25">
      <c r="B3" s="48" t="s">
        <v>215</v>
      </c>
      <c r="C3" s="95"/>
      <c r="D3" s="96"/>
      <c r="F3" s="95"/>
      <c r="G3" s="96"/>
      <c r="J3" s="49"/>
      <c r="K3" s="99"/>
      <c r="L3" s="99"/>
    </row>
    <row r="4" spans="2:20" ht="15" customHeight="1" thickBot="1" x14ac:dyDescent="0.3">
      <c r="B4" s="48" t="s">
        <v>216</v>
      </c>
      <c r="C4" s="97"/>
      <c r="D4" s="98"/>
      <c r="F4" s="97"/>
      <c r="G4" s="98"/>
      <c r="J4" s="50"/>
      <c r="K4" s="99"/>
      <c r="L4" s="99"/>
    </row>
    <row r="5" spans="2:20" ht="15" customHeight="1" x14ac:dyDescent="0.25">
      <c r="B5" s="48" t="s">
        <v>217</v>
      </c>
      <c r="C5" s="51"/>
      <c r="D5" s="52"/>
      <c r="F5" s="51"/>
      <c r="G5" s="52"/>
      <c r="J5" s="50"/>
      <c r="K5" s="53">
        <v>0</v>
      </c>
      <c r="L5" s="54">
        <v>0</v>
      </c>
    </row>
    <row r="6" spans="2:20" ht="15" customHeight="1" thickBot="1" x14ac:dyDescent="0.3">
      <c r="B6" s="48"/>
      <c r="C6" s="55" t="s">
        <v>73</v>
      </c>
      <c r="D6" s="56" t="s">
        <v>74</v>
      </c>
      <c r="F6" s="55" t="s">
        <v>73</v>
      </c>
      <c r="G6" s="56" t="s">
        <v>74</v>
      </c>
      <c r="J6" s="50"/>
      <c r="K6" s="53">
        <v>0</v>
      </c>
      <c r="L6" s="54">
        <v>0</v>
      </c>
      <c r="M6" s="47" t="s">
        <v>3</v>
      </c>
    </row>
    <row r="7" spans="2:20" ht="15" customHeight="1" x14ac:dyDescent="0.25">
      <c r="B7" s="46" t="s">
        <v>219</v>
      </c>
      <c r="C7" s="57" t="s">
        <v>75</v>
      </c>
      <c r="D7" s="58" t="s">
        <v>76</v>
      </c>
      <c r="F7" s="59" t="s">
        <v>117</v>
      </c>
      <c r="G7" s="60" t="s">
        <v>118</v>
      </c>
      <c r="I7" s="50"/>
      <c r="J7" s="50"/>
      <c r="K7" s="53">
        <v>0</v>
      </c>
      <c r="L7" s="54">
        <v>0</v>
      </c>
      <c r="M7" s="61"/>
      <c r="N7" s="61"/>
      <c r="Q7" s="61"/>
      <c r="R7" s="61"/>
    </row>
    <row r="8" spans="2:20" ht="15" customHeight="1" x14ac:dyDescent="0.25">
      <c r="B8" s="62" t="s">
        <v>220</v>
      </c>
      <c r="C8" s="59" t="s">
        <v>77</v>
      </c>
      <c r="D8" s="60" t="s">
        <v>78</v>
      </c>
      <c r="F8" s="59" t="s">
        <v>119</v>
      </c>
      <c r="G8" s="60" t="s">
        <v>120</v>
      </c>
      <c r="J8" s="50"/>
      <c r="K8" s="53">
        <v>0</v>
      </c>
      <c r="L8" s="54">
        <v>0</v>
      </c>
      <c r="S8" s="50"/>
      <c r="T8" s="50"/>
    </row>
    <row r="9" spans="2:20" ht="15" customHeight="1" x14ac:dyDescent="0.25">
      <c r="B9" s="62" t="s">
        <v>221</v>
      </c>
      <c r="C9" s="59" t="s">
        <v>79</v>
      </c>
      <c r="D9" s="60" t="s">
        <v>80</v>
      </c>
      <c r="F9" s="59" t="s">
        <v>121</v>
      </c>
      <c r="G9" s="60" t="s">
        <v>122</v>
      </c>
      <c r="J9" s="50"/>
      <c r="K9" s="53">
        <v>0</v>
      </c>
      <c r="L9" s="54">
        <v>0</v>
      </c>
      <c r="S9" s="50"/>
      <c r="T9" s="50"/>
    </row>
    <row r="10" spans="2:20" ht="15" customHeight="1" x14ac:dyDescent="0.25">
      <c r="B10" s="62" t="s">
        <v>206</v>
      </c>
      <c r="C10" s="59" t="s">
        <v>81</v>
      </c>
      <c r="D10" s="60" t="s">
        <v>82</v>
      </c>
      <c r="F10" s="59" t="s">
        <v>123</v>
      </c>
      <c r="G10" s="60" t="s">
        <v>124</v>
      </c>
      <c r="J10" s="50"/>
      <c r="K10" s="53">
        <v>0</v>
      </c>
      <c r="L10" s="54">
        <v>0</v>
      </c>
      <c r="S10" s="50"/>
      <c r="T10" s="50"/>
    </row>
    <row r="11" spans="2:20" ht="15" customHeight="1" x14ac:dyDescent="0.25">
      <c r="B11" s="62" t="s">
        <v>207</v>
      </c>
      <c r="C11" s="59" t="s">
        <v>83</v>
      </c>
      <c r="D11" s="60" t="s">
        <v>84</v>
      </c>
      <c r="F11" s="59" t="s">
        <v>125</v>
      </c>
      <c r="G11" s="60" t="s">
        <v>126</v>
      </c>
      <c r="J11" s="50"/>
      <c r="K11" s="53">
        <v>0</v>
      </c>
      <c r="L11" s="54">
        <v>0</v>
      </c>
      <c r="S11" s="50"/>
      <c r="T11" s="50"/>
    </row>
    <row r="12" spans="2:20" ht="15" customHeight="1" x14ac:dyDescent="0.25">
      <c r="B12" s="62" t="s">
        <v>49</v>
      </c>
      <c r="C12" s="59" t="s">
        <v>85</v>
      </c>
      <c r="D12" s="60" t="s">
        <v>86</v>
      </c>
      <c r="F12" s="59" t="s">
        <v>127</v>
      </c>
      <c r="G12" s="60" t="s">
        <v>128</v>
      </c>
      <c r="J12" s="50"/>
      <c r="K12" s="53">
        <v>0</v>
      </c>
      <c r="L12" s="54">
        <v>0</v>
      </c>
      <c r="S12" s="50"/>
      <c r="T12" s="50"/>
    </row>
    <row r="13" spans="2:20" ht="15" customHeight="1" x14ac:dyDescent="0.25">
      <c r="B13" s="62" t="s">
        <v>50</v>
      </c>
      <c r="C13" s="59" t="s">
        <v>87</v>
      </c>
      <c r="D13" s="60" t="s">
        <v>88</v>
      </c>
      <c r="F13" s="59" t="s">
        <v>129</v>
      </c>
      <c r="G13" s="60" t="s">
        <v>130</v>
      </c>
      <c r="J13" s="50"/>
      <c r="K13" s="53">
        <v>0</v>
      </c>
      <c r="L13" s="54">
        <v>0</v>
      </c>
      <c r="S13" s="50"/>
      <c r="T13" s="50"/>
    </row>
    <row r="14" spans="2:20" ht="15" customHeight="1" x14ac:dyDescent="0.25">
      <c r="B14" s="48" t="s">
        <v>51</v>
      </c>
      <c r="C14" s="59" t="s">
        <v>89</v>
      </c>
      <c r="D14" s="60" t="s">
        <v>90</v>
      </c>
      <c r="F14" s="59" t="s">
        <v>131</v>
      </c>
      <c r="G14" s="60" t="s">
        <v>132</v>
      </c>
      <c r="J14" s="50"/>
      <c r="K14" s="53">
        <v>0</v>
      </c>
      <c r="L14" s="54">
        <v>0</v>
      </c>
      <c r="S14" s="50"/>
      <c r="T14" s="50"/>
    </row>
    <row r="15" spans="2:20" ht="15" customHeight="1" x14ac:dyDescent="0.25">
      <c r="B15" s="48" t="s">
        <v>52</v>
      </c>
      <c r="C15" s="59" t="s">
        <v>91</v>
      </c>
      <c r="D15" s="60" t="s">
        <v>92</v>
      </c>
      <c r="F15" s="59" t="s">
        <v>133</v>
      </c>
      <c r="G15" s="60" t="s">
        <v>134</v>
      </c>
      <c r="J15" s="50"/>
      <c r="K15" s="53">
        <v>0</v>
      </c>
      <c r="L15" s="54">
        <v>0</v>
      </c>
      <c r="S15" s="50"/>
      <c r="T15" s="50"/>
    </row>
    <row r="16" spans="2:20" ht="15" customHeight="1" x14ac:dyDescent="0.25">
      <c r="B16" s="48" t="s">
        <v>54</v>
      </c>
      <c r="C16" s="59" t="s">
        <v>93</v>
      </c>
      <c r="D16" s="60" t="s">
        <v>94</v>
      </c>
      <c r="F16" s="59" t="s">
        <v>135</v>
      </c>
      <c r="G16" s="60" t="s">
        <v>136</v>
      </c>
      <c r="J16" s="50"/>
      <c r="K16" s="53">
        <v>0</v>
      </c>
      <c r="L16" s="54">
        <v>0</v>
      </c>
      <c r="M16" s="61"/>
      <c r="N16" s="61"/>
      <c r="Q16" s="61"/>
      <c r="R16" s="61"/>
      <c r="S16" s="50"/>
      <c r="T16" s="50"/>
    </row>
    <row r="17" spans="2:18" ht="15" customHeight="1" x14ac:dyDescent="0.25">
      <c r="B17" s="48"/>
      <c r="C17" s="59" t="s">
        <v>95</v>
      </c>
      <c r="D17" s="60" t="s">
        <v>96</v>
      </c>
      <c r="F17" s="59" t="s">
        <v>137</v>
      </c>
      <c r="G17" s="60" t="s">
        <v>138</v>
      </c>
      <c r="J17" s="50"/>
      <c r="K17" s="53">
        <v>0</v>
      </c>
      <c r="L17" s="54">
        <v>0</v>
      </c>
      <c r="M17" s="63"/>
      <c r="N17" s="63"/>
      <c r="Q17" s="63"/>
      <c r="R17" s="63"/>
    </row>
    <row r="18" spans="2:18" ht="15" customHeight="1" x14ac:dyDescent="0.25">
      <c r="B18" s="46" t="s">
        <v>16</v>
      </c>
      <c r="C18" s="59" t="s">
        <v>97</v>
      </c>
      <c r="D18" s="60" t="s">
        <v>98</v>
      </c>
      <c r="F18" s="59" t="s">
        <v>139</v>
      </c>
      <c r="G18" s="60" t="s">
        <v>140</v>
      </c>
      <c r="J18" s="50"/>
      <c r="K18" s="53">
        <v>0</v>
      </c>
      <c r="L18" s="54">
        <v>0</v>
      </c>
      <c r="M18" s="63"/>
      <c r="N18" s="63"/>
      <c r="Q18" s="63"/>
      <c r="R18" s="63"/>
    </row>
    <row r="19" spans="2:18" ht="15" customHeight="1" x14ac:dyDescent="0.25">
      <c r="B19" s="62" t="s">
        <v>201</v>
      </c>
      <c r="C19" s="59" t="s">
        <v>99</v>
      </c>
      <c r="D19" s="60" t="s">
        <v>100</v>
      </c>
      <c r="F19" s="59" t="s">
        <v>141</v>
      </c>
      <c r="G19" s="60" t="s">
        <v>142</v>
      </c>
      <c r="J19" s="50"/>
      <c r="K19" s="53">
        <v>0</v>
      </c>
      <c r="L19" s="54">
        <v>0</v>
      </c>
      <c r="M19" s="63"/>
      <c r="N19" s="63"/>
      <c r="Q19" s="63"/>
      <c r="R19" s="63"/>
    </row>
    <row r="20" spans="2:18" ht="15" customHeight="1" x14ac:dyDescent="0.25">
      <c r="B20" s="48" t="s">
        <v>202</v>
      </c>
      <c r="C20" s="59" t="s">
        <v>101</v>
      </c>
      <c r="D20" s="60" t="s">
        <v>102</v>
      </c>
      <c r="F20" s="59" t="s">
        <v>143</v>
      </c>
      <c r="G20" s="60" t="s">
        <v>144</v>
      </c>
      <c r="J20" s="50"/>
      <c r="K20" s="53">
        <v>0</v>
      </c>
      <c r="L20" s="54">
        <v>0</v>
      </c>
      <c r="M20" s="63"/>
      <c r="N20" s="63"/>
      <c r="Q20" s="63"/>
      <c r="R20" s="63"/>
    </row>
    <row r="21" spans="2:18" ht="15" customHeight="1" x14ac:dyDescent="0.25">
      <c r="B21" s="48" t="s">
        <v>203</v>
      </c>
      <c r="C21" s="59" t="s">
        <v>103</v>
      </c>
      <c r="D21" s="60" t="s">
        <v>104</v>
      </c>
      <c r="F21" s="59" t="s">
        <v>145</v>
      </c>
      <c r="G21" s="60" t="s">
        <v>146</v>
      </c>
      <c r="J21" s="50"/>
      <c r="K21" s="53">
        <v>0</v>
      </c>
      <c r="L21" s="54">
        <v>0</v>
      </c>
    </row>
    <row r="22" spans="2:18" ht="15" customHeight="1" x14ac:dyDescent="0.25">
      <c r="B22" s="48" t="s">
        <v>204</v>
      </c>
      <c r="C22" s="59" t="s">
        <v>105</v>
      </c>
      <c r="D22" s="60" t="s">
        <v>106</v>
      </c>
      <c r="F22" s="59" t="s">
        <v>147</v>
      </c>
      <c r="G22" s="60" t="s">
        <v>148</v>
      </c>
      <c r="J22" s="50"/>
      <c r="K22" s="53">
        <v>0</v>
      </c>
      <c r="L22" s="54">
        <v>0</v>
      </c>
    </row>
    <row r="23" spans="2:18" ht="15" customHeight="1" x14ac:dyDescent="0.25">
      <c r="B23" s="48" t="s">
        <v>205</v>
      </c>
      <c r="C23" s="59" t="s">
        <v>107</v>
      </c>
      <c r="D23" s="60" t="s">
        <v>108</v>
      </c>
      <c r="F23" s="59" t="s">
        <v>149</v>
      </c>
      <c r="G23" s="60" t="s">
        <v>150</v>
      </c>
      <c r="J23" s="50"/>
      <c r="K23" s="53">
        <v>0</v>
      </c>
      <c r="L23" s="54">
        <v>0</v>
      </c>
      <c r="M23" s="63"/>
      <c r="N23" s="63"/>
      <c r="Q23" s="63"/>
      <c r="R23" s="63"/>
    </row>
    <row r="24" spans="2:18" ht="15" customHeight="1" x14ac:dyDescent="0.25">
      <c r="B24" s="62" t="s">
        <v>44</v>
      </c>
      <c r="C24" s="59" t="s">
        <v>109</v>
      </c>
      <c r="D24" s="60" t="s">
        <v>110</v>
      </c>
      <c r="F24" s="59" t="s">
        <v>151</v>
      </c>
      <c r="G24" s="60" t="s">
        <v>152</v>
      </c>
      <c r="K24" s="53">
        <v>0</v>
      </c>
      <c r="L24" s="54">
        <v>0</v>
      </c>
      <c r="M24" s="63"/>
      <c r="N24" s="63"/>
      <c r="Q24" s="63"/>
      <c r="R24" s="63"/>
    </row>
    <row r="25" spans="2:18" ht="15" customHeight="1" x14ac:dyDescent="0.25">
      <c r="B25" s="48" t="s">
        <v>65</v>
      </c>
      <c r="C25" s="59" t="s">
        <v>111</v>
      </c>
      <c r="D25" s="60" t="s">
        <v>112</v>
      </c>
      <c r="F25" s="59" t="s">
        <v>153</v>
      </c>
      <c r="G25" s="60" t="s">
        <v>154</v>
      </c>
    </row>
    <row r="26" spans="2:18" ht="15" customHeight="1" x14ac:dyDescent="0.25">
      <c r="B26" s="48" t="s">
        <v>45</v>
      </c>
      <c r="C26" s="59" t="s">
        <v>113</v>
      </c>
      <c r="D26" s="60" t="s">
        <v>114</v>
      </c>
      <c r="F26" s="59" t="s">
        <v>155</v>
      </c>
      <c r="G26" s="60" t="s">
        <v>156</v>
      </c>
      <c r="H26" s="87" t="s">
        <v>20</v>
      </c>
      <c r="I26" s="87"/>
      <c r="J26" s="88"/>
      <c r="K26" s="100"/>
      <c r="L26" s="92"/>
    </row>
    <row r="27" spans="2:18" ht="15" customHeight="1" thickBot="1" x14ac:dyDescent="0.3">
      <c r="B27" s="48" t="s">
        <v>46</v>
      </c>
      <c r="C27" s="64" t="s">
        <v>115</v>
      </c>
      <c r="D27" s="65" t="s">
        <v>116</v>
      </c>
      <c r="F27" s="59" t="s">
        <v>157</v>
      </c>
      <c r="G27" s="60" t="s">
        <v>158</v>
      </c>
      <c r="H27" s="87" t="s">
        <v>18</v>
      </c>
      <c r="I27" s="87"/>
      <c r="J27" s="88"/>
      <c r="K27" s="100"/>
      <c r="L27" s="92"/>
    </row>
    <row r="28" spans="2:18" ht="15" customHeight="1" x14ac:dyDescent="0.25">
      <c r="B28" s="66" t="s">
        <v>34</v>
      </c>
      <c r="F28" s="59" t="s">
        <v>159</v>
      </c>
      <c r="G28" s="60" t="s">
        <v>160</v>
      </c>
      <c r="H28" s="68"/>
      <c r="I28" s="68"/>
      <c r="J28" s="72" t="s">
        <v>227</v>
      </c>
      <c r="K28" s="100"/>
      <c r="L28" s="92"/>
    </row>
    <row r="29" spans="2:18" ht="15" customHeight="1" x14ac:dyDescent="0.25">
      <c r="F29" s="59" t="s">
        <v>161</v>
      </c>
      <c r="G29" s="60" t="s">
        <v>162</v>
      </c>
      <c r="H29" s="87" t="s">
        <v>19</v>
      </c>
      <c r="I29" s="87"/>
      <c r="J29" s="88"/>
      <c r="K29" s="91"/>
      <c r="L29" s="92"/>
    </row>
    <row r="30" spans="2:18" ht="15" customHeight="1" x14ac:dyDescent="0.25">
      <c r="F30" s="59" t="s">
        <v>163</v>
      </c>
      <c r="G30" s="60" t="s">
        <v>164</v>
      </c>
      <c r="H30" s="87" t="s">
        <v>21</v>
      </c>
      <c r="I30" s="87"/>
      <c r="J30" s="88"/>
      <c r="K30" s="89"/>
      <c r="L30" s="90"/>
    </row>
    <row r="31" spans="2:18" ht="15" customHeight="1" x14ac:dyDescent="0.25">
      <c r="F31" s="59" t="s">
        <v>165</v>
      </c>
      <c r="G31" s="60" t="s">
        <v>166</v>
      </c>
      <c r="H31" s="68"/>
      <c r="I31" s="68"/>
      <c r="J31" s="72" t="s">
        <v>231</v>
      </c>
      <c r="K31" s="89"/>
      <c r="L31" s="90"/>
      <c r="M31" s="67"/>
    </row>
    <row r="32" spans="2:18" ht="15" customHeight="1" x14ac:dyDescent="0.25">
      <c r="F32" s="59" t="s">
        <v>167</v>
      </c>
      <c r="G32" s="60" t="s">
        <v>168</v>
      </c>
      <c r="H32" s="68"/>
      <c r="I32" s="68"/>
      <c r="J32" s="72" t="s">
        <v>232</v>
      </c>
      <c r="K32" s="89"/>
      <c r="L32" s="90"/>
    </row>
    <row r="33" spans="1:12" ht="15" customHeight="1" x14ac:dyDescent="0.25">
      <c r="A33" s="69"/>
      <c r="B33" s="46" t="s">
        <v>66</v>
      </c>
      <c r="F33" s="59" t="s">
        <v>169</v>
      </c>
      <c r="G33" s="60" t="s">
        <v>170</v>
      </c>
      <c r="H33" s="87" t="s">
        <v>24</v>
      </c>
      <c r="I33" s="87"/>
      <c r="J33" s="88"/>
      <c r="K33" s="101"/>
      <c r="L33" s="101"/>
    </row>
    <row r="34" spans="1:12" ht="15" customHeight="1" x14ac:dyDescent="0.25">
      <c r="A34" s="69"/>
      <c r="B34" s="48" t="s">
        <v>222</v>
      </c>
      <c r="F34" s="59" t="s">
        <v>171</v>
      </c>
      <c r="G34" s="60" t="s">
        <v>172</v>
      </c>
      <c r="H34" s="87" t="s">
        <v>25</v>
      </c>
      <c r="I34" s="87"/>
      <c r="J34" s="88"/>
      <c r="K34" s="100"/>
      <c r="L34" s="92"/>
    </row>
    <row r="35" spans="1:12" ht="15" customHeight="1" x14ac:dyDescent="0.25">
      <c r="B35" s="48" t="s">
        <v>223</v>
      </c>
      <c r="F35" s="59" t="s">
        <v>173</v>
      </c>
      <c r="G35" s="60" t="s">
        <v>174</v>
      </c>
      <c r="I35" s="87" t="s">
        <v>53</v>
      </c>
      <c r="J35" s="88"/>
      <c r="K35" s="100"/>
      <c r="L35" s="92"/>
    </row>
    <row r="36" spans="1:12" ht="15" x14ac:dyDescent="0.25">
      <c r="B36" s="48" t="s">
        <v>183</v>
      </c>
      <c r="F36" s="59" t="s">
        <v>175</v>
      </c>
      <c r="G36" s="60" t="s">
        <v>176</v>
      </c>
      <c r="I36" s="68"/>
      <c r="J36" s="68"/>
      <c r="K36" s="86"/>
      <c r="L36" s="86"/>
    </row>
    <row r="37" spans="1:12" ht="15" customHeight="1" x14ac:dyDescent="0.25">
      <c r="B37" s="48" t="s">
        <v>68</v>
      </c>
      <c r="F37" s="59" t="s">
        <v>177</v>
      </c>
      <c r="G37" s="60" t="s">
        <v>178</v>
      </c>
    </row>
    <row r="38" spans="1:12" ht="15" x14ac:dyDescent="0.25">
      <c r="B38" s="48" t="s">
        <v>69</v>
      </c>
      <c r="F38" s="59" t="s">
        <v>179</v>
      </c>
      <c r="G38" s="60" t="s">
        <v>180</v>
      </c>
    </row>
    <row r="39" spans="1:12" ht="15.6" thickBot="1" x14ac:dyDescent="0.3">
      <c r="B39" s="48" t="s">
        <v>70</v>
      </c>
      <c r="F39" s="64" t="s">
        <v>181</v>
      </c>
      <c r="G39" s="65" t="s">
        <v>182</v>
      </c>
    </row>
    <row r="40" spans="1:12" ht="15" x14ac:dyDescent="0.25">
      <c r="B40" s="48" t="s">
        <v>71</v>
      </c>
      <c r="E40" s="63"/>
      <c r="F40" s="63"/>
      <c r="G40" s="63"/>
    </row>
    <row r="41" spans="1:12" ht="15" customHeight="1" x14ac:dyDescent="0.25">
      <c r="B41" s="48" t="s">
        <v>67</v>
      </c>
      <c r="E41" s="63"/>
      <c r="F41" s="63"/>
      <c r="G41" s="63"/>
    </row>
    <row r="42" spans="1:12" ht="15" customHeight="1" x14ac:dyDescent="0.25">
      <c r="B42" s="48" t="s">
        <v>224</v>
      </c>
      <c r="E42" s="63"/>
      <c r="F42" s="63"/>
      <c r="G42" s="63"/>
      <c r="J42" s="66"/>
      <c r="K42" s="66"/>
      <c r="L42" s="66"/>
    </row>
    <row r="43" spans="1:12" ht="15" x14ac:dyDescent="0.25">
      <c r="B43" s="48" t="s">
        <v>225</v>
      </c>
    </row>
    <row r="44" spans="1:12" ht="15" x14ac:dyDescent="0.25">
      <c r="B44" s="48" t="s">
        <v>226</v>
      </c>
    </row>
    <row r="45" spans="1:12" ht="15" x14ac:dyDescent="0.25">
      <c r="B45" s="48" t="s">
        <v>212</v>
      </c>
    </row>
    <row r="46" spans="1:12" ht="15" x14ac:dyDescent="0.25">
      <c r="B46" s="48" t="s">
        <v>213</v>
      </c>
    </row>
    <row r="60" spans="1:1" x14ac:dyDescent="0.25">
      <c r="A60" s="47" t="s">
        <v>3</v>
      </c>
    </row>
    <row r="141" spans="10:10" x14ac:dyDescent="0.25">
      <c r="J141" s="70"/>
    </row>
  </sheetData>
  <sheetProtection sheet="1" objects="1" scenarios="1" selectLockedCells="1"/>
  <protectedRanges>
    <protectedRange sqref="J141" name="Range3"/>
    <protectedRange sqref="S8:T16" name="Range2_1"/>
    <protectedRange sqref="K5:K24" name="Range2"/>
  </protectedRanges>
  <mergeCells count="22">
    <mergeCell ref="C2:D4"/>
    <mergeCell ref="F2:G4"/>
    <mergeCell ref="L2:L4"/>
    <mergeCell ref="K2:K4"/>
    <mergeCell ref="K31:L31"/>
    <mergeCell ref="K26:L26"/>
    <mergeCell ref="K27:L27"/>
    <mergeCell ref="H29:J29"/>
    <mergeCell ref="K28:L28"/>
    <mergeCell ref="K36:L36"/>
    <mergeCell ref="H30:J30"/>
    <mergeCell ref="H27:J27"/>
    <mergeCell ref="H26:J26"/>
    <mergeCell ref="K30:L30"/>
    <mergeCell ref="K29:L29"/>
    <mergeCell ref="I35:J35"/>
    <mergeCell ref="K35:L35"/>
    <mergeCell ref="K32:L32"/>
    <mergeCell ref="H33:J33"/>
    <mergeCell ref="H34:J34"/>
    <mergeCell ref="K33:L33"/>
    <mergeCell ref="K34:L34"/>
  </mergeCells>
  <phoneticPr fontId="4" type="noConversion"/>
  <dataValidations xWindow="732" yWindow="194" count="11">
    <dataValidation type="list" allowBlank="1" showInputMessage="1" showErrorMessage="1" promptTitle="Sieve Designation" prompt="Select Sieves in Descending Order" sqref="J4:J23" xr:uid="{00000000-0002-0000-0000-000000000000}">
      <formula1>$C$7:$C$28</formula1>
    </dataValidation>
    <dataValidation type="whole" allowBlank="1" showErrorMessage="1" error="Please Enter a Whole Number Between 1 and 99999999" sqref="K27" xr:uid="{00000000-0002-0000-0000-000001000000}">
      <formula1>1</formula1>
      <formula2>99999999</formula2>
    </dataValidation>
    <dataValidation type="decimal" allowBlank="1" showInputMessage="1" showErrorMessage="1" error="Please Enter an Optimum Moisture Content Between 0 and 100" sqref="L30 K30" xr:uid="{00000000-0002-0000-0000-000002000000}">
      <formula1>0</formula1>
      <formula2>100</formula2>
    </dataValidation>
    <dataValidation type="decimal" allowBlank="1" showInputMessage="1" showErrorMessage="1" error="Please Enter a Plastic Limit between 0 and 100" sqref="K33:L33" xr:uid="{00000000-0002-0000-0000-000003000000}">
      <formula1>0</formula1>
      <formula2>100</formula2>
    </dataValidation>
    <dataValidation type="decimal" allowBlank="1" showInputMessage="1" showErrorMessage="1" error="Please Enter a Plastic Limit Between 0 and 100" sqref="K34:L34" xr:uid="{00000000-0002-0000-0000-000004000000}">
      <formula1>0</formula1>
      <formula2>100</formula2>
    </dataValidation>
    <dataValidation type="decimal" allowBlank="1" showInputMessage="1" showErrorMessage="1" error="Please Enter a Maximum Dry Density Between 50 and 5000" sqref="K29:L29" xr:uid="{00000000-0002-0000-0000-000005000000}">
      <formula1>50</formula1>
      <formula2>5000</formula2>
    </dataValidation>
    <dataValidation type="textLength" allowBlank="1" showInputMessage="1" showErrorMessage="1" error="The File Name Cannot Exceed 8 Characters" sqref="K35:L35" xr:uid="{00000000-0002-0000-0000-000006000000}">
      <formula1>1</formula1>
      <formula2>8</formula2>
    </dataValidation>
    <dataValidation type="list" allowBlank="1" showInputMessage="1" showErrorMessage="1" sqref="M31" xr:uid="{00000000-0002-0000-0000-000007000000}">
      <formula1>"pcf, kg/m"</formula1>
    </dataValidation>
    <dataValidation type="textLength" allowBlank="1" showInputMessage="1" showErrorMessage="1" error="Soil Description Must be 1 to 14 Characters" sqref="K26:L26 K28" xr:uid="{00000000-0002-0000-0000-000008000000}">
      <formula1>1</formula1>
      <formula2>14</formula2>
    </dataValidation>
    <dataValidation type="decimal" allowBlank="1" showInputMessage="1" showErrorMessage="1" error="Please Enter an Optimum Moisture Content Between 0 and 100" sqref="K31:L31" xr:uid="{14B51145-5B2B-4963-8D64-C9308D656883}">
      <formula1>-5000</formula1>
      <formula2>5000</formula2>
    </dataValidation>
    <dataValidation type="decimal" allowBlank="1" showInputMessage="1" showErrorMessage="1" error="Please Enter an Optimum Moisture Content Between 0 and 100" sqref="K32:L32" xr:uid="{FB4B7E3B-9C54-4495-80E6-6C1EEA415FD8}">
      <formula1>-100</formula1>
      <formula2>100</formula2>
    </dataValidation>
  </dataValidations>
  <hyperlinks>
    <hyperlink ref="B28" location="'Size Distribution Curve'!A1" display="View Size Distribution Curve" xr:uid="{00000000-0004-0000-0000-000000000000}"/>
  </hyperlinks>
  <pageMargins left="0.75" right="0.75" top="1" bottom="1" header="0.5" footer="0.5"/>
  <pageSetup scale="54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A128"/>
  <sheetViews>
    <sheetView showGridLines="0" showRowColHeaders="0" showOutlineSymbols="0" zoomScale="70" zoomScaleNormal="70" workbookViewId="0">
      <selection activeCell="R1" sqref="R1"/>
    </sheetView>
  </sheetViews>
  <sheetFormatPr defaultRowHeight="13.2" x14ac:dyDescent="0.25"/>
  <cols>
    <col min="1" max="1" width="11.5546875" bestFit="1" customWidth="1"/>
    <col min="2" max="2" width="14.5546875" customWidth="1"/>
    <col min="6" max="6" width="9.33203125" customWidth="1"/>
    <col min="12" max="12" width="9.6640625" customWidth="1"/>
    <col min="14" max="14" width="4.5546875" customWidth="1"/>
    <col min="15" max="15" width="0.44140625" customWidth="1"/>
    <col min="16" max="16" width="6.88671875" customWidth="1"/>
    <col min="17" max="17" width="12.33203125" customWidth="1"/>
    <col min="18" max="18" width="12" customWidth="1"/>
    <col min="19" max="19" width="2.6640625" customWidth="1"/>
    <col min="20" max="21" width="9.21875" customWidth="1"/>
    <col min="22" max="22" width="4.21875" customWidth="1"/>
    <col min="23" max="23" width="23.88671875" customWidth="1"/>
    <col min="24" max="24" width="8.109375" customWidth="1"/>
    <col min="53" max="53" width="11.109375" customWidth="1"/>
  </cols>
  <sheetData>
    <row r="1" spans="1:53" ht="13.8" thickBot="1" x14ac:dyDescent="0.3">
      <c r="A1" s="17" t="s">
        <v>236</v>
      </c>
      <c r="B1" s="20">
        <f>ID</f>
        <v>0</v>
      </c>
      <c r="F1" s="119" t="s">
        <v>237</v>
      </c>
      <c r="G1" s="119"/>
      <c r="H1" s="119"/>
      <c r="I1" s="20">
        <f>MDD</f>
        <v>0</v>
      </c>
      <c r="J1">
        <f>Units</f>
        <v>0</v>
      </c>
      <c r="L1" s="17" t="s">
        <v>238</v>
      </c>
      <c r="M1" s="20">
        <f>LL</f>
        <v>0</v>
      </c>
      <c r="R1" s="22" t="s">
        <v>3</v>
      </c>
    </row>
    <row r="2" spans="1:53" ht="61.8" customHeight="1" thickBot="1" x14ac:dyDescent="0.3">
      <c r="A2" s="17" t="s">
        <v>239</v>
      </c>
      <c r="B2" s="20">
        <f>Desc</f>
        <v>0</v>
      </c>
      <c r="F2" s="119" t="s">
        <v>240</v>
      </c>
      <c r="G2" s="119"/>
      <c r="H2" s="119"/>
      <c r="I2" s="20">
        <f>OMC</f>
        <v>0</v>
      </c>
      <c r="L2" s="17" t="s">
        <v>241</v>
      </c>
      <c r="M2" s="20">
        <f>PL</f>
        <v>0</v>
      </c>
      <c r="Q2" s="45" t="s">
        <v>242</v>
      </c>
      <c r="R2" s="36"/>
      <c r="T2" s="108" t="s">
        <v>211</v>
      </c>
      <c r="U2" s="109"/>
    </row>
    <row r="3" spans="1:53" ht="13.8" customHeight="1" thickBot="1" x14ac:dyDescent="0.3">
      <c r="F3" s="1"/>
      <c r="Q3" s="44" t="s">
        <v>72</v>
      </c>
      <c r="R3" s="36" t="s">
        <v>4</v>
      </c>
      <c r="T3" s="15" t="s">
        <v>186</v>
      </c>
      <c r="U3" s="85">
        <f>Data!C8</f>
        <v>0</v>
      </c>
      <c r="BA3" s="1"/>
    </row>
    <row r="4" spans="1:53" ht="13.2" customHeight="1" x14ac:dyDescent="0.25">
      <c r="Q4" s="15" t="str">
        <f>IF(Input!K5=0,"",Input!K5)</f>
        <v/>
      </c>
      <c r="R4" s="16">
        <f>Input!L5</f>
        <v>0</v>
      </c>
      <c r="T4" s="37" t="s">
        <v>187</v>
      </c>
      <c r="U4" s="82">
        <f>Data!C9</f>
        <v>0</v>
      </c>
    </row>
    <row r="5" spans="1:53" x14ac:dyDescent="0.25">
      <c r="Q5" s="15" t="str">
        <f>IF(Input!K6=0,"",Input!K6)</f>
        <v/>
      </c>
      <c r="R5" s="13">
        <f>Input!L6</f>
        <v>0</v>
      </c>
      <c r="T5" s="37" t="s">
        <v>188</v>
      </c>
      <c r="U5" s="82">
        <f>Data!C10</f>
        <v>0</v>
      </c>
    </row>
    <row r="6" spans="1:53" x14ac:dyDescent="0.25">
      <c r="Q6" s="15" t="str">
        <f>IF(Input!K7=0,"",Input!K7)</f>
        <v/>
      </c>
      <c r="R6" s="13">
        <f>Input!L7</f>
        <v>0</v>
      </c>
      <c r="T6" s="37" t="s">
        <v>189</v>
      </c>
      <c r="U6" s="83">
        <f>IFERROR(Data!C10/Data!C8,0)</f>
        <v>0</v>
      </c>
    </row>
    <row r="7" spans="1:53" ht="13.8" thickBot="1" x14ac:dyDescent="0.3">
      <c r="O7" s="23"/>
      <c r="Q7" s="15" t="str">
        <f>IF(Input!K8=0,"",Input!K8)</f>
        <v/>
      </c>
      <c r="R7" s="13">
        <f>Input!L8</f>
        <v>0</v>
      </c>
      <c r="T7" s="84" t="s">
        <v>190</v>
      </c>
      <c r="U7" s="38">
        <f>IFERROR((Data!C9^2)/(Data!C10*Data!C8),0)</f>
        <v>0</v>
      </c>
    </row>
    <row r="8" spans="1:53" x14ac:dyDescent="0.25">
      <c r="Q8" s="15" t="str">
        <f>IF(Input!K9=0,"",Input!K9)</f>
        <v/>
      </c>
      <c r="R8" s="13">
        <f>Input!L9</f>
        <v>0</v>
      </c>
    </row>
    <row r="9" spans="1:53" x14ac:dyDescent="0.25">
      <c r="Q9" s="15" t="str">
        <f>IF(Input!K10=0,"",Input!K10)</f>
        <v/>
      </c>
      <c r="R9" s="13">
        <f>Input!L10</f>
        <v>0</v>
      </c>
    </row>
    <row r="10" spans="1:53" x14ac:dyDescent="0.25">
      <c r="Q10" s="15" t="str">
        <f>IF(Input!K11=0,"",Input!K11)</f>
        <v/>
      </c>
      <c r="R10" s="13">
        <f>Input!L11</f>
        <v>0</v>
      </c>
    </row>
    <row r="11" spans="1:53" x14ac:dyDescent="0.25">
      <c r="Q11" s="15" t="str">
        <f>IF(Input!K12=0,"",Input!K12)</f>
        <v/>
      </c>
      <c r="R11" s="13">
        <f>Input!L12</f>
        <v>0</v>
      </c>
    </row>
    <row r="12" spans="1:53" x14ac:dyDescent="0.25">
      <c r="Q12" s="15" t="str">
        <f>IF(Input!K13=0,"",Input!K13)</f>
        <v/>
      </c>
      <c r="R12" s="13">
        <f>Input!L13</f>
        <v>0</v>
      </c>
    </row>
    <row r="13" spans="1:53" x14ac:dyDescent="0.25">
      <c r="B13" s="21" t="s">
        <v>36</v>
      </c>
      <c r="Q13" s="15" t="str">
        <f>IF(Input!K14=0,"",Input!K14)</f>
        <v/>
      </c>
      <c r="R13" s="13" t="str">
        <f>IF(Input!L14=0,"",Input!L14)</f>
        <v/>
      </c>
    </row>
    <row r="14" spans="1:53" x14ac:dyDescent="0.25">
      <c r="Q14" s="15" t="str">
        <f>IF(Input!K15=0,"",Input!K15)</f>
        <v/>
      </c>
      <c r="R14" s="13" t="str">
        <f>IF(Input!L15=0,"",Input!L15)</f>
        <v/>
      </c>
    </row>
    <row r="15" spans="1:53" x14ac:dyDescent="0.25">
      <c r="B15" s="21" t="s">
        <v>37</v>
      </c>
      <c r="Q15" s="15" t="str">
        <f>IF(Input!K16=0,"",Input!K16)</f>
        <v/>
      </c>
      <c r="R15" s="13" t="str">
        <f>IF(Input!L16=0,"",Input!L16)</f>
        <v/>
      </c>
    </row>
    <row r="16" spans="1:53" x14ac:dyDescent="0.25">
      <c r="Q16" s="15" t="str">
        <f>IF(Input!K17=0,"",Input!K17)</f>
        <v/>
      </c>
      <c r="R16" s="13" t="str">
        <f>IF(Input!L17=0,"",Input!L17)</f>
        <v/>
      </c>
    </row>
    <row r="17" spans="17:21" x14ac:dyDescent="0.25">
      <c r="Q17" s="15" t="str">
        <f>IF(Input!K18=0,"",Input!K18)</f>
        <v/>
      </c>
      <c r="R17" s="13" t="str">
        <f>IF(Input!L18=0,"",Input!L18)</f>
        <v/>
      </c>
    </row>
    <row r="18" spans="17:21" x14ac:dyDescent="0.25">
      <c r="Q18" s="15" t="str">
        <f>IF(Input!K19=0,"",Input!K19)</f>
        <v/>
      </c>
      <c r="R18" s="13" t="str">
        <f>IF(Input!L19=0,"",Input!L19)</f>
        <v/>
      </c>
    </row>
    <row r="19" spans="17:21" x14ac:dyDescent="0.25">
      <c r="Q19" s="15" t="str">
        <f>IF(Input!K20=0,"",Input!K20)</f>
        <v/>
      </c>
      <c r="R19" s="13" t="str">
        <f>IF(Input!L20=0,"",Input!L20)</f>
        <v/>
      </c>
    </row>
    <row r="20" spans="17:21" x14ac:dyDescent="0.25">
      <c r="Q20" s="15" t="str">
        <f>IF(Input!K21=0,"",Input!K21)</f>
        <v/>
      </c>
      <c r="R20" s="13" t="str">
        <f>IF(Input!L21=0,"",Input!L21)</f>
        <v/>
      </c>
    </row>
    <row r="21" spans="17:21" x14ac:dyDescent="0.25">
      <c r="Q21" s="15" t="str">
        <f>IF(Input!K22=0,"",Input!K22)</f>
        <v/>
      </c>
      <c r="R21" s="13" t="str">
        <f>IF(Input!L22=0,"",Input!L22)</f>
        <v/>
      </c>
    </row>
    <row r="22" spans="17:21" x14ac:dyDescent="0.25">
      <c r="Q22" s="15" t="str">
        <f>IF(Input!K23=0,"",Input!K23)</f>
        <v/>
      </c>
      <c r="R22" s="13" t="str">
        <f>IF(Input!L23=0,"",Input!L23)</f>
        <v/>
      </c>
    </row>
    <row r="23" spans="17:21" ht="13.8" thickBot="1" x14ac:dyDescent="0.3">
      <c r="Q23" s="27" t="str">
        <f>IF(Input!K24=0,"",Input!K24)</f>
        <v/>
      </c>
      <c r="R23" s="14" t="str">
        <f>IF(Input!L24=0,"",Input!L24)</f>
        <v/>
      </c>
    </row>
    <row r="24" spans="17:21" ht="13.8" thickBot="1" x14ac:dyDescent="0.3"/>
    <row r="25" spans="17:21" ht="13.8" thickBot="1" x14ac:dyDescent="0.3">
      <c r="Q25" s="110" t="s">
        <v>43</v>
      </c>
      <c r="R25" s="111"/>
      <c r="S25" s="111"/>
      <c r="T25" s="111"/>
      <c r="U25" s="112"/>
    </row>
    <row r="26" spans="17:21" x14ac:dyDescent="0.25">
      <c r="Q26" s="122" t="s">
        <v>40</v>
      </c>
      <c r="R26" s="123"/>
      <c r="S26" s="113">
        <f>Desc</f>
        <v>0</v>
      </c>
      <c r="T26" s="113"/>
      <c r="U26" s="114"/>
    </row>
    <row r="27" spans="17:21" x14ac:dyDescent="0.25">
      <c r="Q27" s="117" t="s">
        <v>39</v>
      </c>
      <c r="R27" s="118"/>
      <c r="S27" s="115">
        <f>ID</f>
        <v>0</v>
      </c>
      <c r="T27" s="115"/>
      <c r="U27" s="116"/>
    </row>
    <row r="28" spans="17:21" x14ac:dyDescent="0.25">
      <c r="Q28" s="117" t="s">
        <v>228</v>
      </c>
      <c r="R28" s="118"/>
      <c r="S28" s="106">
        <f>Depth</f>
        <v>0</v>
      </c>
      <c r="T28" s="106"/>
      <c r="U28" s="107"/>
    </row>
    <row r="29" spans="17:21" ht="15" customHeight="1" x14ac:dyDescent="0.25">
      <c r="Q29" s="117" t="s">
        <v>41</v>
      </c>
      <c r="R29" s="118"/>
      <c r="S29" s="104">
        <f>MDD</f>
        <v>0</v>
      </c>
      <c r="T29" s="104"/>
      <c r="U29" s="105"/>
    </row>
    <row r="30" spans="17:21" ht="15" customHeight="1" x14ac:dyDescent="0.25">
      <c r="Q30" s="117" t="s">
        <v>42</v>
      </c>
      <c r="R30" s="118"/>
      <c r="S30" s="104">
        <f>OMC</f>
        <v>0</v>
      </c>
      <c r="T30" s="104"/>
      <c r="U30" s="105"/>
    </row>
    <row r="31" spans="17:21" ht="15" customHeight="1" x14ac:dyDescent="0.25">
      <c r="Q31" s="117" t="s">
        <v>229</v>
      </c>
      <c r="R31" s="118"/>
      <c r="S31" s="104">
        <f>WDos</f>
        <v>0</v>
      </c>
      <c r="T31" s="104"/>
      <c r="U31" s="105"/>
    </row>
    <row r="32" spans="17:21" ht="15" customHeight="1" x14ac:dyDescent="0.25">
      <c r="Q32" s="117" t="s">
        <v>230</v>
      </c>
      <c r="R32" s="118"/>
      <c r="S32" s="104">
        <f>wos</f>
        <v>0</v>
      </c>
      <c r="T32" s="104"/>
      <c r="U32" s="105"/>
    </row>
    <row r="33" spans="2:21" ht="15" customHeight="1" x14ac:dyDescent="0.25">
      <c r="M33" s="25">
        <f>Input!K35</f>
        <v>0</v>
      </c>
      <c r="Q33" s="117" t="s">
        <v>10</v>
      </c>
      <c r="R33" s="118"/>
      <c r="S33" s="104">
        <f>100-Data!B29</f>
        <v>100</v>
      </c>
      <c r="T33" s="104"/>
      <c r="U33" s="105"/>
    </row>
    <row r="34" spans="2:21" ht="15" customHeight="1" x14ac:dyDescent="0.25">
      <c r="Q34" s="117" t="s">
        <v>9</v>
      </c>
      <c r="R34" s="118"/>
      <c r="S34" s="104">
        <f>100-Data!B32</f>
        <v>100</v>
      </c>
      <c r="T34" s="104"/>
      <c r="U34" s="105"/>
    </row>
    <row r="35" spans="2:21" ht="15" customHeight="1" x14ac:dyDescent="0.25">
      <c r="Q35" s="117" t="s">
        <v>7</v>
      </c>
      <c r="R35" s="118"/>
      <c r="S35" s="104">
        <f>Data!C29</f>
        <v>0</v>
      </c>
      <c r="T35" s="104"/>
      <c r="U35" s="105"/>
    </row>
    <row r="36" spans="2:21" ht="15" customHeight="1" x14ac:dyDescent="0.25">
      <c r="Q36" s="117" t="s">
        <v>33</v>
      </c>
      <c r="R36" s="118"/>
      <c r="S36" s="104">
        <f>Data!C30</f>
        <v>0</v>
      </c>
      <c r="T36" s="104"/>
      <c r="U36" s="105"/>
    </row>
    <row r="37" spans="2:21" ht="15" customHeight="1" x14ac:dyDescent="0.25">
      <c r="Q37" s="117" t="s">
        <v>8</v>
      </c>
      <c r="R37" s="118"/>
      <c r="S37" s="104">
        <f>Data!C31</f>
        <v>0</v>
      </c>
      <c r="T37" s="104"/>
      <c r="U37" s="105"/>
    </row>
    <row r="38" spans="2:21" ht="15" customHeight="1" x14ac:dyDescent="0.25">
      <c r="Q38" s="117" t="s">
        <v>209</v>
      </c>
      <c r="R38" s="118"/>
      <c r="S38" s="104">
        <f>PL</f>
        <v>0</v>
      </c>
      <c r="T38" s="104"/>
      <c r="U38" s="105"/>
    </row>
    <row r="39" spans="2:21" ht="15" customHeight="1" x14ac:dyDescent="0.25">
      <c r="Q39" s="117" t="s">
        <v>210</v>
      </c>
      <c r="R39" s="118"/>
      <c r="S39" s="104">
        <f>LL</f>
        <v>0</v>
      </c>
      <c r="T39" s="104"/>
      <c r="U39" s="105"/>
    </row>
    <row r="40" spans="2:21" ht="15" customHeight="1" x14ac:dyDescent="0.25">
      <c r="B40" s="21" t="s">
        <v>35</v>
      </c>
      <c r="Q40" s="117" t="s">
        <v>5</v>
      </c>
      <c r="R40" s="118"/>
      <c r="S40" s="106">
        <f>IFERROR(IF(Data!D8="D10=0",0,Data!C10/Data!C8),0)</f>
        <v>0</v>
      </c>
      <c r="T40" s="106"/>
      <c r="U40" s="107"/>
    </row>
    <row r="41" spans="2:21" ht="15" customHeight="1" x14ac:dyDescent="0.25">
      <c r="H41" s="74"/>
      <c r="Q41" s="117" t="s">
        <v>6</v>
      </c>
      <c r="R41" s="118"/>
      <c r="S41" s="106">
        <f>IFERROR(IF(Data!D8="D10=0",0,(Data!C9^2)/(Data!C10*Data!C8)),0)</f>
        <v>0</v>
      </c>
      <c r="T41" s="106"/>
      <c r="U41" s="107"/>
    </row>
    <row r="42" spans="2:21" ht="15" customHeight="1" thickBot="1" x14ac:dyDescent="0.3">
      <c r="Q42" s="120" t="s">
        <v>48</v>
      </c>
      <c r="R42" s="121"/>
      <c r="S42" s="102">
        <f>Input!K35</f>
        <v>0</v>
      </c>
      <c r="T42" s="102"/>
      <c r="U42" s="103"/>
    </row>
    <row r="43" spans="2:21" ht="15" customHeight="1" x14ac:dyDescent="0.25"/>
    <row r="44" spans="2:21" x14ac:dyDescent="0.25">
      <c r="Q44" s="78"/>
      <c r="R44" s="78"/>
      <c r="S44" s="78"/>
      <c r="T44" s="78"/>
      <c r="U44" s="78"/>
    </row>
    <row r="45" spans="2:21" x14ac:dyDescent="0.25">
      <c r="Q45" s="79"/>
      <c r="R45" s="79"/>
      <c r="S45" s="79"/>
      <c r="T45" s="79"/>
      <c r="U45" s="79"/>
    </row>
    <row r="46" spans="2:21" x14ac:dyDescent="0.25">
      <c r="Q46" s="80"/>
      <c r="R46" s="80"/>
      <c r="S46" s="80"/>
      <c r="T46" s="81"/>
      <c r="U46" s="81"/>
    </row>
    <row r="47" spans="2:21" x14ac:dyDescent="0.25">
      <c r="J47" s="34"/>
    </row>
    <row r="48" spans="2:21" x14ac:dyDescent="0.25">
      <c r="J48" s="34"/>
    </row>
    <row r="49" spans="10:20" x14ac:dyDescent="0.25">
      <c r="J49" s="35"/>
    </row>
    <row r="50" spans="10:20" x14ac:dyDescent="0.25">
      <c r="J50" s="35"/>
    </row>
    <row r="54" spans="10:20" x14ac:dyDescent="0.25">
      <c r="T54" s="24"/>
    </row>
    <row r="91" spans="1:8" x14ac:dyDescent="0.25">
      <c r="A91" s="71"/>
      <c r="B91" s="71"/>
      <c r="C91" s="71"/>
      <c r="D91" s="71"/>
      <c r="E91" s="71"/>
      <c r="F91" s="71"/>
      <c r="G91" s="71"/>
      <c r="H91" s="71"/>
    </row>
    <row r="92" spans="1:8" s="26" customFormat="1" x14ac:dyDescent="0.25">
      <c r="A92" s="71"/>
      <c r="B92" s="71"/>
      <c r="C92" s="71"/>
      <c r="D92" s="71"/>
      <c r="E92" s="71"/>
      <c r="F92" s="71"/>
      <c r="G92" s="71"/>
      <c r="H92" s="71"/>
    </row>
    <row r="93" spans="1:8" s="26" customFormat="1" x14ac:dyDescent="0.25">
      <c r="A93" s="71"/>
      <c r="B93" s="71"/>
      <c r="C93" s="71"/>
      <c r="D93" s="71"/>
      <c r="E93" s="71"/>
      <c r="F93" s="71"/>
      <c r="G93" s="71"/>
      <c r="H93" s="71"/>
    </row>
    <row r="94" spans="1:8" s="26" customFormat="1" x14ac:dyDescent="0.25">
      <c r="A94" s="71"/>
      <c r="B94" s="71"/>
      <c r="C94" s="71"/>
      <c r="D94" s="71"/>
      <c r="E94" s="71"/>
      <c r="F94" s="71"/>
      <c r="G94" s="71"/>
      <c r="H94" s="71"/>
    </row>
    <row r="95" spans="1:8" s="26" customFormat="1" x14ac:dyDescent="0.25">
      <c r="A95" s="71"/>
      <c r="B95" s="71"/>
      <c r="C95" s="71"/>
      <c r="D95" s="71"/>
      <c r="E95" s="71"/>
      <c r="F95" s="71"/>
      <c r="G95" s="71"/>
      <c r="H95" s="71"/>
    </row>
    <row r="96" spans="1:8" s="26" customFormat="1" x14ac:dyDescent="0.25">
      <c r="A96" s="71"/>
      <c r="B96" s="71"/>
      <c r="C96" s="71"/>
      <c r="D96" s="71"/>
      <c r="E96" s="71"/>
      <c r="F96" s="71"/>
      <c r="G96" s="71"/>
      <c r="H96" s="71"/>
    </row>
    <row r="97" spans="1:53" s="26" customFormat="1" x14ac:dyDescent="0.25">
      <c r="A97" s="71"/>
      <c r="B97" s="71"/>
      <c r="C97" s="71"/>
      <c r="D97" s="71"/>
      <c r="E97" s="71"/>
      <c r="F97" s="71"/>
      <c r="G97" s="71"/>
      <c r="H97" s="71"/>
    </row>
    <row r="98" spans="1:53" s="26" customFormat="1" x14ac:dyDescent="0.25">
      <c r="A98" s="75">
        <v>100</v>
      </c>
      <c r="B98" s="75"/>
      <c r="C98" s="73"/>
      <c r="D98" s="73"/>
      <c r="E98" s="73"/>
      <c r="F98" s="73"/>
      <c r="G98" s="71"/>
      <c r="H98" s="71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</row>
    <row r="99" spans="1:53" s="26" customFormat="1" x14ac:dyDescent="0.25">
      <c r="A99" s="75">
        <v>1</v>
      </c>
      <c r="B99" s="75"/>
      <c r="C99" s="73"/>
      <c r="D99" s="73"/>
      <c r="E99" s="73"/>
      <c r="F99" s="73"/>
      <c r="G99" s="71"/>
      <c r="H99" s="71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</row>
    <row r="100" spans="1:53" s="26" customFormat="1" x14ac:dyDescent="0.25">
      <c r="A100" s="75" t="str">
        <f>Desc&amp;";"&amp;ID&amp;";"&amp;A103&amp;";"&amp;A104&amp;";"&amp;A105&amp;";"&amp;A106&amp;";"&amp;A107&amp;";"&amp;A108&amp;";"&amp;A109&amp;";"&amp;A110&amp;";"&amp;A111&amp;";"&amp;A112&amp;";"&amp;A113&amp;";"&amp;A114&amp;";"&amp;A115&amp;";"&amp;A116</f>
        <v>;;0;0.00;0.00;0;0;100.00;100.00;0.00;0.00;0.00;0.00;0.00;0.00;0.00</v>
      </c>
      <c r="B100" s="75"/>
      <c r="C100" s="73"/>
      <c r="D100" s="73"/>
      <c r="E100" s="73"/>
      <c r="F100" s="73"/>
      <c r="G100" s="71"/>
      <c r="H100" s="71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</row>
    <row r="101" spans="1:53" s="26" customFormat="1" x14ac:dyDescent="0.25">
      <c r="A101" s="75"/>
      <c r="B101" s="75"/>
      <c r="C101" s="73"/>
      <c r="D101" s="73"/>
      <c r="E101" s="73"/>
      <c r="F101" s="73"/>
      <c r="G101" s="71"/>
      <c r="H101" s="7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</row>
    <row r="102" spans="1:53" s="26" customFormat="1" x14ac:dyDescent="0.25">
      <c r="A102" s="75"/>
      <c r="B102" s="75"/>
      <c r="C102" s="73"/>
      <c r="D102" s="73"/>
      <c r="E102" s="73"/>
      <c r="F102" s="73"/>
      <c r="G102" s="71"/>
      <c r="H102" s="71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</row>
    <row r="103" spans="1:53" s="26" customFormat="1" x14ac:dyDescent="0.25">
      <c r="A103" s="76">
        <f>Depth</f>
        <v>0</v>
      </c>
      <c r="B103" s="75" t="s">
        <v>233</v>
      </c>
      <c r="C103" s="73"/>
      <c r="D103" s="73"/>
      <c r="E103" s="73"/>
      <c r="F103" s="73"/>
      <c r="G103" s="71"/>
      <c r="H103" s="71"/>
    </row>
    <row r="104" spans="1:53" s="26" customFormat="1" x14ac:dyDescent="0.25">
      <c r="A104" s="76" t="str">
        <f>FIXED(S29,2)</f>
        <v>0.00</v>
      </c>
      <c r="B104" s="75" t="s">
        <v>55</v>
      </c>
      <c r="C104" s="73"/>
      <c r="D104" s="73"/>
      <c r="E104" s="73"/>
      <c r="F104" s="73"/>
      <c r="G104" s="71"/>
      <c r="H104" s="71"/>
    </row>
    <row r="105" spans="1:53" s="26" customFormat="1" x14ac:dyDescent="0.25">
      <c r="A105" s="76" t="str">
        <f>FIXED(S30,2)</f>
        <v>0.00</v>
      </c>
      <c r="B105" s="75" t="s">
        <v>56</v>
      </c>
      <c r="C105" s="73"/>
      <c r="D105" s="73"/>
      <c r="E105" s="73"/>
      <c r="F105" s="73"/>
      <c r="G105" s="71"/>
      <c r="H105" s="71"/>
    </row>
    <row r="106" spans="1:53" s="26" customFormat="1" x14ac:dyDescent="0.25">
      <c r="A106" s="76">
        <f>WDos</f>
        <v>0</v>
      </c>
      <c r="B106" s="75" t="s">
        <v>234</v>
      </c>
      <c r="C106" s="73"/>
      <c r="D106" s="73"/>
      <c r="E106" s="73"/>
      <c r="F106" s="73"/>
      <c r="G106" s="71"/>
      <c r="H106" s="71"/>
    </row>
    <row r="107" spans="1:53" s="26" customFormat="1" x14ac:dyDescent="0.25">
      <c r="A107" s="76">
        <f>wos</f>
        <v>0</v>
      </c>
      <c r="B107" s="75" t="s">
        <v>235</v>
      </c>
      <c r="C107" s="73"/>
      <c r="D107" s="73"/>
      <c r="E107" s="73"/>
      <c r="F107" s="73"/>
      <c r="G107" s="71"/>
      <c r="H107" s="71"/>
    </row>
    <row r="108" spans="1:53" s="26" customFormat="1" x14ac:dyDescent="0.25">
      <c r="A108" s="75" t="str">
        <f t="shared" ref="A108:A116" si="0">FIXED(S33,2)</f>
        <v>100.00</v>
      </c>
      <c r="B108" s="77">
        <v>0.03</v>
      </c>
      <c r="C108" s="73"/>
      <c r="D108" s="73"/>
      <c r="E108" s="73"/>
      <c r="F108" s="73"/>
      <c r="G108" s="71"/>
      <c r="H108" s="71"/>
    </row>
    <row r="109" spans="1:53" s="26" customFormat="1" x14ac:dyDescent="0.25">
      <c r="A109" s="75" t="str">
        <f t="shared" si="0"/>
        <v>100.00</v>
      </c>
      <c r="B109" s="76" t="s">
        <v>64</v>
      </c>
      <c r="C109" s="73"/>
      <c r="D109" s="73"/>
      <c r="E109" s="73"/>
      <c r="F109" s="73"/>
      <c r="G109" s="71"/>
      <c r="H109" s="71"/>
    </row>
    <row r="110" spans="1:53" s="26" customFormat="1" x14ac:dyDescent="0.25">
      <c r="A110" s="75" t="str">
        <f t="shared" si="0"/>
        <v>0.00</v>
      </c>
      <c r="B110" s="76" t="s">
        <v>61</v>
      </c>
      <c r="C110" s="73"/>
      <c r="D110" s="73"/>
      <c r="E110" s="73"/>
      <c r="F110" s="73"/>
      <c r="G110" s="71"/>
      <c r="H110" s="71"/>
    </row>
    <row r="111" spans="1:53" s="26" customFormat="1" x14ac:dyDescent="0.25">
      <c r="A111" s="75" t="str">
        <f t="shared" si="0"/>
        <v>0.00</v>
      </c>
      <c r="B111" s="76" t="s">
        <v>62</v>
      </c>
      <c r="C111" s="73"/>
      <c r="D111" s="73"/>
      <c r="E111" s="73"/>
      <c r="F111" s="73"/>
      <c r="G111" s="71"/>
      <c r="H111" s="71"/>
    </row>
    <row r="112" spans="1:53" s="26" customFormat="1" x14ac:dyDescent="0.25">
      <c r="A112" s="75" t="str">
        <f t="shared" si="0"/>
        <v>0.00</v>
      </c>
      <c r="B112" s="76" t="s">
        <v>63</v>
      </c>
      <c r="C112" s="73"/>
      <c r="D112" s="73"/>
      <c r="E112" s="73"/>
      <c r="F112" s="73"/>
      <c r="G112" s="71"/>
      <c r="H112" s="71"/>
    </row>
    <row r="113" spans="1:8" s="26" customFormat="1" x14ac:dyDescent="0.25">
      <c r="A113" s="76" t="str">
        <f t="shared" si="0"/>
        <v>0.00</v>
      </c>
      <c r="B113" s="75" t="s">
        <v>57</v>
      </c>
      <c r="C113" s="73"/>
      <c r="D113" s="73"/>
      <c r="E113" s="73"/>
      <c r="F113" s="73"/>
      <c r="G113" s="71"/>
      <c r="H113" s="71"/>
    </row>
    <row r="114" spans="1:8" s="26" customFormat="1" x14ac:dyDescent="0.25">
      <c r="A114" s="76" t="str">
        <f t="shared" si="0"/>
        <v>0.00</v>
      </c>
      <c r="B114" s="75" t="s">
        <v>58</v>
      </c>
      <c r="C114" s="71"/>
      <c r="D114" s="71"/>
      <c r="E114" s="71"/>
      <c r="F114" s="71"/>
      <c r="G114" s="71"/>
      <c r="H114" s="71"/>
    </row>
    <row r="115" spans="1:8" s="26" customFormat="1" x14ac:dyDescent="0.25">
      <c r="A115" s="75" t="str">
        <f t="shared" si="0"/>
        <v>0.00</v>
      </c>
      <c r="B115" s="75" t="s">
        <v>59</v>
      </c>
      <c r="C115" s="71"/>
      <c r="D115" s="71"/>
      <c r="E115" s="71"/>
      <c r="F115" s="71"/>
      <c r="G115" s="71"/>
      <c r="H115" s="71"/>
    </row>
    <row r="116" spans="1:8" s="26" customFormat="1" x14ac:dyDescent="0.25">
      <c r="A116" s="75" t="str">
        <f t="shared" si="0"/>
        <v>0.00</v>
      </c>
      <c r="B116" s="75" t="s">
        <v>60</v>
      </c>
      <c r="C116" s="71"/>
      <c r="D116" s="71"/>
      <c r="E116" s="71"/>
      <c r="F116" s="71"/>
      <c r="G116" s="71"/>
      <c r="H116" s="71"/>
    </row>
    <row r="117" spans="1:8" s="26" customFormat="1" x14ac:dyDescent="0.25">
      <c r="C117" s="71"/>
      <c r="D117" s="71"/>
      <c r="E117" s="71"/>
      <c r="F117" s="71"/>
      <c r="G117" s="71"/>
      <c r="H117" s="71"/>
    </row>
    <row r="118" spans="1:8" s="26" customFormat="1" x14ac:dyDescent="0.25">
      <c r="C118" s="71"/>
      <c r="D118" s="71"/>
      <c r="E118" s="71"/>
      <c r="F118" s="71"/>
      <c r="G118" s="71"/>
      <c r="H118" s="71"/>
    </row>
    <row r="119" spans="1:8" s="26" customFormat="1" x14ac:dyDescent="0.25">
      <c r="C119" s="71"/>
      <c r="D119" s="71"/>
      <c r="E119" s="71"/>
      <c r="F119" s="71"/>
      <c r="G119" s="71"/>
      <c r="H119" s="71"/>
    </row>
    <row r="120" spans="1:8" s="26" customFormat="1" x14ac:dyDescent="0.25">
      <c r="C120" s="71"/>
      <c r="D120" s="71"/>
      <c r="E120" s="71"/>
      <c r="F120" s="71"/>
      <c r="G120" s="71"/>
      <c r="H120" s="71"/>
    </row>
    <row r="121" spans="1:8" s="26" customFormat="1" x14ac:dyDescent="0.25">
      <c r="A121" s="71"/>
      <c r="B121" s="71"/>
      <c r="C121" s="71"/>
      <c r="D121" s="71"/>
      <c r="E121" s="71"/>
      <c r="F121" s="71"/>
      <c r="G121" s="71"/>
      <c r="H121" s="71"/>
    </row>
    <row r="122" spans="1:8" x14ac:dyDescent="0.25">
      <c r="A122" s="71"/>
      <c r="B122" s="71"/>
      <c r="C122" s="71"/>
      <c r="D122" s="71"/>
      <c r="E122" s="71"/>
      <c r="F122" s="71"/>
      <c r="G122" s="71"/>
      <c r="H122" s="71"/>
    </row>
    <row r="123" spans="1:8" x14ac:dyDescent="0.25">
      <c r="A123" s="71"/>
      <c r="B123" s="71"/>
      <c r="C123" s="71"/>
      <c r="D123" s="71"/>
      <c r="E123" s="71"/>
      <c r="F123" s="71"/>
      <c r="G123" s="71"/>
      <c r="H123" s="71"/>
    </row>
    <row r="124" spans="1:8" x14ac:dyDescent="0.25">
      <c r="A124" s="71"/>
      <c r="B124" s="71"/>
      <c r="C124" s="71"/>
      <c r="D124" s="71"/>
      <c r="E124" s="71"/>
      <c r="F124" s="71"/>
      <c r="G124" s="71"/>
      <c r="H124" s="71"/>
    </row>
    <row r="125" spans="1:8" x14ac:dyDescent="0.25">
      <c r="A125" s="71"/>
      <c r="B125" s="71"/>
      <c r="C125" s="71"/>
      <c r="D125" s="71"/>
      <c r="E125" s="71"/>
      <c r="F125" s="71"/>
      <c r="G125" s="71"/>
      <c r="H125" s="71"/>
    </row>
    <row r="126" spans="1:8" x14ac:dyDescent="0.25">
      <c r="A126" s="71"/>
      <c r="B126" s="71"/>
    </row>
    <row r="127" spans="1:8" x14ac:dyDescent="0.25">
      <c r="A127" s="71"/>
      <c r="B127" s="71"/>
    </row>
    <row r="128" spans="1:8" x14ac:dyDescent="0.25">
      <c r="A128" s="71"/>
      <c r="B128" s="71"/>
    </row>
  </sheetData>
  <sheetProtection sheet="1" selectLockedCells="1"/>
  <mergeCells count="38">
    <mergeCell ref="Q38:R38"/>
    <mergeCell ref="S33:U33"/>
    <mergeCell ref="S34:U34"/>
    <mergeCell ref="F1:H1"/>
    <mergeCell ref="F2:H2"/>
    <mergeCell ref="Q42:R42"/>
    <mergeCell ref="Q35:R35"/>
    <mergeCell ref="Q36:R36"/>
    <mergeCell ref="Q37:R37"/>
    <mergeCell ref="S35:U35"/>
    <mergeCell ref="Q41:R41"/>
    <mergeCell ref="Q27:R27"/>
    <mergeCell ref="Q26:R26"/>
    <mergeCell ref="Q40:R40"/>
    <mergeCell ref="Q39:R39"/>
    <mergeCell ref="Q34:R34"/>
    <mergeCell ref="Q33:R33"/>
    <mergeCell ref="S29:U29"/>
    <mergeCell ref="S30:U30"/>
    <mergeCell ref="S31:U31"/>
    <mergeCell ref="S32:U32"/>
    <mergeCell ref="Q32:R32"/>
    <mergeCell ref="Q29:R29"/>
    <mergeCell ref="Q31:R31"/>
    <mergeCell ref="Q30:R30"/>
    <mergeCell ref="T2:U2"/>
    <mergeCell ref="Q25:U25"/>
    <mergeCell ref="S26:U26"/>
    <mergeCell ref="S27:U27"/>
    <mergeCell ref="S28:U28"/>
    <mergeCell ref="Q28:R28"/>
    <mergeCell ref="S42:U42"/>
    <mergeCell ref="S36:U36"/>
    <mergeCell ref="S37:U37"/>
    <mergeCell ref="S38:U38"/>
    <mergeCell ref="S39:U39"/>
    <mergeCell ref="S40:U40"/>
    <mergeCell ref="S41:U41"/>
  </mergeCells>
  <phoneticPr fontId="0" type="noConversion"/>
  <hyperlinks>
    <hyperlink ref="B40" location="Input!A1" display="View Input" xr:uid="{00000000-0004-0000-0100-000000000000}"/>
    <hyperlink ref="B13" location="Input!A1" display="Input Screen" xr:uid="{00000000-0004-0000-0100-000001000000}"/>
    <hyperlink ref="B15" location="'Size Distribution Curve'!A1" display="Distribution Curve" xr:uid="{00000000-0004-0000-0100-000002000000}"/>
  </hyperlinks>
  <printOptions horizontalCentered="1" verticalCentered="1"/>
  <pageMargins left="0.25" right="0.25" top="0.75" bottom="0.75" header="0.3" footer="0.3"/>
  <pageSetup paperSize="9" scale="79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W1004"/>
  <sheetViews>
    <sheetView topLeftCell="A10" zoomScale="70" workbookViewId="0">
      <selection activeCell="B29" sqref="B29"/>
    </sheetView>
  </sheetViews>
  <sheetFormatPr defaultRowHeight="13.2" x14ac:dyDescent="0.25"/>
  <cols>
    <col min="1" max="2" width="9.109375" style="2" customWidth="1"/>
    <col min="3" max="3" width="11.88671875" style="2" customWidth="1"/>
    <col min="4" max="4" width="9.5546875" style="2" bestFit="1" customWidth="1"/>
    <col min="5" max="5" width="22.88671875" style="2" customWidth="1"/>
    <col min="6" max="6" width="10.88671875" style="4" bestFit="1" customWidth="1"/>
    <col min="7" max="7" width="20.33203125" style="4" customWidth="1"/>
    <col min="8" max="9" width="12.5546875" style="4" bestFit="1" customWidth="1"/>
    <col min="10" max="10" width="12" style="2" bestFit="1" customWidth="1"/>
    <col min="11" max="13" width="9.109375" style="2" customWidth="1"/>
  </cols>
  <sheetData>
    <row r="2" spans="1:23" x14ac:dyDescent="0.25">
      <c r="F2" s="124" t="s">
        <v>3</v>
      </c>
      <c r="G2" s="124"/>
      <c r="J2" s="29" t="s">
        <v>198</v>
      </c>
    </row>
    <row r="3" spans="1:23" x14ac:dyDescent="0.25">
      <c r="F3" s="3" t="s">
        <v>12</v>
      </c>
      <c r="G3" s="3" t="s">
        <v>29</v>
      </c>
      <c r="H3" s="3" t="s">
        <v>30</v>
      </c>
      <c r="I3" s="3" t="s">
        <v>26</v>
      </c>
      <c r="J3" s="29" t="s">
        <v>193</v>
      </c>
      <c r="L3" s="18" t="s">
        <v>31</v>
      </c>
      <c r="V3" s="2" t="s">
        <v>11</v>
      </c>
      <c r="W3" s="2" t="str">
        <f>IF($T$21="#200",0.075,IF($T$21="#140",0.106,IF($T$21="#100",0.15,IF($T$21="#60",0.25,IF($T$21="#50",0.3,IF($T$21="#40",0.425,"ERROR"))))))</f>
        <v>ERROR</v>
      </c>
    </row>
    <row r="4" spans="1:23" x14ac:dyDescent="0.25">
      <c r="F4" s="4">
        <v>0.01</v>
      </c>
      <c r="G4" s="4">
        <f>cubspline(3,F4,Data!$B$36:$B$56,Data!$A$36:$A$56)</f>
        <v>0</v>
      </c>
      <c r="H4" s="4">
        <f>IF(G4&lt;=0,0.0000000001,G4)</f>
        <v>1E-10</v>
      </c>
      <c r="I4" s="4">
        <f>IF(F4&gt;$D$47,F4,NA())</f>
        <v>0.01</v>
      </c>
      <c r="J4" s="2">
        <f>IF(F4&gt;=$D$47,F4,($D$47-(0.3*($D$47-F4))))</f>
        <v>0.01</v>
      </c>
      <c r="L4" s="18" t="s">
        <v>32</v>
      </c>
    </row>
    <row r="5" spans="1:23" x14ac:dyDescent="0.25">
      <c r="F5" s="4">
        <f>F4+0.1</f>
        <v>0.11</v>
      </c>
      <c r="G5" s="4">
        <f>cubspline(3,F5,Data!$B$36:$B$56,Data!$A$36:$A$56)</f>
        <v>0</v>
      </c>
      <c r="H5" s="4">
        <f>IF(G5&lt;=0,0.0000000001,G5)</f>
        <v>1E-10</v>
      </c>
      <c r="I5" s="4">
        <f t="shared" ref="I5:I68" si="0">IF(F5&gt;$D$47,F5,NA())</f>
        <v>0.11</v>
      </c>
      <c r="J5" s="2">
        <f t="shared" ref="J5:J68" si="1">IF(F5&gt;=$D$47,F5,($D$47-(0.3*($D$47-F5))))</f>
        <v>0.11</v>
      </c>
      <c r="L5" s="18" t="s">
        <v>196</v>
      </c>
    </row>
    <row r="6" spans="1:23" ht="13.8" thickBot="1" x14ac:dyDescent="0.3">
      <c r="E6" s="2" t="s">
        <v>191</v>
      </c>
      <c r="F6" s="4">
        <f t="shared" ref="F6:F69" si="2">F5+0.1</f>
        <v>0.21000000000000002</v>
      </c>
      <c r="G6" s="4">
        <f>cubspline(3,F6,Data!$B$36:$B$56,Data!$A$36:$A$56)</f>
        <v>0</v>
      </c>
      <c r="H6" s="4">
        <f t="shared" ref="H6:H69" si="3">IF(G6&lt;=0,0.0000000001,G6)</f>
        <v>1E-10</v>
      </c>
      <c r="I6" s="4">
        <f t="shared" si="0"/>
        <v>0.21000000000000002</v>
      </c>
      <c r="J6" s="2">
        <f t="shared" si="1"/>
        <v>0.21000000000000002</v>
      </c>
      <c r="L6" s="2" t="s">
        <v>199</v>
      </c>
    </row>
    <row r="7" spans="1:23" x14ac:dyDescent="0.25">
      <c r="A7" s="125" t="s">
        <v>15</v>
      </c>
      <c r="B7" s="126"/>
      <c r="C7" s="126"/>
      <c r="D7" s="19" t="s">
        <v>28</v>
      </c>
      <c r="E7" s="2" t="s">
        <v>192</v>
      </c>
      <c r="F7" s="4">
        <f t="shared" si="2"/>
        <v>0.31000000000000005</v>
      </c>
      <c r="G7" s="4">
        <f>cubspline(3,F7,Data!$B$36:$B$56,Data!$A$36:$A$56)</f>
        <v>0</v>
      </c>
      <c r="H7" s="4">
        <f t="shared" si="3"/>
        <v>1E-10</v>
      </c>
      <c r="I7" s="4">
        <f t="shared" si="0"/>
        <v>0.31000000000000005</v>
      </c>
      <c r="J7" s="2">
        <f t="shared" si="1"/>
        <v>0.31000000000000005</v>
      </c>
      <c r="L7" s="41" t="s">
        <v>200</v>
      </c>
      <c r="M7" s="33"/>
      <c r="N7" s="33"/>
      <c r="O7" s="19"/>
    </row>
    <row r="8" spans="1:23" x14ac:dyDescent="0.25">
      <c r="A8" s="5" t="s">
        <v>0</v>
      </c>
      <c r="B8" s="2">
        <v>10</v>
      </c>
      <c r="C8" s="2">
        <f>cubspline(3,B8,Data!$B$36:$B$56,Data!$A$36:$A$56)</f>
        <v>0</v>
      </c>
      <c r="D8" s="6">
        <f>IF(C8&lt;$D$44,"D10=0",C8)</f>
        <v>0</v>
      </c>
      <c r="E8" s="2" t="str">
        <f>IF(C8=D8,"n/a", C8)</f>
        <v>n/a</v>
      </c>
      <c r="F8" s="4">
        <f t="shared" si="2"/>
        <v>0.41000000000000003</v>
      </c>
      <c r="G8" s="4">
        <f>cubspline(3,F8,Data!$B$36:$B$56,Data!$A$36:$A$56)</f>
        <v>0</v>
      </c>
      <c r="H8" s="4">
        <f t="shared" si="3"/>
        <v>1E-10</v>
      </c>
      <c r="I8" s="4">
        <f t="shared" si="0"/>
        <v>0.41000000000000003</v>
      </c>
      <c r="J8" s="2">
        <f t="shared" si="1"/>
        <v>0.41000000000000003</v>
      </c>
    </row>
    <row r="9" spans="1:23" x14ac:dyDescent="0.25">
      <c r="A9" s="5" t="s">
        <v>1</v>
      </c>
      <c r="B9" s="2">
        <v>30</v>
      </c>
      <c r="C9" s="2">
        <f>cubspline(3,B9,Data!$B$36:$B$56,Data!$A$36:$A$56)</f>
        <v>0</v>
      </c>
      <c r="D9" s="6">
        <f>IF(C9&lt;$D$44,"D30=0",C9)</f>
        <v>0</v>
      </c>
      <c r="E9" s="2" t="str">
        <f>IF(C9=D9,"n/a", C9)</f>
        <v>n/a</v>
      </c>
      <c r="F9" s="4">
        <f t="shared" si="2"/>
        <v>0.51</v>
      </c>
      <c r="G9" s="4">
        <f>cubspline(3,F9,Data!$B$36:$B$56,Data!$A$36:$A$56)</f>
        <v>0</v>
      </c>
      <c r="H9" s="4">
        <f t="shared" si="3"/>
        <v>1E-10</v>
      </c>
      <c r="I9" s="4">
        <f t="shared" si="0"/>
        <v>0.51</v>
      </c>
      <c r="J9" s="2">
        <f t="shared" si="1"/>
        <v>0.51</v>
      </c>
    </row>
    <row r="10" spans="1:23" x14ac:dyDescent="0.25">
      <c r="A10" s="5" t="s">
        <v>2</v>
      </c>
      <c r="B10" s="2">
        <v>60</v>
      </c>
      <c r="C10" s="2">
        <f>cubspline(3,B10,Data!$B$36:$B$56,Data!$A$36:$A$56)</f>
        <v>0</v>
      </c>
      <c r="D10" s="6">
        <f>IF(C10&lt;$D$44,"D60=0",C10)</f>
        <v>0</v>
      </c>
      <c r="E10" s="2" t="str">
        <f>IF(C10=D10,"n/a", C10)</f>
        <v>n/a</v>
      </c>
      <c r="F10" s="4">
        <f t="shared" si="2"/>
        <v>0.61</v>
      </c>
      <c r="G10" s="4">
        <f>cubspline(3,F10,Data!$B$36:$B$56,Data!$A$36:$A$56)</f>
        <v>0</v>
      </c>
      <c r="H10" s="4">
        <f t="shared" si="3"/>
        <v>1E-10</v>
      </c>
      <c r="I10" s="4">
        <f t="shared" si="0"/>
        <v>0.61</v>
      </c>
      <c r="J10" s="2">
        <f t="shared" si="1"/>
        <v>0.61</v>
      </c>
    </row>
    <row r="11" spans="1:23" ht="13.8" thickBot="1" x14ac:dyDescent="0.3">
      <c r="A11" s="7" t="s">
        <v>27</v>
      </c>
      <c r="B11" s="8">
        <f>B31</f>
        <v>0</v>
      </c>
      <c r="C11" s="8">
        <f>cubspline(3,B11,Data!$B$36:$B$56,Data!$A$36:$A$56)</f>
        <v>0</v>
      </c>
      <c r="D11" s="9"/>
      <c r="F11" s="4">
        <f t="shared" si="2"/>
        <v>0.71</v>
      </c>
      <c r="G11" s="4">
        <f>cubspline(3,F11,Data!$B$36:$B$56,Data!$A$36:$A$56)</f>
        <v>0</v>
      </c>
      <c r="H11" s="4">
        <f t="shared" si="3"/>
        <v>1E-10</v>
      </c>
      <c r="I11" s="4">
        <f t="shared" si="0"/>
        <v>0.71</v>
      </c>
      <c r="J11" s="2">
        <f t="shared" si="1"/>
        <v>0.71</v>
      </c>
    </row>
    <row r="12" spans="1:23" ht="13.8" thickBot="1" x14ac:dyDescent="0.3">
      <c r="F12" s="4">
        <f t="shared" si="2"/>
        <v>0.80999999999999994</v>
      </c>
      <c r="G12" s="4">
        <f>cubspline(3,F12,Data!$B$36:$B$56,Data!$A$36:$A$56)</f>
        <v>0</v>
      </c>
      <c r="H12" s="4">
        <f t="shared" si="3"/>
        <v>1E-10</v>
      </c>
      <c r="I12" s="4">
        <f t="shared" si="0"/>
        <v>0.80999999999999994</v>
      </c>
      <c r="J12" s="2">
        <f t="shared" si="1"/>
        <v>0.80999999999999994</v>
      </c>
    </row>
    <row r="13" spans="1:23" x14ac:dyDescent="0.25">
      <c r="A13" s="41" t="s">
        <v>197</v>
      </c>
      <c r="B13" s="42"/>
      <c r="C13" s="42"/>
      <c r="D13" s="43"/>
      <c r="F13" s="4">
        <f t="shared" si="2"/>
        <v>0.90999999999999992</v>
      </c>
      <c r="G13" s="4">
        <f>cubspline(3,F13,Data!$B$36:$B$56,Data!$A$36:$A$56)</f>
        <v>0</v>
      </c>
      <c r="H13" s="4">
        <f t="shared" si="3"/>
        <v>1E-10</v>
      </c>
      <c r="I13" s="4">
        <f t="shared" si="0"/>
        <v>0.90999999999999992</v>
      </c>
      <c r="J13" s="2">
        <f t="shared" si="1"/>
        <v>0.90999999999999992</v>
      </c>
    </row>
    <row r="14" spans="1:23" x14ac:dyDescent="0.25">
      <c r="A14" s="5" t="s">
        <v>186</v>
      </c>
      <c r="B14" s="2">
        <v>10</v>
      </c>
      <c r="C14" s="2">
        <f>cubspline(3,B14,Data!$J$4:$J$1004,Data!$H$4:$H$1004)</f>
        <v>1E-10</v>
      </c>
      <c r="D14" s="6"/>
      <c r="F14" s="4">
        <f t="shared" si="2"/>
        <v>1.01</v>
      </c>
      <c r="G14" s="4">
        <f>cubspline(3,F14,Data!$B$36:$B$56,Data!$A$36:$A$56)</f>
        <v>0</v>
      </c>
      <c r="H14" s="4">
        <f t="shared" si="3"/>
        <v>1E-10</v>
      </c>
      <c r="I14" s="4">
        <f t="shared" si="0"/>
        <v>1.01</v>
      </c>
      <c r="J14" s="2">
        <f t="shared" si="1"/>
        <v>1.01</v>
      </c>
    </row>
    <row r="15" spans="1:23" x14ac:dyDescent="0.25">
      <c r="A15" s="5" t="s">
        <v>187</v>
      </c>
      <c r="B15" s="2">
        <v>30</v>
      </c>
      <c r="C15" s="2">
        <f>cubspline(3,B15,Data!$J$4:$J$1004,Data!$H$4:$H$1004)</f>
        <v>1E-10</v>
      </c>
      <c r="D15" s="6"/>
      <c r="F15" s="4">
        <f t="shared" si="2"/>
        <v>1.1100000000000001</v>
      </c>
      <c r="G15" s="4">
        <f>cubspline(3,F15,Data!$B$36:$B$56,Data!$A$36:$A$56)</f>
        <v>0</v>
      </c>
      <c r="H15" s="4">
        <f t="shared" si="3"/>
        <v>1E-10</v>
      </c>
      <c r="I15" s="4">
        <f t="shared" si="0"/>
        <v>1.1100000000000001</v>
      </c>
      <c r="J15" s="2">
        <f t="shared" si="1"/>
        <v>1.1100000000000001</v>
      </c>
    </row>
    <row r="16" spans="1:23" ht="13.8" thickBot="1" x14ac:dyDescent="0.3">
      <c r="A16" s="7" t="s">
        <v>188</v>
      </c>
      <c r="B16" s="8">
        <v>60</v>
      </c>
      <c r="C16" s="8">
        <f>cubspline(3,B16,Data!$J$4:$J$1004,Data!$H$4:$H$1004)</f>
        <v>1E-10</v>
      </c>
      <c r="D16" s="9"/>
      <c r="F16" s="4">
        <f t="shared" si="2"/>
        <v>1.2100000000000002</v>
      </c>
      <c r="G16" s="4">
        <f>cubspline(3,F16,Data!$B$36:$B$56,Data!$A$36:$A$56)</f>
        <v>0</v>
      </c>
      <c r="H16" s="4">
        <f t="shared" si="3"/>
        <v>1E-10</v>
      </c>
      <c r="I16" s="4">
        <f t="shared" si="0"/>
        <v>1.2100000000000002</v>
      </c>
      <c r="J16" s="2">
        <f t="shared" si="1"/>
        <v>1.2100000000000002</v>
      </c>
    </row>
    <row r="17" spans="1:10" x14ac:dyDescent="0.25">
      <c r="F17" s="4">
        <f t="shared" si="2"/>
        <v>1.3100000000000003</v>
      </c>
      <c r="G17" s="4">
        <f>cubspline(3,F17,Data!$B$36:$B$56,Data!$A$36:$A$56)</f>
        <v>0</v>
      </c>
      <c r="H17" s="4">
        <f t="shared" si="3"/>
        <v>1E-10</v>
      </c>
      <c r="I17" s="4">
        <f t="shared" si="0"/>
        <v>1.3100000000000003</v>
      </c>
      <c r="J17" s="2">
        <f t="shared" si="1"/>
        <v>1.3100000000000003</v>
      </c>
    </row>
    <row r="18" spans="1:10" x14ac:dyDescent="0.25">
      <c r="F18" s="4">
        <f t="shared" si="2"/>
        <v>1.4100000000000004</v>
      </c>
      <c r="G18" s="4">
        <f>cubspline(3,F18,Data!$B$36:$B$56,Data!$A$36:$A$56)</f>
        <v>0</v>
      </c>
      <c r="H18" s="4">
        <f t="shared" si="3"/>
        <v>1E-10</v>
      </c>
      <c r="I18" s="4">
        <f t="shared" si="0"/>
        <v>1.4100000000000004</v>
      </c>
      <c r="J18" s="2">
        <f t="shared" si="1"/>
        <v>1.4100000000000004</v>
      </c>
    </row>
    <row r="19" spans="1:10" x14ac:dyDescent="0.25">
      <c r="F19" s="4">
        <f t="shared" si="2"/>
        <v>1.5100000000000005</v>
      </c>
      <c r="G19" s="4">
        <f>cubspline(3,F19,Data!$B$36:$B$56,Data!$A$36:$A$56)</f>
        <v>0</v>
      </c>
      <c r="H19" s="4">
        <f t="shared" si="3"/>
        <v>1E-10</v>
      </c>
      <c r="I19" s="4">
        <f t="shared" si="0"/>
        <v>1.5100000000000005</v>
      </c>
      <c r="J19" s="2">
        <f t="shared" si="1"/>
        <v>1.5100000000000005</v>
      </c>
    </row>
    <row r="20" spans="1:10" x14ac:dyDescent="0.25">
      <c r="F20" s="4">
        <f t="shared" si="2"/>
        <v>1.6100000000000005</v>
      </c>
      <c r="G20" s="4">
        <f>cubspline(3,F20,Data!$B$36:$B$56,Data!$A$36:$A$56)</f>
        <v>0</v>
      </c>
      <c r="H20" s="4">
        <f>IF(G20&lt;=0,0.0000000001,G20)</f>
        <v>1E-10</v>
      </c>
      <c r="I20" s="4">
        <f t="shared" si="0"/>
        <v>1.6100000000000005</v>
      </c>
      <c r="J20" s="2">
        <f t="shared" si="1"/>
        <v>1.6100000000000005</v>
      </c>
    </row>
    <row r="21" spans="1:10" x14ac:dyDescent="0.25">
      <c r="F21" s="4">
        <f t="shared" si="2"/>
        <v>1.7100000000000006</v>
      </c>
      <c r="G21" s="4">
        <f>cubspline(3,F21,Data!$B$36:$B$56,Data!$A$36:$A$56)</f>
        <v>0</v>
      </c>
      <c r="H21" s="4">
        <f t="shared" si="3"/>
        <v>1E-10</v>
      </c>
      <c r="I21" s="4">
        <f t="shared" si="0"/>
        <v>1.7100000000000006</v>
      </c>
      <c r="J21" s="2">
        <f t="shared" si="1"/>
        <v>1.7100000000000006</v>
      </c>
    </row>
    <row r="22" spans="1:10" x14ac:dyDescent="0.25">
      <c r="F22" s="4">
        <f t="shared" si="2"/>
        <v>1.8100000000000007</v>
      </c>
      <c r="G22" s="4">
        <f>cubspline(3,F22,Data!$B$36:$B$56,Data!$A$36:$A$56)</f>
        <v>0</v>
      </c>
      <c r="H22" s="4">
        <f t="shared" si="3"/>
        <v>1E-10</v>
      </c>
      <c r="I22" s="4">
        <f t="shared" si="0"/>
        <v>1.8100000000000007</v>
      </c>
      <c r="J22" s="2">
        <f t="shared" si="1"/>
        <v>1.8100000000000007</v>
      </c>
    </row>
    <row r="23" spans="1:10" x14ac:dyDescent="0.25">
      <c r="F23" s="4">
        <f t="shared" si="2"/>
        <v>1.9100000000000008</v>
      </c>
      <c r="G23" s="4">
        <f>cubspline(3,F23,Data!$B$36:$B$56,Data!$A$36:$A$56)</f>
        <v>0</v>
      </c>
      <c r="H23" s="4">
        <f t="shared" si="3"/>
        <v>1E-10</v>
      </c>
      <c r="I23" s="4">
        <f t="shared" si="0"/>
        <v>1.9100000000000008</v>
      </c>
      <c r="J23" s="2">
        <f t="shared" si="1"/>
        <v>1.9100000000000008</v>
      </c>
    </row>
    <row r="24" spans="1:10" x14ac:dyDescent="0.25">
      <c r="F24" s="4">
        <f t="shared" si="2"/>
        <v>2.0100000000000007</v>
      </c>
      <c r="G24" s="4">
        <f>cubspline(3,F24,Data!$B$36:$B$56,Data!$A$36:$A$56)</f>
        <v>0</v>
      </c>
      <c r="H24" s="4">
        <f t="shared" si="3"/>
        <v>1E-10</v>
      </c>
      <c r="I24" s="4">
        <f t="shared" si="0"/>
        <v>2.0100000000000007</v>
      </c>
      <c r="J24" s="2">
        <f t="shared" si="1"/>
        <v>2.0100000000000007</v>
      </c>
    </row>
    <row r="25" spans="1:10" x14ac:dyDescent="0.25">
      <c r="F25" s="4">
        <f t="shared" si="2"/>
        <v>2.1100000000000008</v>
      </c>
      <c r="G25" s="4">
        <f>cubspline(3,F25,Data!$B$36:$B$56,Data!$A$36:$A$56)</f>
        <v>0</v>
      </c>
      <c r="H25" s="4">
        <f t="shared" si="3"/>
        <v>1E-10</v>
      </c>
      <c r="I25" s="4">
        <f t="shared" si="0"/>
        <v>2.1100000000000008</v>
      </c>
      <c r="J25" s="2">
        <f t="shared" si="1"/>
        <v>2.1100000000000008</v>
      </c>
    </row>
    <row r="26" spans="1:10" ht="13.8" thickBot="1" x14ac:dyDescent="0.3">
      <c r="F26" s="4">
        <f t="shared" si="2"/>
        <v>2.2100000000000009</v>
      </c>
      <c r="G26" s="4">
        <f>cubspline(3,F26,Data!$B$36:$B$56,Data!$A$36:$A$56)</f>
        <v>0</v>
      </c>
      <c r="H26" s="4">
        <f t="shared" si="3"/>
        <v>1E-10</v>
      </c>
      <c r="I26" s="4">
        <f t="shared" si="0"/>
        <v>2.2100000000000009</v>
      </c>
      <c r="J26" s="2">
        <f t="shared" si="1"/>
        <v>2.2100000000000009</v>
      </c>
    </row>
    <row r="27" spans="1:10" x14ac:dyDescent="0.25">
      <c r="A27" s="125" t="s">
        <v>14</v>
      </c>
      <c r="B27" s="126"/>
      <c r="C27" s="126"/>
      <c r="D27" s="126"/>
      <c r="E27" s="127"/>
      <c r="F27" s="4">
        <f t="shared" si="2"/>
        <v>2.3100000000000009</v>
      </c>
      <c r="G27" s="4">
        <f>cubspline(3,F27,Data!$B$36:$B$56,Data!$A$36:$A$56)</f>
        <v>0</v>
      </c>
      <c r="H27" s="4">
        <f t="shared" si="3"/>
        <v>1E-10</v>
      </c>
      <c r="I27" s="4">
        <f t="shared" si="0"/>
        <v>2.3100000000000009</v>
      </c>
      <c r="J27" s="2">
        <f t="shared" si="1"/>
        <v>2.3100000000000009</v>
      </c>
    </row>
    <row r="28" spans="1:10" x14ac:dyDescent="0.25">
      <c r="A28" s="5" t="s">
        <v>214</v>
      </c>
      <c r="C28" s="2">
        <f>100-B29</f>
        <v>100</v>
      </c>
      <c r="E28" s="6"/>
      <c r="F28" s="4">
        <f t="shared" si="2"/>
        <v>2.410000000000001</v>
      </c>
      <c r="G28" s="4">
        <f>cubspline(3,F28,Data!$B$36:$B$56,Data!$A$36:$A$56)</f>
        <v>0</v>
      </c>
      <c r="H28" s="4">
        <f t="shared" si="3"/>
        <v>1E-10</v>
      </c>
      <c r="I28" s="4">
        <f t="shared" si="0"/>
        <v>2.410000000000001</v>
      </c>
      <c r="J28" s="2">
        <f t="shared" si="1"/>
        <v>2.410000000000001</v>
      </c>
    </row>
    <row r="29" spans="1:10" x14ac:dyDescent="0.25">
      <c r="A29" s="5">
        <v>75</v>
      </c>
      <c r="B29" s="2">
        <f>IF(cubspline(3,A29,Data!$A$36:$A$56,Data!$B$36:$B$56)&lt;100,(cubspline(3,A29,Data!$A$36:$A$56,Data!$B$36:$B$56)),100)</f>
        <v>0</v>
      </c>
      <c r="C29" s="2">
        <f>B29-B30</f>
        <v>0</v>
      </c>
      <c r="E29" s="6"/>
      <c r="F29" s="4">
        <f t="shared" si="2"/>
        <v>2.5100000000000011</v>
      </c>
      <c r="G29" s="4">
        <f>cubspline(3,F29,Data!$B$36:$B$56,Data!$A$36:$A$56)</f>
        <v>0</v>
      </c>
      <c r="H29" s="4">
        <f t="shared" si="3"/>
        <v>1E-10</v>
      </c>
      <c r="I29" s="4">
        <f t="shared" si="0"/>
        <v>2.5100000000000011</v>
      </c>
      <c r="J29" s="2">
        <f t="shared" si="1"/>
        <v>2.5100000000000011</v>
      </c>
    </row>
    <row r="30" spans="1:10" x14ac:dyDescent="0.25">
      <c r="A30" s="5">
        <v>4.75</v>
      </c>
      <c r="B30" s="2">
        <f>IF(cubspline(3,A30,Data!$A$36:$A$56,Data!$B$36:$B$56)&lt;100,(cubspline(3,A30,Data!$A$36:$A$56,Data!$B$36:$B$56)),100)</f>
        <v>0</v>
      </c>
      <c r="C30" s="2">
        <f>B30-B31</f>
        <v>0</v>
      </c>
      <c r="E30" s="6"/>
      <c r="F30" s="4">
        <f t="shared" si="2"/>
        <v>2.6100000000000012</v>
      </c>
      <c r="G30" s="4">
        <f>cubspline(3,F30,Data!$B$36:$B$56,Data!$A$36:$A$56)</f>
        <v>0</v>
      </c>
      <c r="H30" s="4">
        <f t="shared" si="3"/>
        <v>1E-10</v>
      </c>
      <c r="I30" s="4">
        <f t="shared" si="0"/>
        <v>2.6100000000000012</v>
      </c>
      <c r="J30" s="2">
        <f t="shared" si="1"/>
        <v>2.6100000000000012</v>
      </c>
    </row>
    <row r="31" spans="1:10" x14ac:dyDescent="0.25">
      <c r="A31" s="5">
        <v>7.4999999999999997E-2</v>
      </c>
      <c r="B31" s="2">
        <f>IF(cubspline(3,A31,Data!$A$36:$A$56,Data!$B$36:$B$56)&lt;100,(cubspline(3,A31,Data!$A$36:$A$56,Data!$B$36:$B$56)),100)</f>
        <v>0</v>
      </c>
      <c r="C31" s="29">
        <f>B31</f>
        <v>0</v>
      </c>
      <c r="E31" s="6"/>
      <c r="F31" s="4">
        <f t="shared" si="2"/>
        <v>2.7100000000000013</v>
      </c>
      <c r="G31" s="4">
        <f>cubspline(3,F31,Data!$B$36:$B$56,Data!$A$36:$A$56)</f>
        <v>0</v>
      </c>
      <c r="H31" s="4">
        <f t="shared" si="3"/>
        <v>1E-10</v>
      </c>
      <c r="I31" s="4">
        <f t="shared" si="0"/>
        <v>2.7100000000000013</v>
      </c>
      <c r="J31" s="2">
        <f t="shared" si="1"/>
        <v>2.7100000000000013</v>
      </c>
    </row>
    <row r="32" spans="1:10" ht="13.8" thickBot="1" x14ac:dyDescent="0.3">
      <c r="A32" s="7">
        <v>19</v>
      </c>
      <c r="B32" s="8">
        <f>IF(cubspline(3,A32,Data!$A$36:$A$56,Data!$B$36:$B$56)&lt;100,(cubspline(3,A32,Data!$A$36:$A$56,Data!$B$36:$B$56)),100)</f>
        <v>0</v>
      </c>
      <c r="C32" s="8">
        <f>100-B32</f>
        <v>100</v>
      </c>
      <c r="D32" s="8"/>
      <c r="E32" s="9"/>
      <c r="F32" s="4">
        <f t="shared" si="2"/>
        <v>2.8100000000000014</v>
      </c>
      <c r="G32" s="4">
        <f>cubspline(3,F32,Data!$B$36:$B$56,Data!$A$36:$A$56)</f>
        <v>0</v>
      </c>
      <c r="H32" s="4">
        <f t="shared" si="3"/>
        <v>1E-10</v>
      </c>
      <c r="I32" s="4">
        <f t="shared" si="0"/>
        <v>2.8100000000000014</v>
      </c>
      <c r="J32" s="2">
        <f t="shared" si="1"/>
        <v>2.8100000000000014</v>
      </c>
    </row>
    <row r="33" spans="1:10" x14ac:dyDescent="0.25">
      <c r="F33" s="4">
        <f t="shared" si="2"/>
        <v>2.9100000000000015</v>
      </c>
      <c r="G33" s="4">
        <f>cubspline(3,F33,Data!$B$36:$B$56,Data!$A$36:$A$56)</f>
        <v>0</v>
      </c>
      <c r="H33" s="4">
        <f t="shared" si="3"/>
        <v>1E-10</v>
      </c>
      <c r="I33" s="4">
        <f t="shared" si="0"/>
        <v>2.9100000000000015</v>
      </c>
      <c r="J33" s="2">
        <f t="shared" si="1"/>
        <v>2.9100000000000015</v>
      </c>
    </row>
    <row r="34" spans="1:10" ht="13.8" thickBot="1" x14ac:dyDescent="0.3">
      <c r="F34" s="4">
        <f t="shared" si="2"/>
        <v>3.0100000000000016</v>
      </c>
      <c r="G34" s="4">
        <f>cubspline(3,F34,Data!$B$36:$B$56,Data!$A$36:$A$56)</f>
        <v>0</v>
      </c>
      <c r="H34" s="4">
        <f t="shared" si="3"/>
        <v>1E-10</v>
      </c>
      <c r="I34" s="4">
        <f t="shared" si="0"/>
        <v>3.0100000000000016</v>
      </c>
      <c r="J34" s="2">
        <f t="shared" si="1"/>
        <v>3.0100000000000016</v>
      </c>
    </row>
    <row r="35" spans="1:10" ht="13.8" thickBot="1" x14ac:dyDescent="0.3">
      <c r="A35" s="10" t="s">
        <v>22</v>
      </c>
      <c r="B35" s="28" t="s">
        <v>23</v>
      </c>
      <c r="F35" s="4">
        <f t="shared" si="2"/>
        <v>3.1100000000000017</v>
      </c>
      <c r="G35" s="4">
        <f>cubspline(3,F35,Data!$B$36:$B$56,Data!$A$36:$A$56)</f>
        <v>0</v>
      </c>
      <c r="H35" s="4">
        <f t="shared" si="3"/>
        <v>1E-10</v>
      </c>
      <c r="I35" s="4">
        <f t="shared" si="0"/>
        <v>3.1100000000000017</v>
      </c>
      <c r="J35" s="2">
        <f t="shared" si="1"/>
        <v>3.1100000000000017</v>
      </c>
    </row>
    <row r="36" spans="1:10" x14ac:dyDescent="0.25">
      <c r="A36" s="2">
        <v>0</v>
      </c>
      <c r="B36" s="2">
        <v>0</v>
      </c>
      <c r="C36" s="31"/>
      <c r="D36" s="33"/>
      <c r="E36" s="19"/>
      <c r="F36" s="4">
        <f t="shared" si="2"/>
        <v>3.2100000000000017</v>
      </c>
      <c r="G36" s="4">
        <f>cubspline(3,F36,Data!$B$36:$B$56,Data!$A$36:$A$56)</f>
        <v>0</v>
      </c>
      <c r="H36" s="4">
        <f t="shared" si="3"/>
        <v>1E-10</v>
      </c>
      <c r="I36" s="4">
        <f t="shared" si="0"/>
        <v>3.2100000000000017</v>
      </c>
      <c r="J36" s="2">
        <f t="shared" si="1"/>
        <v>3.2100000000000017</v>
      </c>
    </row>
    <row r="37" spans="1:10" x14ac:dyDescent="0.25">
      <c r="A37" s="11">
        <f>Input!K24</f>
        <v>0</v>
      </c>
      <c r="B37" s="4">
        <f>Input!L24</f>
        <v>0</v>
      </c>
      <c r="C37" s="32" t="str">
        <f>IF(A37=0,"na",A37)</f>
        <v>na</v>
      </c>
      <c r="E37" s="6"/>
      <c r="F37" s="4">
        <f t="shared" si="2"/>
        <v>3.3100000000000018</v>
      </c>
      <c r="G37" s="4">
        <f>cubspline(3,F37,Data!$B$36:$B$56,Data!$A$36:$A$56)</f>
        <v>0</v>
      </c>
      <c r="H37" s="4">
        <f t="shared" si="3"/>
        <v>1E-10</v>
      </c>
      <c r="I37" s="4">
        <f t="shared" si="0"/>
        <v>3.3100000000000018</v>
      </c>
      <c r="J37" s="2">
        <f t="shared" si="1"/>
        <v>3.3100000000000018</v>
      </c>
    </row>
    <row r="38" spans="1:10" x14ac:dyDescent="0.25">
      <c r="A38" s="11">
        <f>Input!K23</f>
        <v>0</v>
      </c>
      <c r="B38" s="4">
        <f>Input!L23</f>
        <v>0</v>
      </c>
      <c r="C38" s="32" t="str">
        <f t="shared" ref="C38:C56" si="4">IF(A38=0,"na",A38)</f>
        <v>na</v>
      </c>
      <c r="E38" s="6"/>
      <c r="F38" s="4">
        <f t="shared" si="2"/>
        <v>3.4100000000000019</v>
      </c>
      <c r="G38" s="4">
        <f>cubspline(3,F38,Data!$B$36:$B$56,Data!$A$36:$A$56)</f>
        <v>0</v>
      </c>
      <c r="H38" s="4">
        <f t="shared" si="3"/>
        <v>1E-10</v>
      </c>
      <c r="I38" s="4">
        <f t="shared" si="0"/>
        <v>3.4100000000000019</v>
      </c>
      <c r="J38" s="2">
        <f t="shared" si="1"/>
        <v>3.4100000000000019</v>
      </c>
    </row>
    <row r="39" spans="1:10" x14ac:dyDescent="0.25">
      <c r="A39" s="11">
        <f>Input!K22</f>
        <v>0</v>
      </c>
      <c r="B39" s="4">
        <f>Input!L22</f>
        <v>0</v>
      </c>
      <c r="C39" s="32" t="str">
        <f t="shared" si="4"/>
        <v>na</v>
      </c>
      <c r="E39" s="6"/>
      <c r="F39" s="4">
        <f t="shared" si="2"/>
        <v>3.510000000000002</v>
      </c>
      <c r="G39" s="4">
        <f>cubspline(3,F39,Data!$B$36:$B$56,Data!$A$36:$A$56)</f>
        <v>0</v>
      </c>
      <c r="H39" s="4">
        <f t="shared" si="3"/>
        <v>1E-10</v>
      </c>
      <c r="I39" s="4">
        <f t="shared" si="0"/>
        <v>3.510000000000002</v>
      </c>
      <c r="J39" s="2">
        <f t="shared" si="1"/>
        <v>3.510000000000002</v>
      </c>
    </row>
    <row r="40" spans="1:10" x14ac:dyDescent="0.25">
      <c r="A40" s="11">
        <f>Input!K21</f>
        <v>0</v>
      </c>
      <c r="B40" s="4">
        <f>Input!L21</f>
        <v>0</v>
      </c>
      <c r="C40" s="32" t="str">
        <f t="shared" si="4"/>
        <v>na</v>
      </c>
      <c r="E40" s="6"/>
      <c r="F40" s="4">
        <f t="shared" si="2"/>
        <v>3.6100000000000021</v>
      </c>
      <c r="G40" s="4">
        <f>cubspline(3,F40,Data!$B$36:$B$56,Data!$A$36:$A$56)</f>
        <v>0</v>
      </c>
      <c r="H40" s="4">
        <f t="shared" si="3"/>
        <v>1E-10</v>
      </c>
      <c r="I40" s="4">
        <f t="shared" si="0"/>
        <v>3.6100000000000021</v>
      </c>
      <c r="J40" s="2">
        <f t="shared" si="1"/>
        <v>3.6100000000000021</v>
      </c>
    </row>
    <row r="41" spans="1:10" x14ac:dyDescent="0.25">
      <c r="A41" s="11">
        <f>Input!K20</f>
        <v>0</v>
      </c>
      <c r="B41" s="4">
        <f>Input!L20</f>
        <v>0</v>
      </c>
      <c r="C41" s="32" t="str">
        <f t="shared" si="4"/>
        <v>na</v>
      </c>
      <c r="E41" s="6"/>
      <c r="F41" s="4">
        <f t="shared" si="2"/>
        <v>3.7100000000000022</v>
      </c>
      <c r="G41" s="4">
        <f>cubspline(3,F41,Data!$B$36:$B$56,Data!$A$36:$A$56)</f>
        <v>0</v>
      </c>
      <c r="H41" s="4">
        <f t="shared" si="3"/>
        <v>1E-10</v>
      </c>
      <c r="I41" s="4">
        <f t="shared" si="0"/>
        <v>3.7100000000000022</v>
      </c>
      <c r="J41" s="2">
        <f t="shared" si="1"/>
        <v>3.7100000000000022</v>
      </c>
    </row>
    <row r="42" spans="1:10" x14ac:dyDescent="0.25">
      <c r="A42" s="11">
        <f>Input!K19</f>
        <v>0</v>
      </c>
      <c r="B42" s="4">
        <f>Input!L19</f>
        <v>0</v>
      </c>
      <c r="C42" s="32" t="str">
        <f t="shared" si="4"/>
        <v>na</v>
      </c>
      <c r="E42" s="6"/>
      <c r="F42" s="4">
        <f t="shared" si="2"/>
        <v>3.8100000000000023</v>
      </c>
      <c r="G42" s="4">
        <f>cubspline(3,F42,Data!$B$36:$B$56,Data!$A$36:$A$56)</f>
        <v>0</v>
      </c>
      <c r="H42" s="4">
        <f t="shared" si="3"/>
        <v>1E-10</v>
      </c>
      <c r="I42" s="4">
        <f t="shared" si="0"/>
        <v>3.8100000000000023</v>
      </c>
      <c r="J42" s="2">
        <f t="shared" si="1"/>
        <v>3.8100000000000023</v>
      </c>
    </row>
    <row r="43" spans="1:10" x14ac:dyDescent="0.25">
      <c r="A43" s="11">
        <f>Input!K18</f>
        <v>0</v>
      </c>
      <c r="B43" s="4">
        <f>Input!L18</f>
        <v>0</v>
      </c>
      <c r="C43" s="32" t="str">
        <f t="shared" si="4"/>
        <v>na</v>
      </c>
      <c r="E43" s="6"/>
      <c r="F43" s="4">
        <f t="shared" si="2"/>
        <v>3.9100000000000024</v>
      </c>
      <c r="G43" s="4">
        <f>cubspline(3,F43,Data!$B$36:$B$56,Data!$A$36:$A$56)</f>
        <v>0</v>
      </c>
      <c r="H43" s="4">
        <f t="shared" si="3"/>
        <v>1E-10</v>
      </c>
      <c r="I43" s="4">
        <f t="shared" si="0"/>
        <v>3.9100000000000024</v>
      </c>
      <c r="J43" s="2">
        <f t="shared" si="1"/>
        <v>3.9100000000000024</v>
      </c>
    </row>
    <row r="44" spans="1:10" x14ac:dyDescent="0.25">
      <c r="A44" s="11">
        <f>Input!K17</f>
        <v>0</v>
      </c>
      <c r="B44" s="4">
        <f>Input!L17</f>
        <v>0</v>
      </c>
      <c r="C44" s="32" t="str">
        <f t="shared" si="4"/>
        <v>na</v>
      </c>
      <c r="D44" s="29">
        <f>MIN(C37:C56)</f>
        <v>0</v>
      </c>
      <c r="E44" s="40" t="s">
        <v>195</v>
      </c>
      <c r="F44" s="4">
        <f t="shared" si="2"/>
        <v>4.0100000000000025</v>
      </c>
      <c r="G44" s="4">
        <f>cubspline(3,F44,Data!$B$36:$B$56,Data!$A$36:$A$56)</f>
        <v>0</v>
      </c>
      <c r="H44" s="4">
        <f t="shared" si="3"/>
        <v>1E-10</v>
      </c>
      <c r="I44" s="4">
        <f t="shared" si="0"/>
        <v>4.0100000000000025</v>
      </c>
      <c r="J44" s="2">
        <f t="shared" si="1"/>
        <v>4.0100000000000025</v>
      </c>
    </row>
    <row r="45" spans="1:10" x14ac:dyDescent="0.25">
      <c r="A45" s="11">
        <f>Input!K16</f>
        <v>0</v>
      </c>
      <c r="B45" s="4">
        <f>Input!L16</f>
        <v>0</v>
      </c>
      <c r="C45" s="32" t="str">
        <f t="shared" si="4"/>
        <v>na</v>
      </c>
      <c r="D45" s="2" t="s">
        <v>3</v>
      </c>
      <c r="E45" s="6"/>
      <c r="F45" s="4">
        <f t="shared" si="2"/>
        <v>4.1100000000000021</v>
      </c>
      <c r="G45" s="4">
        <f>cubspline(3,F45,Data!$B$36:$B$56,Data!$A$36:$A$56)</f>
        <v>0</v>
      </c>
      <c r="H45" s="4">
        <f t="shared" si="3"/>
        <v>1E-10</v>
      </c>
      <c r="I45" s="4">
        <f t="shared" si="0"/>
        <v>4.1100000000000021</v>
      </c>
      <c r="J45" s="2">
        <f t="shared" si="1"/>
        <v>4.1100000000000021</v>
      </c>
    </row>
    <row r="46" spans="1:10" x14ac:dyDescent="0.25">
      <c r="A46" s="11">
        <f>Input!K15</f>
        <v>0</v>
      </c>
      <c r="B46" s="4">
        <f>Input!L15</f>
        <v>0</v>
      </c>
      <c r="C46" s="32" t="str">
        <f t="shared" si="4"/>
        <v>na</v>
      </c>
      <c r="E46" s="6"/>
      <c r="F46" s="4">
        <f t="shared" si="2"/>
        <v>4.2100000000000017</v>
      </c>
      <c r="G46" s="4">
        <f>cubspline(3,F46,Data!$B$36:$B$56,Data!$A$36:$A$56)</f>
        <v>0</v>
      </c>
      <c r="H46" s="4">
        <f t="shared" si="3"/>
        <v>1E-10</v>
      </c>
      <c r="I46" s="4">
        <f t="shared" si="0"/>
        <v>4.2100000000000017</v>
      </c>
      <c r="J46" s="2">
        <f t="shared" si="1"/>
        <v>4.2100000000000017</v>
      </c>
    </row>
    <row r="47" spans="1:10" x14ac:dyDescent="0.25">
      <c r="A47" s="11">
        <f>Input!K14</f>
        <v>0</v>
      </c>
      <c r="B47" s="4">
        <f>Input!L14</f>
        <v>0</v>
      </c>
      <c r="C47" s="32" t="str">
        <f t="shared" si="4"/>
        <v>na</v>
      </c>
      <c r="D47" s="29">
        <f>IF(cubspline(3,D44,Data!$A$36:$A$56,Data!$B$36:$B$56)&lt;100,(cubspline(3,D44,Data!$A$36:$A$56,Data!$B$36:$B$56)),100)</f>
        <v>0</v>
      </c>
      <c r="E47" s="40" t="s">
        <v>194</v>
      </c>
      <c r="F47" s="4">
        <f t="shared" si="2"/>
        <v>4.3100000000000014</v>
      </c>
      <c r="G47" s="4">
        <f>cubspline(3,F47,Data!$B$36:$B$56,Data!$A$36:$A$56)</f>
        <v>0</v>
      </c>
      <c r="H47" s="4">
        <f t="shared" si="3"/>
        <v>1E-10</v>
      </c>
      <c r="I47" s="4">
        <f t="shared" si="0"/>
        <v>4.3100000000000014</v>
      </c>
      <c r="J47" s="2">
        <f t="shared" si="1"/>
        <v>4.3100000000000014</v>
      </c>
    </row>
    <row r="48" spans="1:10" x14ac:dyDescent="0.25">
      <c r="A48" s="11">
        <f>Input!K13</f>
        <v>0</v>
      </c>
      <c r="B48" s="4">
        <f>Input!L13</f>
        <v>0</v>
      </c>
      <c r="C48" s="32" t="str">
        <f t="shared" si="4"/>
        <v>na</v>
      </c>
      <c r="E48" s="6"/>
      <c r="F48" s="4">
        <f t="shared" si="2"/>
        <v>4.410000000000001</v>
      </c>
      <c r="G48" s="4">
        <f>cubspline(3,F48,Data!$B$36:$B$56,Data!$A$36:$A$56)</f>
        <v>0</v>
      </c>
      <c r="H48" s="4">
        <f t="shared" si="3"/>
        <v>1E-10</v>
      </c>
      <c r="I48" s="4">
        <f t="shared" si="0"/>
        <v>4.410000000000001</v>
      </c>
      <c r="J48" s="2">
        <f t="shared" si="1"/>
        <v>4.410000000000001</v>
      </c>
    </row>
    <row r="49" spans="1:10" x14ac:dyDescent="0.25">
      <c r="A49" s="11">
        <f>Input!K12</f>
        <v>0</v>
      </c>
      <c r="B49" s="4">
        <f>Input!L12</f>
        <v>0</v>
      </c>
      <c r="C49" s="32" t="str">
        <f t="shared" si="4"/>
        <v>na</v>
      </c>
      <c r="E49" s="6"/>
      <c r="F49" s="4">
        <f t="shared" si="2"/>
        <v>4.5100000000000007</v>
      </c>
      <c r="G49" s="4">
        <f>cubspline(3,F49,Data!$B$36:$B$56,Data!$A$36:$A$56)</f>
        <v>0</v>
      </c>
      <c r="H49" s="4">
        <f t="shared" si="3"/>
        <v>1E-10</v>
      </c>
      <c r="I49" s="4">
        <f t="shared" si="0"/>
        <v>4.5100000000000007</v>
      </c>
      <c r="J49" s="2">
        <f t="shared" si="1"/>
        <v>4.5100000000000007</v>
      </c>
    </row>
    <row r="50" spans="1:10" x14ac:dyDescent="0.25">
      <c r="A50" s="11">
        <f>Input!K11</f>
        <v>0</v>
      </c>
      <c r="B50" s="4">
        <f>Input!L11</f>
        <v>0</v>
      </c>
      <c r="C50" s="32" t="str">
        <f t="shared" si="4"/>
        <v>na</v>
      </c>
      <c r="E50" s="6" t="s">
        <v>3</v>
      </c>
      <c r="F50" s="4">
        <f t="shared" si="2"/>
        <v>4.6100000000000003</v>
      </c>
      <c r="G50" s="4">
        <f>cubspline(3,F50,Data!$B$36:$B$56,Data!$A$36:$A$56)</f>
        <v>0</v>
      </c>
      <c r="H50" s="4">
        <f t="shared" si="3"/>
        <v>1E-10</v>
      </c>
      <c r="I50" s="4">
        <f t="shared" si="0"/>
        <v>4.6100000000000003</v>
      </c>
      <c r="J50" s="2">
        <f t="shared" si="1"/>
        <v>4.6100000000000003</v>
      </c>
    </row>
    <row r="51" spans="1:10" x14ac:dyDescent="0.25">
      <c r="A51" s="11">
        <f>Input!K10</f>
        <v>0</v>
      </c>
      <c r="B51" s="4">
        <f>Input!L10</f>
        <v>0</v>
      </c>
      <c r="C51" s="32" t="str">
        <f t="shared" si="4"/>
        <v>na</v>
      </c>
      <c r="E51" s="6"/>
      <c r="F51" s="4">
        <f t="shared" si="2"/>
        <v>4.71</v>
      </c>
      <c r="G51" s="4">
        <f>cubspline(3,F51,Data!$B$36:$B$56,Data!$A$36:$A$56)</f>
        <v>0</v>
      </c>
      <c r="H51" s="4">
        <f t="shared" si="3"/>
        <v>1E-10</v>
      </c>
      <c r="I51" s="4">
        <f t="shared" si="0"/>
        <v>4.71</v>
      </c>
      <c r="J51" s="2">
        <f t="shared" si="1"/>
        <v>4.71</v>
      </c>
    </row>
    <row r="52" spans="1:10" x14ac:dyDescent="0.25">
      <c r="A52" s="11">
        <f>Input!K9</f>
        <v>0</v>
      </c>
      <c r="B52" s="4">
        <f>Input!L9</f>
        <v>0</v>
      </c>
      <c r="C52" s="32" t="str">
        <f t="shared" si="4"/>
        <v>na</v>
      </c>
      <c r="E52" s="6"/>
      <c r="F52" s="4">
        <f t="shared" si="2"/>
        <v>4.8099999999999996</v>
      </c>
      <c r="G52" s="4">
        <f>cubspline(3,F52,Data!$B$36:$B$56,Data!$A$36:$A$56)</f>
        <v>0</v>
      </c>
      <c r="H52" s="4">
        <f t="shared" si="3"/>
        <v>1E-10</v>
      </c>
      <c r="I52" s="4">
        <f t="shared" si="0"/>
        <v>4.8099999999999996</v>
      </c>
      <c r="J52" s="2">
        <f t="shared" si="1"/>
        <v>4.8099999999999996</v>
      </c>
    </row>
    <row r="53" spans="1:10" x14ac:dyDescent="0.25">
      <c r="A53" s="11">
        <f>Input!K8</f>
        <v>0</v>
      </c>
      <c r="B53" s="4">
        <f>Input!L8</f>
        <v>0</v>
      </c>
      <c r="C53" s="32" t="str">
        <f t="shared" si="4"/>
        <v>na</v>
      </c>
      <c r="E53" s="6"/>
      <c r="F53" s="4">
        <f t="shared" si="2"/>
        <v>4.9099999999999993</v>
      </c>
      <c r="G53" s="4">
        <f>cubspline(3,F53,Data!$B$36:$B$56,Data!$A$36:$A$56)</f>
        <v>0</v>
      </c>
      <c r="H53" s="4">
        <f t="shared" si="3"/>
        <v>1E-10</v>
      </c>
      <c r="I53" s="4">
        <f t="shared" si="0"/>
        <v>4.9099999999999993</v>
      </c>
      <c r="J53" s="2">
        <f t="shared" si="1"/>
        <v>4.9099999999999993</v>
      </c>
    </row>
    <row r="54" spans="1:10" x14ac:dyDescent="0.25">
      <c r="A54" s="11">
        <f>Input!K7</f>
        <v>0</v>
      </c>
      <c r="B54" s="4">
        <f>Input!L7</f>
        <v>0</v>
      </c>
      <c r="C54" s="32" t="str">
        <f t="shared" si="4"/>
        <v>na</v>
      </c>
      <c r="E54" s="6"/>
      <c r="F54" s="4">
        <f t="shared" si="2"/>
        <v>5.0099999999999989</v>
      </c>
      <c r="G54" s="4">
        <f>cubspline(3,F54,Data!$B$36:$B$56,Data!$A$36:$A$56)</f>
        <v>0</v>
      </c>
      <c r="H54" s="4">
        <f t="shared" si="3"/>
        <v>1E-10</v>
      </c>
      <c r="I54" s="4">
        <f t="shared" si="0"/>
        <v>5.0099999999999989</v>
      </c>
      <c r="J54" s="2">
        <f t="shared" si="1"/>
        <v>5.0099999999999989</v>
      </c>
    </row>
    <row r="55" spans="1:10" x14ac:dyDescent="0.25">
      <c r="A55" s="11">
        <f>Input!K6</f>
        <v>0</v>
      </c>
      <c r="B55" s="4">
        <f>Input!L6</f>
        <v>0</v>
      </c>
      <c r="C55" s="32" t="str">
        <f t="shared" si="4"/>
        <v>na</v>
      </c>
      <c r="E55" s="6"/>
      <c r="F55" s="4">
        <f t="shared" si="2"/>
        <v>5.1099999999999985</v>
      </c>
      <c r="G55" s="4">
        <f>cubspline(3,F55,Data!$B$36:$B$56,Data!$A$36:$A$56)</f>
        <v>0</v>
      </c>
      <c r="H55" s="4">
        <f t="shared" si="3"/>
        <v>1E-10</v>
      </c>
      <c r="I55" s="4">
        <f t="shared" si="0"/>
        <v>5.1099999999999985</v>
      </c>
      <c r="J55" s="2">
        <f t="shared" si="1"/>
        <v>5.1099999999999985</v>
      </c>
    </row>
    <row r="56" spans="1:10" ht="13.8" thickBot="1" x14ac:dyDescent="0.3">
      <c r="A56" s="12">
        <f>Input!K5</f>
        <v>0</v>
      </c>
      <c r="B56" s="30">
        <f>Input!L5</f>
        <v>0</v>
      </c>
      <c r="C56" s="32" t="str">
        <f t="shared" si="4"/>
        <v>na</v>
      </c>
      <c r="E56" s="6"/>
      <c r="F56" s="4">
        <f t="shared" si="2"/>
        <v>5.2099999999999982</v>
      </c>
      <c r="G56" s="4">
        <f>cubspline(3,F56,Data!$B$36:$B$56,Data!$A$36:$A$56)</f>
        <v>0</v>
      </c>
      <c r="H56" s="4">
        <f t="shared" si="3"/>
        <v>1E-10</v>
      </c>
      <c r="I56" s="4">
        <f t="shared" si="0"/>
        <v>5.2099999999999982</v>
      </c>
      <c r="J56" s="2">
        <f t="shared" si="1"/>
        <v>5.2099999999999982</v>
      </c>
    </row>
    <row r="57" spans="1:10" x14ac:dyDescent="0.25">
      <c r="C57" s="5"/>
      <c r="E57" s="6"/>
      <c r="F57" s="4">
        <f t="shared" si="2"/>
        <v>5.3099999999999978</v>
      </c>
      <c r="G57" s="4">
        <f>cubspline(3,F57,Data!$B$36:$B$56,Data!$A$36:$A$56)</f>
        <v>0</v>
      </c>
      <c r="H57" s="4">
        <f t="shared" si="3"/>
        <v>1E-10</v>
      </c>
      <c r="I57" s="4">
        <f t="shared" si="0"/>
        <v>5.3099999999999978</v>
      </c>
      <c r="J57" s="2">
        <f t="shared" si="1"/>
        <v>5.3099999999999978</v>
      </c>
    </row>
    <row r="58" spans="1:10" x14ac:dyDescent="0.25">
      <c r="C58" s="5" t="s">
        <v>184</v>
      </c>
      <c r="E58" s="6"/>
      <c r="F58" s="4">
        <f t="shared" si="2"/>
        <v>5.4099999999999975</v>
      </c>
      <c r="G58" s="4">
        <f>cubspline(3,F58,Data!$B$36:$B$56,Data!$A$36:$A$56)</f>
        <v>0</v>
      </c>
      <c r="H58" s="4">
        <f t="shared" si="3"/>
        <v>1E-10</v>
      </c>
      <c r="I58" s="4">
        <f t="shared" si="0"/>
        <v>5.4099999999999975</v>
      </c>
      <c r="J58" s="2">
        <f t="shared" si="1"/>
        <v>5.4099999999999975</v>
      </c>
    </row>
    <row r="59" spans="1:10" ht="13.8" thickBot="1" x14ac:dyDescent="0.3">
      <c r="C59" s="7" t="s">
        <v>185</v>
      </c>
      <c r="D59" s="8"/>
      <c r="E59" s="9"/>
      <c r="F59" s="4">
        <f t="shared" si="2"/>
        <v>5.5099999999999971</v>
      </c>
      <c r="G59" s="4">
        <f>cubspline(3,F59,Data!$B$36:$B$56,Data!$A$36:$A$56)</f>
        <v>0</v>
      </c>
      <c r="H59" s="4">
        <f t="shared" si="3"/>
        <v>1E-10</v>
      </c>
      <c r="I59" s="4">
        <f t="shared" si="0"/>
        <v>5.5099999999999971</v>
      </c>
      <c r="J59" s="2">
        <f t="shared" si="1"/>
        <v>5.5099999999999971</v>
      </c>
    </row>
    <row r="60" spans="1:10" x14ac:dyDescent="0.25">
      <c r="F60" s="4">
        <f t="shared" si="2"/>
        <v>5.6099999999999968</v>
      </c>
      <c r="G60" s="4">
        <f>cubspline(3,F60,Data!$B$36:$B$56,Data!$A$36:$A$56)</f>
        <v>0</v>
      </c>
      <c r="H60" s="4">
        <f t="shared" si="3"/>
        <v>1E-10</v>
      </c>
      <c r="I60" s="4">
        <f t="shared" si="0"/>
        <v>5.6099999999999968</v>
      </c>
      <c r="J60" s="2">
        <f t="shared" si="1"/>
        <v>5.6099999999999968</v>
      </c>
    </row>
    <row r="61" spans="1:10" ht="13.8" thickBot="1" x14ac:dyDescent="0.3">
      <c r="F61" s="4">
        <f t="shared" si="2"/>
        <v>5.7099999999999964</v>
      </c>
      <c r="G61" s="4">
        <f>cubspline(3,F61,Data!$B$36:$B$56,Data!$A$36:$A$56)</f>
        <v>0</v>
      </c>
      <c r="H61" s="4">
        <f t="shared" si="3"/>
        <v>1E-10</v>
      </c>
      <c r="I61" s="4">
        <f t="shared" si="0"/>
        <v>5.7099999999999964</v>
      </c>
      <c r="J61" s="2">
        <f t="shared" si="1"/>
        <v>5.7099999999999964</v>
      </c>
    </row>
    <row r="62" spans="1:10" x14ac:dyDescent="0.25">
      <c r="A62" s="125" t="s">
        <v>13</v>
      </c>
      <c r="B62" s="126"/>
      <c r="C62" s="127"/>
      <c r="F62" s="4">
        <f t="shared" si="2"/>
        <v>5.8099999999999961</v>
      </c>
      <c r="G62" s="4">
        <f>cubspline(3,F62,Data!$B$36:$B$56,Data!$A$36:$A$56)</f>
        <v>0</v>
      </c>
      <c r="H62" s="4">
        <f t="shared" si="3"/>
        <v>1E-10</v>
      </c>
      <c r="I62" s="4">
        <f t="shared" si="0"/>
        <v>5.8099999999999961</v>
      </c>
      <c r="J62" s="2">
        <f t="shared" si="1"/>
        <v>5.8099999999999961</v>
      </c>
    </row>
    <row r="63" spans="1:10" x14ac:dyDescent="0.25">
      <c r="A63" s="5">
        <v>75</v>
      </c>
      <c r="B63" s="2">
        <v>1.0000000000000001E-5</v>
      </c>
      <c r="C63" s="6"/>
      <c r="F63" s="4">
        <f t="shared" si="2"/>
        <v>5.9099999999999957</v>
      </c>
      <c r="G63" s="4">
        <f>cubspline(3,F63,Data!$B$36:$B$56,Data!$A$36:$A$56)</f>
        <v>0</v>
      </c>
      <c r="H63" s="4">
        <f t="shared" si="3"/>
        <v>1E-10</v>
      </c>
      <c r="I63" s="4">
        <f t="shared" si="0"/>
        <v>5.9099999999999957</v>
      </c>
      <c r="J63" s="2">
        <f t="shared" si="1"/>
        <v>5.9099999999999957</v>
      </c>
    </row>
    <row r="64" spans="1:10" x14ac:dyDescent="0.25">
      <c r="A64" s="5">
        <v>75</v>
      </c>
      <c r="B64" s="2">
        <v>100</v>
      </c>
      <c r="C64" s="6"/>
      <c r="F64" s="4">
        <f t="shared" si="2"/>
        <v>6.0099999999999953</v>
      </c>
      <c r="G64" s="4">
        <f>cubspline(3,F64,Data!$B$36:$B$56,Data!$A$36:$A$56)</f>
        <v>0</v>
      </c>
      <c r="H64" s="4">
        <f t="shared" si="3"/>
        <v>1E-10</v>
      </c>
      <c r="I64" s="4">
        <f t="shared" si="0"/>
        <v>6.0099999999999953</v>
      </c>
      <c r="J64" s="2">
        <f t="shared" si="1"/>
        <v>6.0099999999999953</v>
      </c>
    </row>
    <row r="65" spans="1:10" x14ac:dyDescent="0.25">
      <c r="A65" s="5"/>
      <c r="C65" s="6"/>
      <c r="F65" s="4">
        <f t="shared" si="2"/>
        <v>6.109999999999995</v>
      </c>
      <c r="G65" s="4">
        <f>cubspline(3,F65,Data!$B$36:$B$56,Data!$A$36:$A$56)</f>
        <v>0</v>
      </c>
      <c r="H65" s="4">
        <f t="shared" si="3"/>
        <v>1E-10</v>
      </c>
      <c r="I65" s="4">
        <f t="shared" si="0"/>
        <v>6.109999999999995</v>
      </c>
      <c r="J65" s="2">
        <f t="shared" si="1"/>
        <v>6.109999999999995</v>
      </c>
    </row>
    <row r="66" spans="1:10" x14ac:dyDescent="0.25">
      <c r="A66" s="5">
        <v>4.75</v>
      </c>
      <c r="B66" s="2">
        <v>9.9999999999999995E-7</v>
      </c>
      <c r="C66" s="6"/>
      <c r="F66" s="4">
        <f t="shared" si="2"/>
        <v>6.2099999999999946</v>
      </c>
      <c r="G66" s="4">
        <f>cubspline(3,F66,Data!$B$36:$B$56,Data!$A$36:$A$56)</f>
        <v>0</v>
      </c>
      <c r="H66" s="4">
        <f t="shared" si="3"/>
        <v>1E-10</v>
      </c>
      <c r="I66" s="4">
        <f t="shared" si="0"/>
        <v>6.2099999999999946</v>
      </c>
      <c r="J66" s="2">
        <f t="shared" si="1"/>
        <v>6.2099999999999946</v>
      </c>
    </row>
    <row r="67" spans="1:10" x14ac:dyDescent="0.25">
      <c r="A67" s="5">
        <v>4.75</v>
      </c>
      <c r="B67" s="2">
        <v>100</v>
      </c>
      <c r="C67" s="6"/>
      <c r="F67" s="4">
        <f t="shared" si="2"/>
        <v>6.3099999999999943</v>
      </c>
      <c r="G67" s="4">
        <f>cubspline(3,F67,Data!$B$36:$B$56,Data!$A$36:$A$56)</f>
        <v>0</v>
      </c>
      <c r="H67" s="4">
        <f t="shared" si="3"/>
        <v>1E-10</v>
      </c>
      <c r="I67" s="4">
        <f t="shared" si="0"/>
        <v>6.3099999999999943</v>
      </c>
      <c r="J67" s="2">
        <f t="shared" si="1"/>
        <v>6.3099999999999943</v>
      </c>
    </row>
    <row r="68" spans="1:10" x14ac:dyDescent="0.25">
      <c r="A68" s="5"/>
      <c r="C68" s="6"/>
      <c r="F68" s="4">
        <f t="shared" si="2"/>
        <v>6.4099999999999939</v>
      </c>
      <c r="G68" s="4">
        <f>cubspline(3,F68,Data!$B$36:$B$56,Data!$A$36:$A$56)</f>
        <v>0</v>
      </c>
      <c r="H68" s="4">
        <f t="shared" si="3"/>
        <v>1E-10</v>
      </c>
      <c r="I68" s="4">
        <f t="shared" si="0"/>
        <v>6.4099999999999939</v>
      </c>
      <c r="J68" s="2">
        <f t="shared" si="1"/>
        <v>6.4099999999999939</v>
      </c>
    </row>
    <row r="69" spans="1:10" x14ac:dyDescent="0.25">
      <c r="A69" s="5">
        <v>7.4999999999999997E-2</v>
      </c>
      <c r="B69" s="2">
        <v>9.9999999999999995E-7</v>
      </c>
      <c r="C69" s="6"/>
      <c r="F69" s="4">
        <f t="shared" si="2"/>
        <v>6.5099999999999936</v>
      </c>
      <c r="G69" s="4">
        <f>cubspline(3,F69,Data!$B$36:$B$56,Data!$A$36:$A$56)</f>
        <v>0</v>
      </c>
      <c r="H69" s="4">
        <f t="shared" si="3"/>
        <v>1E-10</v>
      </c>
      <c r="I69" s="4">
        <f t="shared" ref="I69:I132" si="5">IF(F69&gt;$D$47,F69,NA())</f>
        <v>6.5099999999999936</v>
      </c>
      <c r="J69" s="2">
        <f t="shared" ref="J69:J132" si="6">IF(F69&gt;=$D$47,F69,($D$47-(0.3*($D$47-F69))))</f>
        <v>6.5099999999999936</v>
      </c>
    </row>
    <row r="70" spans="1:10" ht="13.8" thickBot="1" x14ac:dyDescent="0.3">
      <c r="A70" s="7">
        <v>7.4999999999999997E-2</v>
      </c>
      <c r="B70" s="8">
        <v>100</v>
      </c>
      <c r="C70" s="9"/>
      <c r="F70" s="4">
        <f t="shared" ref="F70:F133" si="7">F69+0.1</f>
        <v>6.6099999999999932</v>
      </c>
      <c r="G70" s="4">
        <f>cubspline(3,F70,Data!$B$36:$B$56,Data!$A$36:$A$56)</f>
        <v>0</v>
      </c>
      <c r="H70" s="4">
        <f t="shared" ref="H70:H133" si="8">IF(G70&lt;=0,0.0000000001,G70)</f>
        <v>1E-10</v>
      </c>
      <c r="I70" s="4">
        <f t="shared" si="5"/>
        <v>6.6099999999999932</v>
      </c>
      <c r="J70" s="2">
        <f t="shared" si="6"/>
        <v>6.6099999999999932</v>
      </c>
    </row>
    <row r="71" spans="1:10" x14ac:dyDescent="0.25">
      <c r="F71" s="4">
        <f t="shared" si="7"/>
        <v>6.7099999999999929</v>
      </c>
      <c r="G71" s="4">
        <f>cubspline(3,F71,Data!$B$36:$B$56,Data!$A$36:$A$56)</f>
        <v>0</v>
      </c>
      <c r="H71" s="4">
        <f t="shared" si="8"/>
        <v>1E-10</v>
      </c>
      <c r="I71" s="4">
        <f t="shared" si="5"/>
        <v>6.7099999999999929</v>
      </c>
      <c r="J71" s="2">
        <f t="shared" si="6"/>
        <v>6.7099999999999929</v>
      </c>
    </row>
    <row r="72" spans="1:10" x14ac:dyDescent="0.25">
      <c r="F72" s="4">
        <f t="shared" si="7"/>
        <v>6.8099999999999925</v>
      </c>
      <c r="G72" s="4">
        <f>cubspline(3,F72,Data!$B$36:$B$56,Data!$A$36:$A$56)</f>
        <v>0</v>
      </c>
      <c r="H72" s="4">
        <f t="shared" si="8"/>
        <v>1E-10</v>
      </c>
      <c r="I72" s="4">
        <f t="shared" si="5"/>
        <v>6.8099999999999925</v>
      </c>
      <c r="J72" s="2">
        <f t="shared" si="6"/>
        <v>6.8099999999999925</v>
      </c>
    </row>
    <row r="73" spans="1:10" x14ac:dyDescent="0.25">
      <c r="F73" s="4">
        <f t="shared" si="7"/>
        <v>6.9099999999999921</v>
      </c>
      <c r="G73" s="4">
        <f>cubspline(3,F73,Data!$B$36:$B$56,Data!$A$36:$A$56)</f>
        <v>0</v>
      </c>
      <c r="H73" s="4">
        <f t="shared" si="8"/>
        <v>1E-10</v>
      </c>
      <c r="I73" s="4">
        <f t="shared" si="5"/>
        <v>6.9099999999999921</v>
      </c>
      <c r="J73" s="2">
        <f t="shared" si="6"/>
        <v>6.9099999999999921</v>
      </c>
    </row>
    <row r="74" spans="1:10" x14ac:dyDescent="0.25">
      <c r="F74" s="4">
        <f t="shared" si="7"/>
        <v>7.0099999999999918</v>
      </c>
      <c r="G74" s="4">
        <f>cubspline(3,F74,Data!$B$36:$B$56,Data!$A$36:$A$56)</f>
        <v>0</v>
      </c>
      <c r="H74" s="4">
        <f t="shared" si="8"/>
        <v>1E-10</v>
      </c>
      <c r="I74" s="4">
        <f t="shared" si="5"/>
        <v>7.0099999999999918</v>
      </c>
      <c r="J74" s="2">
        <f t="shared" si="6"/>
        <v>7.0099999999999918</v>
      </c>
    </row>
    <row r="75" spans="1:10" x14ac:dyDescent="0.25">
      <c r="F75" s="4">
        <f t="shared" si="7"/>
        <v>7.1099999999999914</v>
      </c>
      <c r="G75" s="4">
        <f>cubspline(3,F75,Data!$B$36:$B$56,Data!$A$36:$A$56)</f>
        <v>0</v>
      </c>
      <c r="H75" s="4">
        <f t="shared" si="8"/>
        <v>1E-10</v>
      </c>
      <c r="I75" s="4">
        <f t="shared" si="5"/>
        <v>7.1099999999999914</v>
      </c>
      <c r="J75" s="2">
        <f t="shared" si="6"/>
        <v>7.1099999999999914</v>
      </c>
    </row>
    <row r="76" spans="1:10" x14ac:dyDescent="0.25">
      <c r="F76" s="4">
        <f t="shared" si="7"/>
        <v>7.2099999999999911</v>
      </c>
      <c r="G76" s="4">
        <f>cubspline(3,F76,Data!$B$36:$B$56,Data!$A$36:$A$56)</f>
        <v>0</v>
      </c>
      <c r="H76" s="4">
        <f t="shared" si="8"/>
        <v>1E-10</v>
      </c>
      <c r="I76" s="4">
        <f t="shared" si="5"/>
        <v>7.2099999999999911</v>
      </c>
      <c r="J76" s="2">
        <f t="shared" si="6"/>
        <v>7.2099999999999911</v>
      </c>
    </row>
    <row r="77" spans="1:10" x14ac:dyDescent="0.25">
      <c r="F77" s="4">
        <f t="shared" si="7"/>
        <v>7.3099999999999907</v>
      </c>
      <c r="G77" s="4">
        <f>cubspline(3,F77,Data!$B$36:$B$56,Data!$A$36:$A$56)</f>
        <v>0</v>
      </c>
      <c r="H77" s="4">
        <f t="shared" si="8"/>
        <v>1E-10</v>
      </c>
      <c r="I77" s="4">
        <f t="shared" si="5"/>
        <v>7.3099999999999907</v>
      </c>
      <c r="J77" s="2">
        <f t="shared" si="6"/>
        <v>7.3099999999999907</v>
      </c>
    </row>
    <row r="78" spans="1:10" x14ac:dyDescent="0.25">
      <c r="F78" s="4">
        <f t="shared" si="7"/>
        <v>7.4099999999999904</v>
      </c>
      <c r="G78" s="4">
        <f>cubspline(3,F78,Data!$B$36:$B$56,Data!$A$36:$A$56)</f>
        <v>0</v>
      </c>
      <c r="H78" s="4">
        <f t="shared" si="8"/>
        <v>1E-10</v>
      </c>
      <c r="I78" s="4">
        <f t="shared" si="5"/>
        <v>7.4099999999999904</v>
      </c>
      <c r="J78" s="2">
        <f t="shared" si="6"/>
        <v>7.4099999999999904</v>
      </c>
    </row>
    <row r="79" spans="1:10" x14ac:dyDescent="0.25">
      <c r="F79" s="4">
        <f t="shared" si="7"/>
        <v>7.50999999999999</v>
      </c>
      <c r="G79" s="4">
        <f>cubspline(3,F79,Data!$B$36:$B$56,Data!$A$36:$A$56)</f>
        <v>0</v>
      </c>
      <c r="H79" s="4">
        <f t="shared" si="8"/>
        <v>1E-10</v>
      </c>
      <c r="I79" s="4">
        <f t="shared" si="5"/>
        <v>7.50999999999999</v>
      </c>
      <c r="J79" s="2">
        <f t="shared" si="6"/>
        <v>7.50999999999999</v>
      </c>
    </row>
    <row r="80" spans="1:10" x14ac:dyDescent="0.25">
      <c r="F80" s="4">
        <f t="shared" si="7"/>
        <v>7.6099999999999897</v>
      </c>
      <c r="G80" s="4">
        <f>cubspline(3,F80,Data!$B$36:$B$56,Data!$A$36:$A$56)</f>
        <v>0</v>
      </c>
      <c r="H80" s="4">
        <f t="shared" si="8"/>
        <v>1E-10</v>
      </c>
      <c r="I80" s="4">
        <f t="shared" si="5"/>
        <v>7.6099999999999897</v>
      </c>
      <c r="J80" s="2">
        <f t="shared" si="6"/>
        <v>7.6099999999999897</v>
      </c>
    </row>
    <row r="81" spans="6:10" x14ac:dyDescent="0.25">
      <c r="F81" s="4">
        <f t="shared" si="7"/>
        <v>7.7099999999999893</v>
      </c>
      <c r="G81" s="4">
        <f>cubspline(3,F81,Data!$B$36:$B$56,Data!$A$36:$A$56)</f>
        <v>0</v>
      </c>
      <c r="H81" s="4">
        <f t="shared" si="8"/>
        <v>1E-10</v>
      </c>
      <c r="I81" s="4">
        <f t="shared" si="5"/>
        <v>7.7099999999999893</v>
      </c>
      <c r="J81" s="2">
        <f t="shared" si="6"/>
        <v>7.7099999999999893</v>
      </c>
    </row>
    <row r="82" spans="6:10" x14ac:dyDescent="0.25">
      <c r="F82" s="4">
        <f t="shared" si="7"/>
        <v>7.809999999999989</v>
      </c>
      <c r="G82" s="4">
        <f>cubspline(3,F82,Data!$B$36:$B$56,Data!$A$36:$A$56)</f>
        <v>0</v>
      </c>
      <c r="H82" s="4">
        <f t="shared" si="8"/>
        <v>1E-10</v>
      </c>
      <c r="I82" s="4">
        <f t="shared" si="5"/>
        <v>7.809999999999989</v>
      </c>
      <c r="J82" s="2">
        <f t="shared" si="6"/>
        <v>7.809999999999989</v>
      </c>
    </row>
    <row r="83" spans="6:10" x14ac:dyDescent="0.25">
      <c r="F83" s="4">
        <f t="shared" si="7"/>
        <v>7.9099999999999886</v>
      </c>
      <c r="G83" s="4">
        <f>cubspline(3,F83,Data!$B$36:$B$56,Data!$A$36:$A$56)</f>
        <v>0</v>
      </c>
      <c r="H83" s="4">
        <f t="shared" si="8"/>
        <v>1E-10</v>
      </c>
      <c r="I83" s="4">
        <f t="shared" si="5"/>
        <v>7.9099999999999886</v>
      </c>
      <c r="J83" s="2">
        <f t="shared" si="6"/>
        <v>7.9099999999999886</v>
      </c>
    </row>
    <row r="84" spans="6:10" x14ac:dyDescent="0.25">
      <c r="F84" s="4">
        <f t="shared" si="7"/>
        <v>8.0099999999999891</v>
      </c>
      <c r="G84" s="4">
        <f>cubspline(3,F84,Data!$B$36:$B$56,Data!$A$36:$A$56)</f>
        <v>0</v>
      </c>
      <c r="H84" s="4">
        <f t="shared" si="8"/>
        <v>1E-10</v>
      </c>
      <c r="I84" s="4">
        <f t="shared" si="5"/>
        <v>8.0099999999999891</v>
      </c>
      <c r="J84" s="2">
        <f t="shared" si="6"/>
        <v>8.0099999999999891</v>
      </c>
    </row>
    <row r="85" spans="6:10" x14ac:dyDescent="0.25">
      <c r="F85" s="4">
        <f t="shared" si="7"/>
        <v>8.1099999999999888</v>
      </c>
      <c r="G85" s="4">
        <f>cubspline(3,F85,Data!$B$36:$B$56,Data!$A$36:$A$56)</f>
        <v>0</v>
      </c>
      <c r="H85" s="4">
        <f t="shared" si="8"/>
        <v>1E-10</v>
      </c>
      <c r="I85" s="4">
        <f t="shared" si="5"/>
        <v>8.1099999999999888</v>
      </c>
      <c r="J85" s="2">
        <f t="shared" si="6"/>
        <v>8.1099999999999888</v>
      </c>
    </row>
    <row r="86" spans="6:10" x14ac:dyDescent="0.25">
      <c r="F86" s="4">
        <f t="shared" si="7"/>
        <v>8.2099999999999884</v>
      </c>
      <c r="G86" s="4">
        <f>cubspline(3,F86,Data!$B$36:$B$56,Data!$A$36:$A$56)</f>
        <v>0</v>
      </c>
      <c r="H86" s="4">
        <f t="shared" si="8"/>
        <v>1E-10</v>
      </c>
      <c r="I86" s="4">
        <f t="shared" si="5"/>
        <v>8.2099999999999884</v>
      </c>
      <c r="J86" s="2">
        <f t="shared" si="6"/>
        <v>8.2099999999999884</v>
      </c>
    </row>
    <row r="87" spans="6:10" x14ac:dyDescent="0.25">
      <c r="F87" s="4">
        <f t="shared" si="7"/>
        <v>8.3099999999999881</v>
      </c>
      <c r="G87" s="4">
        <f>cubspline(3,F87,Data!$B$36:$B$56,Data!$A$36:$A$56)</f>
        <v>0</v>
      </c>
      <c r="H87" s="4">
        <f t="shared" si="8"/>
        <v>1E-10</v>
      </c>
      <c r="I87" s="4">
        <f t="shared" si="5"/>
        <v>8.3099999999999881</v>
      </c>
      <c r="J87" s="2">
        <f t="shared" si="6"/>
        <v>8.3099999999999881</v>
      </c>
    </row>
    <row r="88" spans="6:10" x14ac:dyDescent="0.25">
      <c r="F88" s="4">
        <f t="shared" si="7"/>
        <v>8.4099999999999877</v>
      </c>
      <c r="G88" s="4">
        <f>cubspline(3,F88,Data!$B$36:$B$56,Data!$A$36:$A$56)</f>
        <v>0</v>
      </c>
      <c r="H88" s="4">
        <f t="shared" si="8"/>
        <v>1E-10</v>
      </c>
      <c r="I88" s="4">
        <f t="shared" si="5"/>
        <v>8.4099999999999877</v>
      </c>
      <c r="J88" s="2">
        <f t="shared" si="6"/>
        <v>8.4099999999999877</v>
      </c>
    </row>
    <row r="89" spans="6:10" x14ac:dyDescent="0.25">
      <c r="F89" s="4">
        <f t="shared" si="7"/>
        <v>8.5099999999999874</v>
      </c>
      <c r="G89" s="4">
        <f>cubspline(3,F89,Data!$B$36:$B$56,Data!$A$36:$A$56)</f>
        <v>0</v>
      </c>
      <c r="H89" s="4">
        <f t="shared" si="8"/>
        <v>1E-10</v>
      </c>
      <c r="I89" s="4">
        <f t="shared" si="5"/>
        <v>8.5099999999999874</v>
      </c>
      <c r="J89" s="2">
        <f t="shared" si="6"/>
        <v>8.5099999999999874</v>
      </c>
    </row>
    <row r="90" spans="6:10" x14ac:dyDescent="0.25">
      <c r="F90" s="4">
        <f t="shared" si="7"/>
        <v>8.609999999999987</v>
      </c>
      <c r="G90" s="4">
        <f>cubspline(3,F90,Data!$B$36:$B$56,Data!$A$36:$A$56)</f>
        <v>0</v>
      </c>
      <c r="H90" s="4">
        <f t="shared" si="8"/>
        <v>1E-10</v>
      </c>
      <c r="I90" s="4">
        <f t="shared" si="5"/>
        <v>8.609999999999987</v>
      </c>
      <c r="J90" s="2">
        <f t="shared" si="6"/>
        <v>8.609999999999987</v>
      </c>
    </row>
    <row r="91" spans="6:10" x14ac:dyDescent="0.25">
      <c r="F91" s="4">
        <f t="shared" si="7"/>
        <v>8.7099999999999866</v>
      </c>
      <c r="G91" s="4">
        <f>cubspline(3,F91,Data!$B$36:$B$56,Data!$A$36:$A$56)</f>
        <v>0</v>
      </c>
      <c r="H91" s="4">
        <f t="shared" si="8"/>
        <v>1E-10</v>
      </c>
      <c r="I91" s="4">
        <f t="shared" si="5"/>
        <v>8.7099999999999866</v>
      </c>
      <c r="J91" s="2">
        <f t="shared" si="6"/>
        <v>8.7099999999999866</v>
      </c>
    </row>
    <row r="92" spans="6:10" x14ac:dyDescent="0.25">
      <c r="F92" s="4">
        <f t="shared" si="7"/>
        <v>8.8099999999999863</v>
      </c>
      <c r="G92" s="4">
        <f>cubspline(3,F92,Data!$B$36:$B$56,Data!$A$36:$A$56)</f>
        <v>0</v>
      </c>
      <c r="H92" s="4">
        <f t="shared" si="8"/>
        <v>1E-10</v>
      </c>
      <c r="I92" s="4">
        <f t="shared" si="5"/>
        <v>8.8099999999999863</v>
      </c>
      <c r="J92" s="2">
        <f t="shared" si="6"/>
        <v>8.8099999999999863</v>
      </c>
    </row>
    <row r="93" spans="6:10" x14ac:dyDescent="0.25">
      <c r="F93" s="4">
        <f t="shared" si="7"/>
        <v>8.9099999999999859</v>
      </c>
      <c r="G93" s="4">
        <f>cubspline(3,F93,Data!$B$36:$B$56,Data!$A$36:$A$56)</f>
        <v>0</v>
      </c>
      <c r="H93" s="4">
        <f t="shared" si="8"/>
        <v>1E-10</v>
      </c>
      <c r="I93" s="4">
        <f t="shared" si="5"/>
        <v>8.9099999999999859</v>
      </c>
      <c r="J93" s="2">
        <f t="shared" si="6"/>
        <v>8.9099999999999859</v>
      </c>
    </row>
    <row r="94" spans="6:10" x14ac:dyDescent="0.25">
      <c r="F94" s="4">
        <f t="shared" si="7"/>
        <v>9.0099999999999856</v>
      </c>
      <c r="G94" s="4">
        <f>cubspline(3,F94,Data!$B$36:$B$56,Data!$A$36:$A$56)</f>
        <v>0</v>
      </c>
      <c r="H94" s="4">
        <f t="shared" si="8"/>
        <v>1E-10</v>
      </c>
      <c r="I94" s="4">
        <f t="shared" si="5"/>
        <v>9.0099999999999856</v>
      </c>
      <c r="J94" s="2">
        <f t="shared" si="6"/>
        <v>9.0099999999999856</v>
      </c>
    </row>
    <row r="95" spans="6:10" x14ac:dyDescent="0.25">
      <c r="F95" s="4">
        <f t="shared" si="7"/>
        <v>9.1099999999999852</v>
      </c>
      <c r="G95" s="4">
        <f>cubspline(3,F95,Data!$B$36:$B$56,Data!$A$36:$A$56)</f>
        <v>0</v>
      </c>
      <c r="H95" s="4">
        <f t="shared" si="8"/>
        <v>1E-10</v>
      </c>
      <c r="I95" s="4">
        <f t="shared" si="5"/>
        <v>9.1099999999999852</v>
      </c>
      <c r="J95" s="2">
        <f t="shared" si="6"/>
        <v>9.1099999999999852</v>
      </c>
    </row>
    <row r="96" spans="6:10" x14ac:dyDescent="0.25">
      <c r="F96" s="4">
        <f t="shared" si="7"/>
        <v>9.2099999999999849</v>
      </c>
      <c r="G96" s="4">
        <f>cubspline(3,F96,Data!$B$36:$B$56,Data!$A$36:$A$56)</f>
        <v>0</v>
      </c>
      <c r="H96" s="4">
        <f t="shared" si="8"/>
        <v>1E-10</v>
      </c>
      <c r="I96" s="4">
        <f t="shared" si="5"/>
        <v>9.2099999999999849</v>
      </c>
      <c r="J96" s="2">
        <f t="shared" si="6"/>
        <v>9.2099999999999849</v>
      </c>
    </row>
    <row r="97" spans="6:10" x14ac:dyDescent="0.25">
      <c r="F97" s="4">
        <f t="shared" si="7"/>
        <v>9.3099999999999845</v>
      </c>
      <c r="G97" s="4">
        <f>cubspline(3,F97,Data!$B$36:$B$56,Data!$A$36:$A$56)</f>
        <v>0</v>
      </c>
      <c r="H97" s="4">
        <f t="shared" si="8"/>
        <v>1E-10</v>
      </c>
      <c r="I97" s="4">
        <f t="shared" si="5"/>
        <v>9.3099999999999845</v>
      </c>
      <c r="J97" s="2">
        <f t="shared" si="6"/>
        <v>9.3099999999999845</v>
      </c>
    </row>
    <row r="98" spans="6:10" x14ac:dyDescent="0.25">
      <c r="F98" s="4">
        <f t="shared" si="7"/>
        <v>9.4099999999999842</v>
      </c>
      <c r="G98" s="4">
        <f>cubspline(3,F98,Data!$B$36:$B$56,Data!$A$36:$A$56)</f>
        <v>0</v>
      </c>
      <c r="H98" s="4">
        <f t="shared" si="8"/>
        <v>1E-10</v>
      </c>
      <c r="I98" s="4">
        <f t="shared" si="5"/>
        <v>9.4099999999999842</v>
      </c>
      <c r="J98" s="2">
        <f t="shared" si="6"/>
        <v>9.4099999999999842</v>
      </c>
    </row>
    <row r="99" spans="6:10" x14ac:dyDescent="0.25">
      <c r="F99" s="4">
        <f t="shared" si="7"/>
        <v>9.5099999999999838</v>
      </c>
      <c r="G99" s="4">
        <f>cubspline(3,F99,Data!$B$36:$B$56,Data!$A$36:$A$56)</f>
        <v>0</v>
      </c>
      <c r="H99" s="4">
        <f t="shared" si="8"/>
        <v>1E-10</v>
      </c>
      <c r="I99" s="4">
        <f t="shared" si="5"/>
        <v>9.5099999999999838</v>
      </c>
      <c r="J99" s="2">
        <f t="shared" si="6"/>
        <v>9.5099999999999838</v>
      </c>
    </row>
    <row r="100" spans="6:10" x14ac:dyDescent="0.25">
      <c r="F100" s="4">
        <f t="shared" si="7"/>
        <v>9.6099999999999834</v>
      </c>
      <c r="G100" s="4">
        <f>cubspline(3,F100,Data!$B$36:$B$56,Data!$A$36:$A$56)</f>
        <v>0</v>
      </c>
      <c r="H100" s="4">
        <f t="shared" si="8"/>
        <v>1E-10</v>
      </c>
      <c r="I100" s="4">
        <f t="shared" si="5"/>
        <v>9.6099999999999834</v>
      </c>
      <c r="J100" s="2">
        <f t="shared" si="6"/>
        <v>9.6099999999999834</v>
      </c>
    </row>
    <row r="101" spans="6:10" x14ac:dyDescent="0.25">
      <c r="F101" s="4">
        <f t="shared" si="7"/>
        <v>9.7099999999999831</v>
      </c>
      <c r="G101" s="4">
        <f>cubspline(3,F101,Data!$B$36:$B$56,Data!$A$36:$A$56)</f>
        <v>0</v>
      </c>
      <c r="H101" s="4">
        <f t="shared" si="8"/>
        <v>1E-10</v>
      </c>
      <c r="I101" s="4">
        <f t="shared" si="5"/>
        <v>9.7099999999999831</v>
      </c>
      <c r="J101" s="2">
        <f t="shared" si="6"/>
        <v>9.7099999999999831</v>
      </c>
    </row>
    <row r="102" spans="6:10" x14ac:dyDescent="0.25">
      <c r="F102" s="4">
        <f t="shared" si="7"/>
        <v>9.8099999999999827</v>
      </c>
      <c r="G102" s="4">
        <f>cubspline(3,F102,Data!$B$36:$B$56,Data!$A$36:$A$56)</f>
        <v>0</v>
      </c>
      <c r="H102" s="4">
        <f t="shared" si="8"/>
        <v>1E-10</v>
      </c>
      <c r="I102" s="4">
        <f t="shared" si="5"/>
        <v>9.8099999999999827</v>
      </c>
      <c r="J102" s="2">
        <f t="shared" si="6"/>
        <v>9.8099999999999827</v>
      </c>
    </row>
    <row r="103" spans="6:10" x14ac:dyDescent="0.25">
      <c r="F103" s="4">
        <f t="shared" si="7"/>
        <v>9.9099999999999824</v>
      </c>
      <c r="G103" s="4">
        <f>cubspline(3,F103,Data!$B$36:$B$56,Data!$A$36:$A$56)</f>
        <v>0</v>
      </c>
      <c r="H103" s="4">
        <f t="shared" si="8"/>
        <v>1E-10</v>
      </c>
      <c r="I103" s="4">
        <f t="shared" si="5"/>
        <v>9.9099999999999824</v>
      </c>
      <c r="J103" s="2">
        <f t="shared" si="6"/>
        <v>9.9099999999999824</v>
      </c>
    </row>
    <row r="104" spans="6:10" x14ac:dyDescent="0.25">
      <c r="F104" s="4">
        <f t="shared" si="7"/>
        <v>10.009999999999982</v>
      </c>
      <c r="G104" s="4">
        <f>cubspline(3,F104,Data!$B$36:$B$56,Data!$A$36:$A$56)</f>
        <v>0</v>
      </c>
      <c r="H104" s="4">
        <f t="shared" si="8"/>
        <v>1E-10</v>
      </c>
      <c r="I104" s="4">
        <f t="shared" si="5"/>
        <v>10.009999999999982</v>
      </c>
      <c r="J104" s="2">
        <f t="shared" si="6"/>
        <v>10.009999999999982</v>
      </c>
    </row>
    <row r="105" spans="6:10" x14ac:dyDescent="0.25">
      <c r="F105" s="4">
        <f t="shared" si="7"/>
        <v>10.109999999999982</v>
      </c>
      <c r="G105" s="4">
        <f>cubspline(3,F105,Data!$B$36:$B$56,Data!$A$36:$A$56)</f>
        <v>0</v>
      </c>
      <c r="H105" s="4">
        <f t="shared" si="8"/>
        <v>1E-10</v>
      </c>
      <c r="I105" s="4">
        <f t="shared" si="5"/>
        <v>10.109999999999982</v>
      </c>
      <c r="J105" s="2">
        <f t="shared" si="6"/>
        <v>10.109999999999982</v>
      </c>
    </row>
    <row r="106" spans="6:10" x14ac:dyDescent="0.25">
      <c r="F106" s="4">
        <f t="shared" si="7"/>
        <v>10.209999999999981</v>
      </c>
      <c r="G106" s="4">
        <f>cubspline(3,F106,Data!$B$36:$B$56,Data!$A$36:$A$56)</f>
        <v>0</v>
      </c>
      <c r="H106" s="4">
        <f t="shared" si="8"/>
        <v>1E-10</v>
      </c>
      <c r="I106" s="4">
        <f t="shared" si="5"/>
        <v>10.209999999999981</v>
      </c>
      <c r="J106" s="2">
        <f t="shared" si="6"/>
        <v>10.209999999999981</v>
      </c>
    </row>
    <row r="107" spans="6:10" x14ac:dyDescent="0.25">
      <c r="F107" s="4">
        <f t="shared" si="7"/>
        <v>10.309999999999981</v>
      </c>
      <c r="G107" s="4">
        <f>cubspline(3,F107,Data!$B$36:$B$56,Data!$A$36:$A$56)</f>
        <v>0</v>
      </c>
      <c r="H107" s="4">
        <f t="shared" si="8"/>
        <v>1E-10</v>
      </c>
      <c r="I107" s="4">
        <f t="shared" si="5"/>
        <v>10.309999999999981</v>
      </c>
      <c r="J107" s="2">
        <f t="shared" si="6"/>
        <v>10.309999999999981</v>
      </c>
    </row>
    <row r="108" spans="6:10" x14ac:dyDescent="0.25">
      <c r="F108" s="4">
        <f t="shared" si="7"/>
        <v>10.409999999999981</v>
      </c>
      <c r="G108" s="4">
        <f>cubspline(3,F108,Data!$B$36:$B$56,Data!$A$36:$A$56)</f>
        <v>0</v>
      </c>
      <c r="H108" s="4">
        <f t="shared" si="8"/>
        <v>1E-10</v>
      </c>
      <c r="I108" s="4">
        <f t="shared" si="5"/>
        <v>10.409999999999981</v>
      </c>
      <c r="J108" s="2">
        <f t="shared" si="6"/>
        <v>10.409999999999981</v>
      </c>
    </row>
    <row r="109" spans="6:10" x14ac:dyDescent="0.25">
      <c r="F109" s="4">
        <f t="shared" si="7"/>
        <v>10.50999999999998</v>
      </c>
      <c r="G109" s="4">
        <f>cubspline(3,F109,Data!$B$36:$B$56,Data!$A$36:$A$56)</f>
        <v>0</v>
      </c>
      <c r="H109" s="4">
        <f t="shared" si="8"/>
        <v>1E-10</v>
      </c>
      <c r="I109" s="4">
        <f t="shared" si="5"/>
        <v>10.50999999999998</v>
      </c>
      <c r="J109" s="2">
        <f t="shared" si="6"/>
        <v>10.50999999999998</v>
      </c>
    </row>
    <row r="110" spans="6:10" x14ac:dyDescent="0.25">
      <c r="F110" s="4">
        <f t="shared" si="7"/>
        <v>10.60999999999998</v>
      </c>
      <c r="G110" s="4">
        <f>cubspline(3,F110,Data!$B$36:$B$56,Data!$A$36:$A$56)</f>
        <v>0</v>
      </c>
      <c r="H110" s="4">
        <f t="shared" si="8"/>
        <v>1E-10</v>
      </c>
      <c r="I110" s="4">
        <f t="shared" si="5"/>
        <v>10.60999999999998</v>
      </c>
      <c r="J110" s="2">
        <f t="shared" si="6"/>
        <v>10.60999999999998</v>
      </c>
    </row>
    <row r="111" spans="6:10" x14ac:dyDescent="0.25">
      <c r="F111" s="4">
        <f t="shared" si="7"/>
        <v>10.70999999999998</v>
      </c>
      <c r="G111" s="4">
        <f>cubspline(3,F111,Data!$B$36:$B$56,Data!$A$36:$A$56)</f>
        <v>0</v>
      </c>
      <c r="H111" s="4">
        <f t="shared" si="8"/>
        <v>1E-10</v>
      </c>
      <c r="I111" s="4">
        <f t="shared" si="5"/>
        <v>10.70999999999998</v>
      </c>
      <c r="J111" s="2">
        <f t="shared" si="6"/>
        <v>10.70999999999998</v>
      </c>
    </row>
    <row r="112" spans="6:10" x14ac:dyDescent="0.25">
      <c r="F112" s="4">
        <f t="shared" si="7"/>
        <v>10.809999999999979</v>
      </c>
      <c r="G112" s="4">
        <f>cubspline(3,F112,Data!$B$36:$B$56,Data!$A$36:$A$56)</f>
        <v>0</v>
      </c>
      <c r="H112" s="4">
        <f t="shared" si="8"/>
        <v>1E-10</v>
      </c>
      <c r="I112" s="4">
        <f t="shared" si="5"/>
        <v>10.809999999999979</v>
      </c>
      <c r="J112" s="2">
        <f t="shared" si="6"/>
        <v>10.809999999999979</v>
      </c>
    </row>
    <row r="113" spans="6:10" x14ac:dyDescent="0.25">
      <c r="F113" s="4">
        <f t="shared" si="7"/>
        <v>10.909999999999979</v>
      </c>
      <c r="G113" s="4">
        <f>cubspline(3,F113,Data!$B$36:$B$56,Data!$A$36:$A$56)</f>
        <v>0</v>
      </c>
      <c r="H113" s="4">
        <f t="shared" si="8"/>
        <v>1E-10</v>
      </c>
      <c r="I113" s="4">
        <f t="shared" si="5"/>
        <v>10.909999999999979</v>
      </c>
      <c r="J113" s="2">
        <f t="shared" si="6"/>
        <v>10.909999999999979</v>
      </c>
    </row>
    <row r="114" spans="6:10" x14ac:dyDescent="0.25">
      <c r="F114" s="4">
        <f t="shared" si="7"/>
        <v>11.009999999999978</v>
      </c>
      <c r="G114" s="4">
        <f>cubspline(3,F114,Data!$B$36:$B$56,Data!$A$36:$A$56)</f>
        <v>0</v>
      </c>
      <c r="H114" s="4">
        <f t="shared" si="8"/>
        <v>1E-10</v>
      </c>
      <c r="I114" s="4">
        <f t="shared" si="5"/>
        <v>11.009999999999978</v>
      </c>
      <c r="J114" s="2">
        <f t="shared" si="6"/>
        <v>11.009999999999978</v>
      </c>
    </row>
    <row r="115" spans="6:10" x14ac:dyDescent="0.25">
      <c r="F115" s="4">
        <f t="shared" si="7"/>
        <v>11.109999999999978</v>
      </c>
      <c r="G115" s="4">
        <f>cubspline(3,F115,Data!$B$36:$B$56,Data!$A$36:$A$56)</f>
        <v>0</v>
      </c>
      <c r="H115" s="4">
        <f t="shared" si="8"/>
        <v>1E-10</v>
      </c>
      <c r="I115" s="4">
        <f t="shared" si="5"/>
        <v>11.109999999999978</v>
      </c>
      <c r="J115" s="2">
        <f t="shared" si="6"/>
        <v>11.109999999999978</v>
      </c>
    </row>
    <row r="116" spans="6:10" x14ac:dyDescent="0.25">
      <c r="F116" s="4">
        <f t="shared" si="7"/>
        <v>11.209999999999978</v>
      </c>
      <c r="G116" s="4">
        <f>cubspline(3,F116,Data!$B$36:$B$56,Data!$A$36:$A$56)</f>
        <v>0</v>
      </c>
      <c r="H116" s="4">
        <f t="shared" si="8"/>
        <v>1E-10</v>
      </c>
      <c r="I116" s="4">
        <f t="shared" si="5"/>
        <v>11.209999999999978</v>
      </c>
      <c r="J116" s="2">
        <f t="shared" si="6"/>
        <v>11.209999999999978</v>
      </c>
    </row>
    <row r="117" spans="6:10" x14ac:dyDescent="0.25">
      <c r="F117" s="4">
        <f t="shared" si="7"/>
        <v>11.309999999999977</v>
      </c>
      <c r="G117" s="4">
        <f>cubspline(3,F117,Data!$B$36:$B$56,Data!$A$36:$A$56)</f>
        <v>0</v>
      </c>
      <c r="H117" s="4">
        <f t="shared" si="8"/>
        <v>1E-10</v>
      </c>
      <c r="I117" s="4">
        <f t="shared" si="5"/>
        <v>11.309999999999977</v>
      </c>
      <c r="J117" s="2">
        <f t="shared" si="6"/>
        <v>11.309999999999977</v>
      </c>
    </row>
    <row r="118" spans="6:10" x14ac:dyDescent="0.25">
      <c r="F118" s="4">
        <f t="shared" si="7"/>
        <v>11.409999999999977</v>
      </c>
      <c r="G118" s="4">
        <f>cubspline(3,F118,Data!$B$36:$B$56,Data!$A$36:$A$56)</f>
        <v>0</v>
      </c>
      <c r="H118" s="4">
        <f t="shared" si="8"/>
        <v>1E-10</v>
      </c>
      <c r="I118" s="4">
        <f t="shared" si="5"/>
        <v>11.409999999999977</v>
      </c>
      <c r="J118" s="2">
        <f t="shared" si="6"/>
        <v>11.409999999999977</v>
      </c>
    </row>
    <row r="119" spans="6:10" x14ac:dyDescent="0.25">
      <c r="F119" s="4">
        <f t="shared" si="7"/>
        <v>11.509999999999977</v>
      </c>
      <c r="G119" s="4">
        <f>cubspline(3,F119,Data!$B$36:$B$56,Data!$A$36:$A$56)</f>
        <v>0</v>
      </c>
      <c r="H119" s="4">
        <f t="shared" si="8"/>
        <v>1E-10</v>
      </c>
      <c r="I119" s="4">
        <f t="shared" si="5"/>
        <v>11.509999999999977</v>
      </c>
      <c r="J119" s="2">
        <f t="shared" si="6"/>
        <v>11.509999999999977</v>
      </c>
    </row>
    <row r="120" spans="6:10" x14ac:dyDescent="0.25">
      <c r="F120" s="4">
        <f t="shared" si="7"/>
        <v>11.609999999999976</v>
      </c>
      <c r="G120" s="4">
        <f>cubspline(3,F120,Data!$B$36:$B$56,Data!$A$36:$A$56)</f>
        <v>0</v>
      </c>
      <c r="H120" s="4">
        <f t="shared" si="8"/>
        <v>1E-10</v>
      </c>
      <c r="I120" s="4">
        <f t="shared" si="5"/>
        <v>11.609999999999976</v>
      </c>
      <c r="J120" s="2">
        <f t="shared" si="6"/>
        <v>11.609999999999976</v>
      </c>
    </row>
    <row r="121" spans="6:10" x14ac:dyDescent="0.25">
      <c r="F121" s="4">
        <f t="shared" si="7"/>
        <v>11.709999999999976</v>
      </c>
      <c r="G121" s="4">
        <f>cubspline(3,F121,Data!$B$36:$B$56,Data!$A$36:$A$56)</f>
        <v>0</v>
      </c>
      <c r="H121" s="4">
        <f t="shared" si="8"/>
        <v>1E-10</v>
      </c>
      <c r="I121" s="4">
        <f t="shared" si="5"/>
        <v>11.709999999999976</v>
      </c>
      <c r="J121" s="2">
        <f t="shared" si="6"/>
        <v>11.709999999999976</v>
      </c>
    </row>
    <row r="122" spans="6:10" x14ac:dyDescent="0.25">
      <c r="F122" s="4">
        <f t="shared" si="7"/>
        <v>11.809999999999976</v>
      </c>
      <c r="G122" s="4">
        <f>cubspline(3,F122,Data!$B$36:$B$56,Data!$A$36:$A$56)</f>
        <v>0</v>
      </c>
      <c r="H122" s="4">
        <f t="shared" si="8"/>
        <v>1E-10</v>
      </c>
      <c r="I122" s="4">
        <f t="shared" si="5"/>
        <v>11.809999999999976</v>
      </c>
      <c r="J122" s="2">
        <f t="shared" si="6"/>
        <v>11.809999999999976</v>
      </c>
    </row>
    <row r="123" spans="6:10" x14ac:dyDescent="0.25">
      <c r="F123" s="4">
        <f t="shared" si="7"/>
        <v>11.909999999999975</v>
      </c>
      <c r="G123" s="4">
        <f>cubspline(3,F123,Data!$B$36:$B$56,Data!$A$36:$A$56)</f>
        <v>0</v>
      </c>
      <c r="H123" s="4">
        <f t="shared" si="8"/>
        <v>1E-10</v>
      </c>
      <c r="I123" s="4">
        <f t="shared" si="5"/>
        <v>11.909999999999975</v>
      </c>
      <c r="J123" s="2">
        <f t="shared" si="6"/>
        <v>11.909999999999975</v>
      </c>
    </row>
    <row r="124" spans="6:10" x14ac:dyDescent="0.25">
      <c r="F124" s="4">
        <f t="shared" si="7"/>
        <v>12.009999999999975</v>
      </c>
      <c r="G124" s="4">
        <f>cubspline(3,F124,Data!$B$36:$B$56,Data!$A$36:$A$56)</f>
        <v>0</v>
      </c>
      <c r="H124" s="4">
        <f t="shared" si="8"/>
        <v>1E-10</v>
      </c>
      <c r="I124" s="4">
        <f t="shared" si="5"/>
        <v>12.009999999999975</v>
      </c>
      <c r="J124" s="2">
        <f t="shared" si="6"/>
        <v>12.009999999999975</v>
      </c>
    </row>
    <row r="125" spans="6:10" x14ac:dyDescent="0.25">
      <c r="F125" s="4">
        <f t="shared" si="7"/>
        <v>12.109999999999975</v>
      </c>
      <c r="G125" s="4">
        <f>cubspline(3,F125,Data!$B$36:$B$56,Data!$A$36:$A$56)</f>
        <v>0</v>
      </c>
      <c r="H125" s="4">
        <f t="shared" si="8"/>
        <v>1E-10</v>
      </c>
      <c r="I125" s="4">
        <f t="shared" si="5"/>
        <v>12.109999999999975</v>
      </c>
      <c r="J125" s="2">
        <f t="shared" si="6"/>
        <v>12.109999999999975</v>
      </c>
    </row>
    <row r="126" spans="6:10" x14ac:dyDescent="0.25">
      <c r="F126" s="4">
        <f t="shared" si="7"/>
        <v>12.209999999999974</v>
      </c>
      <c r="G126" s="4">
        <f>cubspline(3,F126,Data!$B$36:$B$56,Data!$A$36:$A$56)</f>
        <v>0</v>
      </c>
      <c r="H126" s="4">
        <f t="shared" si="8"/>
        <v>1E-10</v>
      </c>
      <c r="I126" s="4">
        <f t="shared" si="5"/>
        <v>12.209999999999974</v>
      </c>
      <c r="J126" s="2">
        <f t="shared" si="6"/>
        <v>12.209999999999974</v>
      </c>
    </row>
    <row r="127" spans="6:10" x14ac:dyDescent="0.25">
      <c r="F127" s="4">
        <f t="shared" si="7"/>
        <v>12.309999999999974</v>
      </c>
      <c r="G127" s="4">
        <f>cubspline(3,F127,Data!$B$36:$B$56,Data!$A$36:$A$56)</f>
        <v>0</v>
      </c>
      <c r="H127" s="4">
        <f t="shared" si="8"/>
        <v>1E-10</v>
      </c>
      <c r="I127" s="4">
        <f t="shared" si="5"/>
        <v>12.309999999999974</v>
      </c>
      <c r="J127" s="2">
        <f t="shared" si="6"/>
        <v>12.309999999999974</v>
      </c>
    </row>
    <row r="128" spans="6:10" x14ac:dyDescent="0.25">
      <c r="F128" s="4">
        <f t="shared" si="7"/>
        <v>12.409999999999973</v>
      </c>
      <c r="G128" s="4">
        <f>cubspline(3,F128,Data!$B$36:$B$56,Data!$A$36:$A$56)</f>
        <v>0</v>
      </c>
      <c r="H128" s="4">
        <f t="shared" si="8"/>
        <v>1E-10</v>
      </c>
      <c r="I128" s="4">
        <f t="shared" si="5"/>
        <v>12.409999999999973</v>
      </c>
      <c r="J128" s="2">
        <f t="shared" si="6"/>
        <v>12.409999999999973</v>
      </c>
    </row>
    <row r="129" spans="6:10" x14ac:dyDescent="0.25">
      <c r="F129" s="4">
        <f t="shared" si="7"/>
        <v>12.509999999999973</v>
      </c>
      <c r="G129" s="4">
        <f>cubspline(3,F129,Data!$B$36:$B$56,Data!$A$36:$A$56)</f>
        <v>0</v>
      </c>
      <c r="H129" s="4">
        <f t="shared" si="8"/>
        <v>1E-10</v>
      </c>
      <c r="I129" s="4">
        <f t="shared" si="5"/>
        <v>12.509999999999973</v>
      </c>
      <c r="J129" s="2">
        <f t="shared" si="6"/>
        <v>12.509999999999973</v>
      </c>
    </row>
    <row r="130" spans="6:10" x14ac:dyDescent="0.25">
      <c r="F130" s="4">
        <f t="shared" si="7"/>
        <v>12.609999999999973</v>
      </c>
      <c r="G130" s="4">
        <f>cubspline(3,F130,Data!$B$36:$B$56,Data!$A$36:$A$56)</f>
        <v>0</v>
      </c>
      <c r="H130" s="4">
        <f t="shared" si="8"/>
        <v>1E-10</v>
      </c>
      <c r="I130" s="4">
        <f t="shared" si="5"/>
        <v>12.609999999999973</v>
      </c>
      <c r="J130" s="2">
        <f t="shared" si="6"/>
        <v>12.609999999999973</v>
      </c>
    </row>
    <row r="131" spans="6:10" x14ac:dyDescent="0.25">
      <c r="F131" s="4">
        <f t="shared" si="7"/>
        <v>12.709999999999972</v>
      </c>
      <c r="G131" s="4">
        <f>cubspline(3,F131,Data!$B$36:$B$56,Data!$A$36:$A$56)</f>
        <v>0</v>
      </c>
      <c r="H131" s="4">
        <f t="shared" si="8"/>
        <v>1E-10</v>
      </c>
      <c r="I131" s="4">
        <f t="shared" si="5"/>
        <v>12.709999999999972</v>
      </c>
      <c r="J131" s="2">
        <f t="shared" si="6"/>
        <v>12.709999999999972</v>
      </c>
    </row>
    <row r="132" spans="6:10" x14ac:dyDescent="0.25">
      <c r="F132" s="4">
        <f t="shared" si="7"/>
        <v>12.809999999999972</v>
      </c>
      <c r="G132" s="4">
        <f>cubspline(3,F132,Data!$B$36:$B$56,Data!$A$36:$A$56)</f>
        <v>0</v>
      </c>
      <c r="H132" s="4">
        <f t="shared" si="8"/>
        <v>1E-10</v>
      </c>
      <c r="I132" s="4">
        <f t="shared" si="5"/>
        <v>12.809999999999972</v>
      </c>
      <c r="J132" s="2">
        <f t="shared" si="6"/>
        <v>12.809999999999972</v>
      </c>
    </row>
    <row r="133" spans="6:10" x14ac:dyDescent="0.25">
      <c r="F133" s="4">
        <f t="shared" si="7"/>
        <v>12.909999999999972</v>
      </c>
      <c r="G133" s="4">
        <f>cubspline(3,F133,Data!$B$36:$B$56,Data!$A$36:$A$56)</f>
        <v>0</v>
      </c>
      <c r="H133" s="4">
        <f t="shared" si="8"/>
        <v>1E-10</v>
      </c>
      <c r="I133" s="4">
        <f t="shared" ref="I133:I196" si="9">IF(F133&gt;$D$47,F133,NA())</f>
        <v>12.909999999999972</v>
      </c>
      <c r="J133" s="2">
        <f t="shared" ref="J133:J196" si="10">IF(F133&gt;=$D$47,F133,($D$47-(0.3*($D$47-F133))))</f>
        <v>12.909999999999972</v>
      </c>
    </row>
    <row r="134" spans="6:10" x14ac:dyDescent="0.25">
      <c r="F134" s="4">
        <f t="shared" ref="F134:F197" si="11">F133+0.1</f>
        <v>13.009999999999971</v>
      </c>
      <c r="G134" s="4">
        <f>cubspline(3,F134,Data!$B$36:$B$56,Data!$A$36:$A$56)</f>
        <v>0</v>
      </c>
      <c r="H134" s="4">
        <f t="shared" ref="H134:H197" si="12">IF(G134&lt;=0,0.0000000001,G134)</f>
        <v>1E-10</v>
      </c>
      <c r="I134" s="4">
        <f t="shared" si="9"/>
        <v>13.009999999999971</v>
      </c>
      <c r="J134" s="2">
        <f t="shared" si="10"/>
        <v>13.009999999999971</v>
      </c>
    </row>
    <row r="135" spans="6:10" x14ac:dyDescent="0.25">
      <c r="F135" s="4">
        <f t="shared" si="11"/>
        <v>13.109999999999971</v>
      </c>
      <c r="G135" s="4">
        <f>cubspline(3,F135,Data!$B$36:$B$56,Data!$A$36:$A$56)</f>
        <v>0</v>
      </c>
      <c r="H135" s="4">
        <f t="shared" si="12"/>
        <v>1E-10</v>
      </c>
      <c r="I135" s="4">
        <f t="shared" si="9"/>
        <v>13.109999999999971</v>
      </c>
      <c r="J135" s="2">
        <f t="shared" si="10"/>
        <v>13.109999999999971</v>
      </c>
    </row>
    <row r="136" spans="6:10" x14ac:dyDescent="0.25">
      <c r="F136" s="4">
        <f t="shared" si="11"/>
        <v>13.209999999999971</v>
      </c>
      <c r="G136" s="4">
        <f>cubspline(3,F136,Data!$B$36:$B$56,Data!$A$36:$A$56)</f>
        <v>0</v>
      </c>
      <c r="H136" s="4">
        <f t="shared" si="12"/>
        <v>1E-10</v>
      </c>
      <c r="I136" s="4">
        <f t="shared" si="9"/>
        <v>13.209999999999971</v>
      </c>
      <c r="J136" s="2">
        <f t="shared" si="10"/>
        <v>13.209999999999971</v>
      </c>
    </row>
    <row r="137" spans="6:10" x14ac:dyDescent="0.25">
      <c r="F137" s="4">
        <f t="shared" si="11"/>
        <v>13.30999999999997</v>
      </c>
      <c r="G137" s="4">
        <f>cubspline(3,F137,Data!$B$36:$B$56,Data!$A$36:$A$56)</f>
        <v>0</v>
      </c>
      <c r="H137" s="4">
        <f t="shared" si="12"/>
        <v>1E-10</v>
      </c>
      <c r="I137" s="4">
        <f t="shared" si="9"/>
        <v>13.30999999999997</v>
      </c>
      <c r="J137" s="2">
        <f t="shared" si="10"/>
        <v>13.30999999999997</v>
      </c>
    </row>
    <row r="138" spans="6:10" x14ac:dyDescent="0.25">
      <c r="F138" s="4">
        <f t="shared" si="11"/>
        <v>13.40999999999997</v>
      </c>
      <c r="G138" s="4">
        <f>cubspline(3,F138,Data!$B$36:$B$56,Data!$A$36:$A$56)</f>
        <v>0</v>
      </c>
      <c r="H138" s="4">
        <f t="shared" si="12"/>
        <v>1E-10</v>
      </c>
      <c r="I138" s="4">
        <f t="shared" si="9"/>
        <v>13.40999999999997</v>
      </c>
      <c r="J138" s="2">
        <f t="shared" si="10"/>
        <v>13.40999999999997</v>
      </c>
    </row>
    <row r="139" spans="6:10" x14ac:dyDescent="0.25">
      <c r="F139" s="4">
        <f t="shared" si="11"/>
        <v>13.50999999999997</v>
      </c>
      <c r="G139" s="4">
        <f>cubspline(3,F139,Data!$B$36:$B$56,Data!$A$36:$A$56)</f>
        <v>0</v>
      </c>
      <c r="H139" s="4">
        <f t="shared" si="12"/>
        <v>1E-10</v>
      </c>
      <c r="I139" s="4">
        <f t="shared" si="9"/>
        <v>13.50999999999997</v>
      </c>
      <c r="J139" s="2">
        <f t="shared" si="10"/>
        <v>13.50999999999997</v>
      </c>
    </row>
    <row r="140" spans="6:10" x14ac:dyDescent="0.25">
      <c r="F140" s="4">
        <f t="shared" si="11"/>
        <v>13.609999999999969</v>
      </c>
      <c r="G140" s="4">
        <f>cubspline(3,F140,Data!$B$36:$B$56,Data!$A$36:$A$56)</f>
        <v>0</v>
      </c>
      <c r="H140" s="4">
        <f t="shared" si="12"/>
        <v>1E-10</v>
      </c>
      <c r="I140" s="4">
        <f t="shared" si="9"/>
        <v>13.609999999999969</v>
      </c>
      <c r="J140" s="2">
        <f t="shared" si="10"/>
        <v>13.609999999999969</v>
      </c>
    </row>
    <row r="141" spans="6:10" x14ac:dyDescent="0.25">
      <c r="F141" s="4">
        <f t="shared" si="11"/>
        <v>13.709999999999969</v>
      </c>
      <c r="G141" s="4">
        <f>cubspline(3,F141,Data!$B$36:$B$56,Data!$A$36:$A$56)</f>
        <v>0</v>
      </c>
      <c r="H141" s="4">
        <f t="shared" si="12"/>
        <v>1E-10</v>
      </c>
      <c r="I141" s="4">
        <f t="shared" si="9"/>
        <v>13.709999999999969</v>
      </c>
      <c r="J141" s="2">
        <f t="shared" si="10"/>
        <v>13.709999999999969</v>
      </c>
    </row>
    <row r="142" spans="6:10" x14ac:dyDescent="0.25">
      <c r="F142" s="4">
        <f t="shared" si="11"/>
        <v>13.809999999999969</v>
      </c>
      <c r="G142" s="4">
        <f>cubspline(3,F142,Data!$B$36:$B$56,Data!$A$36:$A$56)</f>
        <v>0</v>
      </c>
      <c r="H142" s="4">
        <f t="shared" si="12"/>
        <v>1E-10</v>
      </c>
      <c r="I142" s="4">
        <f t="shared" si="9"/>
        <v>13.809999999999969</v>
      </c>
      <c r="J142" s="2">
        <f t="shared" si="10"/>
        <v>13.809999999999969</v>
      </c>
    </row>
    <row r="143" spans="6:10" x14ac:dyDescent="0.25">
      <c r="F143" s="4">
        <f t="shared" si="11"/>
        <v>13.909999999999968</v>
      </c>
      <c r="G143" s="4">
        <f>cubspline(3,F143,Data!$B$36:$B$56,Data!$A$36:$A$56)</f>
        <v>0</v>
      </c>
      <c r="H143" s="4">
        <f t="shared" si="12"/>
        <v>1E-10</v>
      </c>
      <c r="I143" s="4">
        <f t="shared" si="9"/>
        <v>13.909999999999968</v>
      </c>
      <c r="J143" s="2">
        <f t="shared" si="10"/>
        <v>13.909999999999968</v>
      </c>
    </row>
    <row r="144" spans="6:10" x14ac:dyDescent="0.25">
      <c r="F144" s="4">
        <f t="shared" si="11"/>
        <v>14.009999999999968</v>
      </c>
      <c r="G144" s="4">
        <f>cubspline(3,F144,Data!$B$36:$B$56,Data!$A$36:$A$56)</f>
        <v>0</v>
      </c>
      <c r="H144" s="4">
        <f t="shared" si="12"/>
        <v>1E-10</v>
      </c>
      <c r="I144" s="4">
        <f t="shared" si="9"/>
        <v>14.009999999999968</v>
      </c>
      <c r="J144" s="2">
        <f t="shared" si="10"/>
        <v>14.009999999999968</v>
      </c>
    </row>
    <row r="145" spans="6:10" x14ac:dyDescent="0.25">
      <c r="F145" s="4">
        <f t="shared" si="11"/>
        <v>14.109999999999967</v>
      </c>
      <c r="G145" s="4">
        <f>cubspline(3,F145,Data!$B$36:$B$56,Data!$A$36:$A$56)</f>
        <v>0</v>
      </c>
      <c r="H145" s="4">
        <f t="shared" si="12"/>
        <v>1E-10</v>
      </c>
      <c r="I145" s="4">
        <f t="shared" si="9"/>
        <v>14.109999999999967</v>
      </c>
      <c r="J145" s="2">
        <f t="shared" si="10"/>
        <v>14.109999999999967</v>
      </c>
    </row>
    <row r="146" spans="6:10" x14ac:dyDescent="0.25">
      <c r="F146" s="4">
        <f t="shared" si="11"/>
        <v>14.209999999999967</v>
      </c>
      <c r="G146" s="4">
        <f>cubspline(3,F146,Data!$B$36:$B$56,Data!$A$36:$A$56)</f>
        <v>0</v>
      </c>
      <c r="H146" s="4">
        <f t="shared" si="12"/>
        <v>1E-10</v>
      </c>
      <c r="I146" s="4">
        <f t="shared" si="9"/>
        <v>14.209999999999967</v>
      </c>
      <c r="J146" s="2">
        <f t="shared" si="10"/>
        <v>14.209999999999967</v>
      </c>
    </row>
    <row r="147" spans="6:10" x14ac:dyDescent="0.25">
      <c r="F147" s="4">
        <f t="shared" si="11"/>
        <v>14.309999999999967</v>
      </c>
      <c r="G147" s="4">
        <f>cubspline(3,F147,Data!$B$36:$B$56,Data!$A$36:$A$56)</f>
        <v>0</v>
      </c>
      <c r="H147" s="4">
        <f t="shared" si="12"/>
        <v>1E-10</v>
      </c>
      <c r="I147" s="4">
        <f t="shared" si="9"/>
        <v>14.309999999999967</v>
      </c>
      <c r="J147" s="2">
        <f t="shared" si="10"/>
        <v>14.309999999999967</v>
      </c>
    </row>
    <row r="148" spans="6:10" x14ac:dyDescent="0.25">
      <c r="F148" s="4">
        <f t="shared" si="11"/>
        <v>14.409999999999966</v>
      </c>
      <c r="G148" s="4">
        <f>cubspline(3,F148,Data!$B$36:$B$56,Data!$A$36:$A$56)</f>
        <v>0</v>
      </c>
      <c r="H148" s="4">
        <f t="shared" si="12"/>
        <v>1E-10</v>
      </c>
      <c r="I148" s="4">
        <f t="shared" si="9"/>
        <v>14.409999999999966</v>
      </c>
      <c r="J148" s="2">
        <f t="shared" si="10"/>
        <v>14.409999999999966</v>
      </c>
    </row>
    <row r="149" spans="6:10" x14ac:dyDescent="0.25">
      <c r="F149" s="4">
        <f t="shared" si="11"/>
        <v>14.509999999999966</v>
      </c>
      <c r="G149" s="4">
        <f>cubspline(3,F149,Data!$B$36:$B$56,Data!$A$36:$A$56)</f>
        <v>0</v>
      </c>
      <c r="H149" s="4">
        <f t="shared" si="12"/>
        <v>1E-10</v>
      </c>
      <c r="I149" s="4">
        <f t="shared" si="9"/>
        <v>14.509999999999966</v>
      </c>
      <c r="J149" s="2">
        <f t="shared" si="10"/>
        <v>14.509999999999966</v>
      </c>
    </row>
    <row r="150" spans="6:10" x14ac:dyDescent="0.25">
      <c r="F150" s="4">
        <f t="shared" si="11"/>
        <v>14.609999999999966</v>
      </c>
      <c r="G150" s="4">
        <f>cubspline(3,F150,Data!$B$36:$B$56,Data!$A$36:$A$56)</f>
        <v>0</v>
      </c>
      <c r="H150" s="4">
        <f t="shared" si="12"/>
        <v>1E-10</v>
      </c>
      <c r="I150" s="4">
        <f t="shared" si="9"/>
        <v>14.609999999999966</v>
      </c>
      <c r="J150" s="2">
        <f t="shared" si="10"/>
        <v>14.609999999999966</v>
      </c>
    </row>
    <row r="151" spans="6:10" x14ac:dyDescent="0.25">
      <c r="F151" s="4">
        <f t="shared" si="11"/>
        <v>14.709999999999965</v>
      </c>
      <c r="G151" s="4">
        <f>cubspline(3,F151,Data!$B$36:$B$56,Data!$A$36:$A$56)</f>
        <v>0</v>
      </c>
      <c r="H151" s="4">
        <f t="shared" si="12"/>
        <v>1E-10</v>
      </c>
      <c r="I151" s="4">
        <f t="shared" si="9"/>
        <v>14.709999999999965</v>
      </c>
      <c r="J151" s="2">
        <f t="shared" si="10"/>
        <v>14.709999999999965</v>
      </c>
    </row>
    <row r="152" spans="6:10" x14ac:dyDescent="0.25">
      <c r="F152" s="4">
        <f t="shared" si="11"/>
        <v>14.809999999999965</v>
      </c>
      <c r="G152" s="4">
        <f>cubspline(3,F152,Data!$B$36:$B$56,Data!$A$36:$A$56)</f>
        <v>0</v>
      </c>
      <c r="H152" s="4">
        <f t="shared" si="12"/>
        <v>1E-10</v>
      </c>
      <c r="I152" s="4">
        <f t="shared" si="9"/>
        <v>14.809999999999965</v>
      </c>
      <c r="J152" s="2">
        <f t="shared" si="10"/>
        <v>14.809999999999965</v>
      </c>
    </row>
    <row r="153" spans="6:10" x14ac:dyDescent="0.25">
      <c r="F153" s="4">
        <f t="shared" si="11"/>
        <v>14.909999999999965</v>
      </c>
      <c r="G153" s="4">
        <f>cubspline(3,F153,Data!$B$36:$B$56,Data!$A$36:$A$56)</f>
        <v>0</v>
      </c>
      <c r="H153" s="4">
        <f t="shared" si="12"/>
        <v>1E-10</v>
      </c>
      <c r="I153" s="4">
        <f t="shared" si="9"/>
        <v>14.909999999999965</v>
      </c>
      <c r="J153" s="2">
        <f t="shared" si="10"/>
        <v>14.909999999999965</v>
      </c>
    </row>
    <row r="154" spans="6:10" x14ac:dyDescent="0.25">
      <c r="F154" s="4">
        <f t="shared" si="11"/>
        <v>15.009999999999964</v>
      </c>
      <c r="G154" s="4">
        <f>cubspline(3,F154,Data!$B$36:$B$56,Data!$A$36:$A$56)</f>
        <v>0</v>
      </c>
      <c r="H154" s="4">
        <f t="shared" si="12"/>
        <v>1E-10</v>
      </c>
      <c r="I154" s="4">
        <f t="shared" si="9"/>
        <v>15.009999999999964</v>
      </c>
      <c r="J154" s="2">
        <f t="shared" si="10"/>
        <v>15.009999999999964</v>
      </c>
    </row>
    <row r="155" spans="6:10" x14ac:dyDescent="0.25">
      <c r="F155" s="4">
        <f t="shared" si="11"/>
        <v>15.109999999999964</v>
      </c>
      <c r="G155" s="4">
        <f>cubspline(3,F155,Data!$B$36:$B$56,Data!$A$36:$A$56)</f>
        <v>0</v>
      </c>
      <c r="H155" s="4">
        <f t="shared" si="12"/>
        <v>1E-10</v>
      </c>
      <c r="I155" s="4">
        <f t="shared" si="9"/>
        <v>15.109999999999964</v>
      </c>
      <c r="J155" s="2">
        <f t="shared" si="10"/>
        <v>15.109999999999964</v>
      </c>
    </row>
    <row r="156" spans="6:10" x14ac:dyDescent="0.25">
      <c r="F156" s="4">
        <f t="shared" si="11"/>
        <v>15.209999999999964</v>
      </c>
      <c r="G156" s="4">
        <f>cubspline(3,F156,Data!$B$36:$B$56,Data!$A$36:$A$56)</f>
        <v>0</v>
      </c>
      <c r="H156" s="4">
        <f t="shared" si="12"/>
        <v>1E-10</v>
      </c>
      <c r="I156" s="4">
        <f t="shared" si="9"/>
        <v>15.209999999999964</v>
      </c>
      <c r="J156" s="2">
        <f t="shared" si="10"/>
        <v>15.209999999999964</v>
      </c>
    </row>
    <row r="157" spans="6:10" x14ac:dyDescent="0.25">
      <c r="F157" s="4">
        <f t="shared" si="11"/>
        <v>15.309999999999963</v>
      </c>
      <c r="G157" s="4">
        <f>cubspline(3,F157,Data!$B$36:$B$56,Data!$A$36:$A$56)</f>
        <v>0</v>
      </c>
      <c r="H157" s="4">
        <f t="shared" si="12"/>
        <v>1E-10</v>
      </c>
      <c r="I157" s="4">
        <f t="shared" si="9"/>
        <v>15.309999999999963</v>
      </c>
      <c r="J157" s="2">
        <f t="shared" si="10"/>
        <v>15.309999999999963</v>
      </c>
    </row>
    <row r="158" spans="6:10" x14ac:dyDescent="0.25">
      <c r="F158" s="4">
        <f t="shared" si="11"/>
        <v>15.409999999999963</v>
      </c>
      <c r="G158" s="4">
        <f>cubspline(3,F158,Data!$B$36:$B$56,Data!$A$36:$A$56)</f>
        <v>0</v>
      </c>
      <c r="H158" s="4">
        <f t="shared" si="12"/>
        <v>1E-10</v>
      </c>
      <c r="I158" s="4">
        <f t="shared" si="9"/>
        <v>15.409999999999963</v>
      </c>
      <c r="J158" s="2">
        <f t="shared" si="10"/>
        <v>15.409999999999963</v>
      </c>
    </row>
    <row r="159" spans="6:10" x14ac:dyDescent="0.25">
      <c r="F159" s="4">
        <f t="shared" si="11"/>
        <v>15.509999999999962</v>
      </c>
      <c r="G159" s="4">
        <f>cubspline(3,F159,Data!$B$36:$B$56,Data!$A$36:$A$56)</f>
        <v>0</v>
      </c>
      <c r="H159" s="4">
        <f t="shared" si="12"/>
        <v>1E-10</v>
      </c>
      <c r="I159" s="4">
        <f t="shared" si="9"/>
        <v>15.509999999999962</v>
      </c>
      <c r="J159" s="2">
        <f t="shared" si="10"/>
        <v>15.509999999999962</v>
      </c>
    </row>
    <row r="160" spans="6:10" x14ac:dyDescent="0.25">
      <c r="F160" s="4">
        <f t="shared" si="11"/>
        <v>15.609999999999962</v>
      </c>
      <c r="G160" s="4">
        <f>cubspline(3,F160,Data!$B$36:$B$56,Data!$A$36:$A$56)</f>
        <v>0</v>
      </c>
      <c r="H160" s="4">
        <f t="shared" si="12"/>
        <v>1E-10</v>
      </c>
      <c r="I160" s="4">
        <f t="shared" si="9"/>
        <v>15.609999999999962</v>
      </c>
      <c r="J160" s="2">
        <f t="shared" si="10"/>
        <v>15.609999999999962</v>
      </c>
    </row>
    <row r="161" spans="6:10" x14ac:dyDescent="0.25">
      <c r="F161" s="4">
        <f t="shared" si="11"/>
        <v>15.709999999999962</v>
      </c>
      <c r="G161" s="4">
        <f>cubspline(3,F161,Data!$B$36:$B$56,Data!$A$36:$A$56)</f>
        <v>0</v>
      </c>
      <c r="H161" s="4">
        <f t="shared" si="12"/>
        <v>1E-10</v>
      </c>
      <c r="I161" s="4">
        <f t="shared" si="9"/>
        <v>15.709999999999962</v>
      </c>
      <c r="J161" s="2">
        <f t="shared" si="10"/>
        <v>15.709999999999962</v>
      </c>
    </row>
    <row r="162" spans="6:10" x14ac:dyDescent="0.25">
      <c r="F162" s="4">
        <f t="shared" si="11"/>
        <v>15.809999999999961</v>
      </c>
      <c r="G162" s="4">
        <f>cubspline(3,F162,Data!$B$36:$B$56,Data!$A$36:$A$56)</f>
        <v>0</v>
      </c>
      <c r="H162" s="4">
        <f t="shared" si="12"/>
        <v>1E-10</v>
      </c>
      <c r="I162" s="4">
        <f t="shared" si="9"/>
        <v>15.809999999999961</v>
      </c>
      <c r="J162" s="2">
        <f t="shared" si="10"/>
        <v>15.809999999999961</v>
      </c>
    </row>
    <row r="163" spans="6:10" x14ac:dyDescent="0.25">
      <c r="F163" s="4">
        <f t="shared" si="11"/>
        <v>15.909999999999961</v>
      </c>
      <c r="G163" s="4">
        <f>cubspline(3,F163,Data!$B$36:$B$56,Data!$A$36:$A$56)</f>
        <v>0</v>
      </c>
      <c r="H163" s="4">
        <f t="shared" si="12"/>
        <v>1E-10</v>
      </c>
      <c r="I163" s="4">
        <f t="shared" si="9"/>
        <v>15.909999999999961</v>
      </c>
      <c r="J163" s="2">
        <f t="shared" si="10"/>
        <v>15.909999999999961</v>
      </c>
    </row>
    <row r="164" spans="6:10" x14ac:dyDescent="0.25">
      <c r="F164" s="4">
        <f t="shared" si="11"/>
        <v>16.009999999999962</v>
      </c>
      <c r="G164" s="4">
        <f>cubspline(3,F164,Data!$B$36:$B$56,Data!$A$36:$A$56)</f>
        <v>0</v>
      </c>
      <c r="H164" s="4">
        <f t="shared" si="12"/>
        <v>1E-10</v>
      </c>
      <c r="I164" s="4">
        <f t="shared" si="9"/>
        <v>16.009999999999962</v>
      </c>
      <c r="J164" s="2">
        <f t="shared" si="10"/>
        <v>16.009999999999962</v>
      </c>
    </row>
    <row r="165" spans="6:10" x14ac:dyDescent="0.25">
      <c r="F165" s="4">
        <f t="shared" si="11"/>
        <v>16.109999999999964</v>
      </c>
      <c r="G165" s="4">
        <f>cubspline(3,F165,Data!$B$36:$B$56,Data!$A$36:$A$56)</f>
        <v>0</v>
      </c>
      <c r="H165" s="4">
        <f t="shared" si="12"/>
        <v>1E-10</v>
      </c>
      <c r="I165" s="4">
        <f t="shared" si="9"/>
        <v>16.109999999999964</v>
      </c>
      <c r="J165" s="2">
        <f t="shared" si="10"/>
        <v>16.109999999999964</v>
      </c>
    </row>
    <row r="166" spans="6:10" x14ac:dyDescent="0.25">
      <c r="F166" s="4">
        <f t="shared" si="11"/>
        <v>16.209999999999965</v>
      </c>
      <c r="G166" s="4">
        <f>cubspline(3,F166,Data!$B$36:$B$56,Data!$A$36:$A$56)</f>
        <v>0</v>
      </c>
      <c r="H166" s="4">
        <f t="shared" si="12"/>
        <v>1E-10</v>
      </c>
      <c r="I166" s="4">
        <f t="shared" si="9"/>
        <v>16.209999999999965</v>
      </c>
      <c r="J166" s="2">
        <f t="shared" si="10"/>
        <v>16.209999999999965</v>
      </c>
    </row>
    <row r="167" spans="6:10" x14ac:dyDescent="0.25">
      <c r="F167" s="4">
        <f t="shared" si="11"/>
        <v>16.309999999999967</v>
      </c>
      <c r="G167" s="4">
        <f>cubspline(3,F167,Data!$B$36:$B$56,Data!$A$36:$A$56)</f>
        <v>0</v>
      </c>
      <c r="H167" s="4">
        <f t="shared" si="12"/>
        <v>1E-10</v>
      </c>
      <c r="I167" s="4">
        <f t="shared" si="9"/>
        <v>16.309999999999967</v>
      </c>
      <c r="J167" s="2">
        <f t="shared" si="10"/>
        <v>16.309999999999967</v>
      </c>
    </row>
    <row r="168" spans="6:10" x14ac:dyDescent="0.25">
      <c r="F168" s="4">
        <f t="shared" si="11"/>
        <v>16.409999999999968</v>
      </c>
      <c r="G168" s="4">
        <f>cubspline(3,F168,Data!$B$36:$B$56,Data!$A$36:$A$56)</f>
        <v>0</v>
      </c>
      <c r="H168" s="4">
        <f t="shared" si="12"/>
        <v>1E-10</v>
      </c>
      <c r="I168" s="4">
        <f t="shared" si="9"/>
        <v>16.409999999999968</v>
      </c>
      <c r="J168" s="2">
        <f t="shared" si="10"/>
        <v>16.409999999999968</v>
      </c>
    </row>
    <row r="169" spans="6:10" x14ac:dyDescent="0.25">
      <c r="F169" s="4">
        <f t="shared" si="11"/>
        <v>16.50999999999997</v>
      </c>
      <c r="G169" s="4">
        <f>cubspline(3,F169,Data!$B$36:$B$56,Data!$A$36:$A$56)</f>
        <v>0</v>
      </c>
      <c r="H169" s="4">
        <f t="shared" si="12"/>
        <v>1E-10</v>
      </c>
      <c r="I169" s="4">
        <f t="shared" si="9"/>
        <v>16.50999999999997</v>
      </c>
      <c r="J169" s="2">
        <f t="shared" si="10"/>
        <v>16.50999999999997</v>
      </c>
    </row>
    <row r="170" spans="6:10" x14ac:dyDescent="0.25">
      <c r="F170" s="4">
        <f t="shared" si="11"/>
        <v>16.609999999999971</v>
      </c>
      <c r="G170" s="4">
        <f>cubspline(3,F170,Data!$B$36:$B$56,Data!$A$36:$A$56)</f>
        <v>0</v>
      </c>
      <c r="H170" s="4">
        <f t="shared" si="12"/>
        <v>1E-10</v>
      </c>
      <c r="I170" s="4">
        <f t="shared" si="9"/>
        <v>16.609999999999971</v>
      </c>
      <c r="J170" s="2">
        <f t="shared" si="10"/>
        <v>16.609999999999971</v>
      </c>
    </row>
    <row r="171" spans="6:10" x14ac:dyDescent="0.25">
      <c r="F171" s="4">
        <f t="shared" si="11"/>
        <v>16.709999999999972</v>
      </c>
      <c r="G171" s="4">
        <f>cubspline(3,F171,Data!$B$36:$B$56,Data!$A$36:$A$56)</f>
        <v>0</v>
      </c>
      <c r="H171" s="4">
        <f t="shared" si="12"/>
        <v>1E-10</v>
      </c>
      <c r="I171" s="4">
        <f t="shared" si="9"/>
        <v>16.709999999999972</v>
      </c>
      <c r="J171" s="2">
        <f t="shared" si="10"/>
        <v>16.709999999999972</v>
      </c>
    </row>
    <row r="172" spans="6:10" x14ac:dyDescent="0.25">
      <c r="F172" s="4">
        <f t="shared" si="11"/>
        <v>16.809999999999974</v>
      </c>
      <c r="G172" s="4">
        <f>cubspline(3,F172,Data!$B$36:$B$56,Data!$A$36:$A$56)</f>
        <v>0</v>
      </c>
      <c r="H172" s="4">
        <f t="shared" si="12"/>
        <v>1E-10</v>
      </c>
      <c r="I172" s="4">
        <f t="shared" si="9"/>
        <v>16.809999999999974</v>
      </c>
      <c r="J172" s="2">
        <f t="shared" si="10"/>
        <v>16.809999999999974</v>
      </c>
    </row>
    <row r="173" spans="6:10" x14ac:dyDescent="0.25">
      <c r="F173" s="4">
        <f t="shared" si="11"/>
        <v>16.909999999999975</v>
      </c>
      <c r="G173" s="4">
        <f>cubspline(3,F173,Data!$B$36:$B$56,Data!$A$36:$A$56)</f>
        <v>0</v>
      </c>
      <c r="H173" s="4">
        <f t="shared" si="12"/>
        <v>1E-10</v>
      </c>
      <c r="I173" s="4">
        <f t="shared" si="9"/>
        <v>16.909999999999975</v>
      </c>
      <c r="J173" s="2">
        <f t="shared" si="10"/>
        <v>16.909999999999975</v>
      </c>
    </row>
    <row r="174" spans="6:10" x14ac:dyDescent="0.25">
      <c r="F174" s="4">
        <f t="shared" si="11"/>
        <v>17.009999999999977</v>
      </c>
      <c r="G174" s="4">
        <f>cubspline(3,F174,Data!$B$36:$B$56,Data!$A$36:$A$56)</f>
        <v>0</v>
      </c>
      <c r="H174" s="4">
        <f t="shared" si="12"/>
        <v>1E-10</v>
      </c>
      <c r="I174" s="4">
        <f t="shared" si="9"/>
        <v>17.009999999999977</v>
      </c>
      <c r="J174" s="2">
        <f t="shared" si="10"/>
        <v>17.009999999999977</v>
      </c>
    </row>
    <row r="175" spans="6:10" x14ac:dyDescent="0.25">
      <c r="F175" s="4">
        <f t="shared" si="11"/>
        <v>17.109999999999978</v>
      </c>
      <c r="G175" s="4">
        <f>cubspline(3,F175,Data!$B$36:$B$56,Data!$A$36:$A$56)</f>
        <v>0</v>
      </c>
      <c r="H175" s="4">
        <f t="shared" si="12"/>
        <v>1E-10</v>
      </c>
      <c r="I175" s="4">
        <f t="shared" si="9"/>
        <v>17.109999999999978</v>
      </c>
      <c r="J175" s="2">
        <f t="shared" si="10"/>
        <v>17.109999999999978</v>
      </c>
    </row>
    <row r="176" spans="6:10" x14ac:dyDescent="0.25">
      <c r="F176" s="4">
        <f t="shared" si="11"/>
        <v>17.20999999999998</v>
      </c>
      <c r="G176" s="4">
        <f>cubspline(3,F176,Data!$B$36:$B$56,Data!$A$36:$A$56)</f>
        <v>0</v>
      </c>
      <c r="H176" s="4">
        <f t="shared" si="12"/>
        <v>1E-10</v>
      </c>
      <c r="I176" s="4">
        <f t="shared" si="9"/>
        <v>17.20999999999998</v>
      </c>
      <c r="J176" s="2">
        <f t="shared" si="10"/>
        <v>17.20999999999998</v>
      </c>
    </row>
    <row r="177" spans="6:10" x14ac:dyDescent="0.25">
      <c r="F177" s="4">
        <f t="shared" si="11"/>
        <v>17.309999999999981</v>
      </c>
      <c r="G177" s="4">
        <f>cubspline(3,F177,Data!$B$36:$B$56,Data!$A$36:$A$56)</f>
        <v>0</v>
      </c>
      <c r="H177" s="4">
        <f t="shared" si="12"/>
        <v>1E-10</v>
      </c>
      <c r="I177" s="4">
        <f t="shared" si="9"/>
        <v>17.309999999999981</v>
      </c>
      <c r="J177" s="2">
        <f t="shared" si="10"/>
        <v>17.309999999999981</v>
      </c>
    </row>
    <row r="178" spans="6:10" x14ac:dyDescent="0.25">
      <c r="F178" s="4">
        <f t="shared" si="11"/>
        <v>17.409999999999982</v>
      </c>
      <c r="G178" s="4">
        <f>cubspline(3,F178,Data!$B$36:$B$56,Data!$A$36:$A$56)</f>
        <v>0</v>
      </c>
      <c r="H178" s="4">
        <f t="shared" si="12"/>
        <v>1E-10</v>
      </c>
      <c r="I178" s="4">
        <f t="shared" si="9"/>
        <v>17.409999999999982</v>
      </c>
      <c r="J178" s="2">
        <f t="shared" si="10"/>
        <v>17.409999999999982</v>
      </c>
    </row>
    <row r="179" spans="6:10" x14ac:dyDescent="0.25">
      <c r="F179" s="4">
        <f t="shared" si="11"/>
        <v>17.509999999999984</v>
      </c>
      <c r="G179" s="4">
        <f>cubspline(3,F179,Data!$B$36:$B$56,Data!$A$36:$A$56)</f>
        <v>0</v>
      </c>
      <c r="H179" s="4">
        <f t="shared" si="12"/>
        <v>1E-10</v>
      </c>
      <c r="I179" s="4">
        <f t="shared" si="9"/>
        <v>17.509999999999984</v>
      </c>
      <c r="J179" s="2">
        <f t="shared" si="10"/>
        <v>17.509999999999984</v>
      </c>
    </row>
    <row r="180" spans="6:10" x14ac:dyDescent="0.25">
      <c r="F180" s="4">
        <f t="shared" si="11"/>
        <v>17.609999999999985</v>
      </c>
      <c r="G180" s="4">
        <f>cubspline(3,F180,Data!$B$36:$B$56,Data!$A$36:$A$56)</f>
        <v>0</v>
      </c>
      <c r="H180" s="4">
        <f t="shared" si="12"/>
        <v>1E-10</v>
      </c>
      <c r="I180" s="4">
        <f t="shared" si="9"/>
        <v>17.609999999999985</v>
      </c>
      <c r="J180" s="2">
        <f t="shared" si="10"/>
        <v>17.609999999999985</v>
      </c>
    </row>
    <row r="181" spans="6:10" x14ac:dyDescent="0.25">
      <c r="F181" s="4">
        <f t="shared" si="11"/>
        <v>17.709999999999987</v>
      </c>
      <c r="G181" s="4">
        <f>cubspline(3,F181,Data!$B$36:$B$56,Data!$A$36:$A$56)</f>
        <v>0</v>
      </c>
      <c r="H181" s="4">
        <f t="shared" si="12"/>
        <v>1E-10</v>
      </c>
      <c r="I181" s="4">
        <f t="shared" si="9"/>
        <v>17.709999999999987</v>
      </c>
      <c r="J181" s="2">
        <f t="shared" si="10"/>
        <v>17.709999999999987</v>
      </c>
    </row>
    <row r="182" spans="6:10" x14ac:dyDescent="0.25">
      <c r="F182" s="4">
        <f t="shared" si="11"/>
        <v>17.809999999999988</v>
      </c>
      <c r="G182" s="4">
        <f>cubspline(3,F182,Data!$B$36:$B$56,Data!$A$36:$A$56)</f>
        <v>0</v>
      </c>
      <c r="H182" s="4">
        <f t="shared" si="12"/>
        <v>1E-10</v>
      </c>
      <c r="I182" s="4">
        <f t="shared" si="9"/>
        <v>17.809999999999988</v>
      </c>
      <c r="J182" s="2">
        <f t="shared" si="10"/>
        <v>17.809999999999988</v>
      </c>
    </row>
    <row r="183" spans="6:10" x14ac:dyDescent="0.25">
      <c r="F183" s="4">
        <f t="shared" si="11"/>
        <v>17.909999999999989</v>
      </c>
      <c r="G183" s="4">
        <f>cubspline(3,F183,Data!$B$36:$B$56,Data!$A$36:$A$56)</f>
        <v>0</v>
      </c>
      <c r="H183" s="4">
        <f t="shared" si="12"/>
        <v>1E-10</v>
      </c>
      <c r="I183" s="4">
        <f t="shared" si="9"/>
        <v>17.909999999999989</v>
      </c>
      <c r="J183" s="2">
        <f t="shared" si="10"/>
        <v>17.909999999999989</v>
      </c>
    </row>
    <row r="184" spans="6:10" x14ac:dyDescent="0.25">
      <c r="F184" s="4">
        <f t="shared" si="11"/>
        <v>18.009999999999991</v>
      </c>
      <c r="G184" s="4">
        <f>cubspline(3,F184,Data!$B$36:$B$56,Data!$A$36:$A$56)</f>
        <v>0</v>
      </c>
      <c r="H184" s="4">
        <f t="shared" si="12"/>
        <v>1E-10</v>
      </c>
      <c r="I184" s="4">
        <f t="shared" si="9"/>
        <v>18.009999999999991</v>
      </c>
      <c r="J184" s="2">
        <f t="shared" si="10"/>
        <v>18.009999999999991</v>
      </c>
    </row>
    <row r="185" spans="6:10" x14ac:dyDescent="0.25">
      <c r="F185" s="4">
        <f t="shared" si="11"/>
        <v>18.109999999999992</v>
      </c>
      <c r="G185" s="4">
        <f>cubspline(3,F185,Data!$B$36:$B$56,Data!$A$36:$A$56)</f>
        <v>0</v>
      </c>
      <c r="H185" s="4">
        <f t="shared" si="12"/>
        <v>1E-10</v>
      </c>
      <c r="I185" s="4">
        <f t="shared" si="9"/>
        <v>18.109999999999992</v>
      </c>
      <c r="J185" s="2">
        <f t="shared" si="10"/>
        <v>18.109999999999992</v>
      </c>
    </row>
    <row r="186" spans="6:10" x14ac:dyDescent="0.25">
      <c r="F186" s="4">
        <f t="shared" si="11"/>
        <v>18.209999999999994</v>
      </c>
      <c r="G186" s="4">
        <f>cubspline(3,F186,Data!$B$36:$B$56,Data!$A$36:$A$56)</f>
        <v>0</v>
      </c>
      <c r="H186" s="4">
        <f t="shared" si="12"/>
        <v>1E-10</v>
      </c>
      <c r="I186" s="4">
        <f t="shared" si="9"/>
        <v>18.209999999999994</v>
      </c>
      <c r="J186" s="2">
        <f t="shared" si="10"/>
        <v>18.209999999999994</v>
      </c>
    </row>
    <row r="187" spans="6:10" x14ac:dyDescent="0.25">
      <c r="F187" s="4">
        <f t="shared" si="11"/>
        <v>18.309999999999995</v>
      </c>
      <c r="G187" s="4">
        <f>cubspline(3,F187,Data!$B$36:$B$56,Data!$A$36:$A$56)</f>
        <v>0</v>
      </c>
      <c r="H187" s="4">
        <f t="shared" si="12"/>
        <v>1E-10</v>
      </c>
      <c r="I187" s="4">
        <f t="shared" si="9"/>
        <v>18.309999999999995</v>
      </c>
      <c r="J187" s="2">
        <f t="shared" si="10"/>
        <v>18.309999999999995</v>
      </c>
    </row>
    <row r="188" spans="6:10" x14ac:dyDescent="0.25">
      <c r="F188" s="4">
        <f t="shared" si="11"/>
        <v>18.409999999999997</v>
      </c>
      <c r="G188" s="4">
        <f>cubspline(3,F188,Data!$B$36:$B$56,Data!$A$36:$A$56)</f>
        <v>0</v>
      </c>
      <c r="H188" s="4">
        <f t="shared" si="12"/>
        <v>1E-10</v>
      </c>
      <c r="I188" s="4">
        <f t="shared" si="9"/>
        <v>18.409999999999997</v>
      </c>
      <c r="J188" s="2">
        <f t="shared" si="10"/>
        <v>18.409999999999997</v>
      </c>
    </row>
    <row r="189" spans="6:10" x14ac:dyDescent="0.25">
      <c r="F189" s="4">
        <f t="shared" si="11"/>
        <v>18.509999999999998</v>
      </c>
      <c r="G189" s="4">
        <f>cubspline(3,F189,Data!$B$36:$B$56,Data!$A$36:$A$56)</f>
        <v>0</v>
      </c>
      <c r="H189" s="4">
        <f t="shared" si="12"/>
        <v>1E-10</v>
      </c>
      <c r="I189" s="4">
        <f t="shared" si="9"/>
        <v>18.509999999999998</v>
      </c>
      <c r="J189" s="2">
        <f t="shared" si="10"/>
        <v>18.509999999999998</v>
      </c>
    </row>
    <row r="190" spans="6:10" x14ac:dyDescent="0.25">
      <c r="F190" s="4">
        <f t="shared" si="11"/>
        <v>18.61</v>
      </c>
      <c r="G190" s="4">
        <f>cubspline(3,F190,Data!$B$36:$B$56,Data!$A$36:$A$56)</f>
        <v>0</v>
      </c>
      <c r="H190" s="4">
        <f t="shared" si="12"/>
        <v>1E-10</v>
      </c>
      <c r="I190" s="4">
        <f t="shared" si="9"/>
        <v>18.61</v>
      </c>
      <c r="J190" s="2">
        <f t="shared" si="10"/>
        <v>18.61</v>
      </c>
    </row>
    <row r="191" spans="6:10" x14ac:dyDescent="0.25">
      <c r="F191" s="4">
        <f t="shared" si="11"/>
        <v>18.71</v>
      </c>
      <c r="G191" s="4">
        <f>cubspline(3,F191,Data!$B$36:$B$56,Data!$A$36:$A$56)</f>
        <v>0</v>
      </c>
      <c r="H191" s="4">
        <f t="shared" si="12"/>
        <v>1E-10</v>
      </c>
      <c r="I191" s="4">
        <f t="shared" si="9"/>
        <v>18.71</v>
      </c>
      <c r="J191" s="2">
        <f t="shared" si="10"/>
        <v>18.71</v>
      </c>
    </row>
    <row r="192" spans="6:10" x14ac:dyDescent="0.25">
      <c r="F192" s="4">
        <f t="shared" si="11"/>
        <v>18.810000000000002</v>
      </c>
      <c r="G192" s="4">
        <f>cubspline(3,F192,Data!$B$36:$B$56,Data!$A$36:$A$56)</f>
        <v>0</v>
      </c>
      <c r="H192" s="4">
        <f t="shared" si="12"/>
        <v>1E-10</v>
      </c>
      <c r="I192" s="4">
        <f t="shared" si="9"/>
        <v>18.810000000000002</v>
      </c>
      <c r="J192" s="2">
        <f t="shared" si="10"/>
        <v>18.810000000000002</v>
      </c>
    </row>
    <row r="193" spans="6:10" x14ac:dyDescent="0.25">
      <c r="F193" s="4">
        <f t="shared" si="11"/>
        <v>18.910000000000004</v>
      </c>
      <c r="G193" s="4">
        <f>cubspline(3,F193,Data!$B$36:$B$56,Data!$A$36:$A$56)</f>
        <v>0</v>
      </c>
      <c r="H193" s="4">
        <f t="shared" si="12"/>
        <v>1E-10</v>
      </c>
      <c r="I193" s="4">
        <f t="shared" si="9"/>
        <v>18.910000000000004</v>
      </c>
      <c r="J193" s="2">
        <f t="shared" si="10"/>
        <v>18.910000000000004</v>
      </c>
    </row>
    <row r="194" spans="6:10" x14ac:dyDescent="0.25">
      <c r="F194" s="4">
        <f t="shared" si="11"/>
        <v>19.010000000000005</v>
      </c>
      <c r="G194" s="4">
        <f>cubspline(3,F194,Data!$B$36:$B$56,Data!$A$36:$A$56)</f>
        <v>0</v>
      </c>
      <c r="H194" s="4">
        <f t="shared" si="12"/>
        <v>1E-10</v>
      </c>
      <c r="I194" s="4">
        <f t="shared" si="9"/>
        <v>19.010000000000005</v>
      </c>
      <c r="J194" s="2">
        <f t="shared" si="10"/>
        <v>19.010000000000005</v>
      </c>
    </row>
    <row r="195" spans="6:10" x14ac:dyDescent="0.25">
      <c r="F195" s="4">
        <f t="shared" si="11"/>
        <v>19.110000000000007</v>
      </c>
      <c r="G195" s="4">
        <f>cubspline(3,F195,Data!$B$36:$B$56,Data!$A$36:$A$56)</f>
        <v>0</v>
      </c>
      <c r="H195" s="4">
        <f t="shared" si="12"/>
        <v>1E-10</v>
      </c>
      <c r="I195" s="4">
        <f t="shared" si="9"/>
        <v>19.110000000000007</v>
      </c>
      <c r="J195" s="2">
        <f t="shared" si="10"/>
        <v>19.110000000000007</v>
      </c>
    </row>
    <row r="196" spans="6:10" x14ac:dyDescent="0.25">
      <c r="F196" s="4">
        <f t="shared" si="11"/>
        <v>19.210000000000008</v>
      </c>
      <c r="G196" s="4">
        <f>cubspline(3,F196,Data!$B$36:$B$56,Data!$A$36:$A$56)</f>
        <v>0</v>
      </c>
      <c r="H196" s="4">
        <f t="shared" si="12"/>
        <v>1E-10</v>
      </c>
      <c r="I196" s="4">
        <f t="shared" si="9"/>
        <v>19.210000000000008</v>
      </c>
      <c r="J196" s="2">
        <f t="shared" si="10"/>
        <v>19.210000000000008</v>
      </c>
    </row>
    <row r="197" spans="6:10" x14ac:dyDescent="0.25">
      <c r="F197" s="4">
        <f t="shared" si="11"/>
        <v>19.310000000000009</v>
      </c>
      <c r="G197" s="4">
        <f>cubspline(3,F197,Data!$B$36:$B$56,Data!$A$36:$A$56)</f>
        <v>0</v>
      </c>
      <c r="H197" s="4">
        <f t="shared" si="12"/>
        <v>1E-10</v>
      </c>
      <c r="I197" s="4">
        <f t="shared" ref="I197:I260" si="13">IF(F197&gt;$D$47,F197,NA())</f>
        <v>19.310000000000009</v>
      </c>
      <c r="J197" s="2">
        <f t="shared" ref="J197:J260" si="14">IF(F197&gt;=$D$47,F197,($D$47-(0.3*($D$47-F197))))</f>
        <v>19.310000000000009</v>
      </c>
    </row>
    <row r="198" spans="6:10" x14ac:dyDescent="0.25">
      <c r="F198" s="4">
        <f t="shared" ref="F198:F261" si="15">F197+0.1</f>
        <v>19.410000000000011</v>
      </c>
      <c r="G198" s="4">
        <f>cubspline(3,F198,Data!$B$36:$B$56,Data!$A$36:$A$56)</f>
        <v>0</v>
      </c>
      <c r="H198" s="4">
        <f t="shared" ref="H198:H261" si="16">IF(G198&lt;=0,0.0000000001,G198)</f>
        <v>1E-10</v>
      </c>
      <c r="I198" s="4">
        <f t="shared" si="13"/>
        <v>19.410000000000011</v>
      </c>
      <c r="J198" s="2">
        <f t="shared" si="14"/>
        <v>19.410000000000011</v>
      </c>
    </row>
    <row r="199" spans="6:10" x14ac:dyDescent="0.25">
      <c r="F199" s="4">
        <f t="shared" si="15"/>
        <v>19.510000000000012</v>
      </c>
      <c r="G199" s="4">
        <f>cubspline(3,F199,Data!$B$36:$B$56,Data!$A$36:$A$56)</f>
        <v>0</v>
      </c>
      <c r="H199" s="4">
        <f t="shared" si="16"/>
        <v>1E-10</v>
      </c>
      <c r="I199" s="4">
        <f t="shared" si="13"/>
        <v>19.510000000000012</v>
      </c>
      <c r="J199" s="2">
        <f t="shared" si="14"/>
        <v>19.510000000000012</v>
      </c>
    </row>
    <row r="200" spans="6:10" x14ac:dyDescent="0.25">
      <c r="F200" s="4">
        <f t="shared" si="15"/>
        <v>19.610000000000014</v>
      </c>
      <c r="G200" s="4">
        <f>cubspline(3,F200,Data!$B$36:$B$56,Data!$A$36:$A$56)</f>
        <v>0</v>
      </c>
      <c r="H200" s="4">
        <f t="shared" si="16"/>
        <v>1E-10</v>
      </c>
      <c r="I200" s="4">
        <f t="shared" si="13"/>
        <v>19.610000000000014</v>
      </c>
      <c r="J200" s="2">
        <f t="shared" si="14"/>
        <v>19.610000000000014</v>
      </c>
    </row>
    <row r="201" spans="6:10" x14ac:dyDescent="0.25">
      <c r="F201" s="4">
        <f t="shared" si="15"/>
        <v>19.710000000000015</v>
      </c>
      <c r="G201" s="4">
        <f>cubspline(3,F201,Data!$B$36:$B$56,Data!$A$36:$A$56)</f>
        <v>0</v>
      </c>
      <c r="H201" s="4">
        <f t="shared" si="16"/>
        <v>1E-10</v>
      </c>
      <c r="I201" s="4">
        <f t="shared" si="13"/>
        <v>19.710000000000015</v>
      </c>
      <c r="J201" s="2">
        <f t="shared" si="14"/>
        <v>19.710000000000015</v>
      </c>
    </row>
    <row r="202" spans="6:10" x14ac:dyDescent="0.25">
      <c r="F202" s="4">
        <f t="shared" si="15"/>
        <v>19.810000000000016</v>
      </c>
      <c r="G202" s="4">
        <f>cubspline(3,F202,Data!$B$36:$B$56,Data!$A$36:$A$56)</f>
        <v>0</v>
      </c>
      <c r="H202" s="4">
        <f t="shared" si="16"/>
        <v>1E-10</v>
      </c>
      <c r="I202" s="4">
        <f t="shared" si="13"/>
        <v>19.810000000000016</v>
      </c>
      <c r="J202" s="2">
        <f t="shared" si="14"/>
        <v>19.810000000000016</v>
      </c>
    </row>
    <row r="203" spans="6:10" x14ac:dyDescent="0.25">
      <c r="F203" s="4">
        <f t="shared" si="15"/>
        <v>19.910000000000018</v>
      </c>
      <c r="G203" s="4">
        <f>cubspline(3,F203,Data!$B$36:$B$56,Data!$A$36:$A$56)</f>
        <v>0</v>
      </c>
      <c r="H203" s="4">
        <f t="shared" si="16"/>
        <v>1E-10</v>
      </c>
      <c r="I203" s="4">
        <f t="shared" si="13"/>
        <v>19.910000000000018</v>
      </c>
      <c r="J203" s="2">
        <f t="shared" si="14"/>
        <v>19.910000000000018</v>
      </c>
    </row>
    <row r="204" spans="6:10" x14ac:dyDescent="0.25">
      <c r="F204" s="4">
        <f t="shared" si="15"/>
        <v>20.010000000000019</v>
      </c>
      <c r="G204" s="4">
        <f>cubspline(3,F204,Data!$B$36:$B$56,Data!$A$36:$A$56)</f>
        <v>0</v>
      </c>
      <c r="H204" s="4">
        <f t="shared" si="16"/>
        <v>1E-10</v>
      </c>
      <c r="I204" s="4">
        <f t="shared" si="13"/>
        <v>20.010000000000019</v>
      </c>
      <c r="J204" s="2">
        <f t="shared" si="14"/>
        <v>20.010000000000019</v>
      </c>
    </row>
    <row r="205" spans="6:10" x14ac:dyDescent="0.25">
      <c r="F205" s="4">
        <f t="shared" si="15"/>
        <v>20.110000000000021</v>
      </c>
      <c r="G205" s="4">
        <f>cubspline(3,F205,Data!$B$36:$B$56,Data!$A$36:$A$56)</f>
        <v>0</v>
      </c>
      <c r="H205" s="4">
        <f t="shared" si="16"/>
        <v>1E-10</v>
      </c>
      <c r="I205" s="4">
        <f t="shared" si="13"/>
        <v>20.110000000000021</v>
      </c>
      <c r="J205" s="2">
        <f t="shared" si="14"/>
        <v>20.110000000000021</v>
      </c>
    </row>
    <row r="206" spans="6:10" x14ac:dyDescent="0.25">
      <c r="F206" s="4">
        <f t="shared" si="15"/>
        <v>20.210000000000022</v>
      </c>
      <c r="G206" s="4">
        <f>cubspline(3,F206,Data!$B$36:$B$56,Data!$A$36:$A$56)</f>
        <v>0</v>
      </c>
      <c r="H206" s="4">
        <f t="shared" si="16"/>
        <v>1E-10</v>
      </c>
      <c r="I206" s="4">
        <f t="shared" si="13"/>
        <v>20.210000000000022</v>
      </c>
      <c r="J206" s="2">
        <f t="shared" si="14"/>
        <v>20.210000000000022</v>
      </c>
    </row>
    <row r="207" spans="6:10" x14ac:dyDescent="0.25">
      <c r="F207" s="4">
        <f t="shared" si="15"/>
        <v>20.310000000000024</v>
      </c>
      <c r="G207" s="4">
        <f>cubspline(3,F207,Data!$B$36:$B$56,Data!$A$36:$A$56)</f>
        <v>0</v>
      </c>
      <c r="H207" s="4">
        <f t="shared" si="16"/>
        <v>1E-10</v>
      </c>
      <c r="I207" s="4">
        <f t="shared" si="13"/>
        <v>20.310000000000024</v>
      </c>
      <c r="J207" s="2">
        <f t="shared" si="14"/>
        <v>20.310000000000024</v>
      </c>
    </row>
    <row r="208" spans="6:10" x14ac:dyDescent="0.25">
      <c r="F208" s="4">
        <f t="shared" si="15"/>
        <v>20.410000000000025</v>
      </c>
      <c r="G208" s="4">
        <f>cubspline(3,F208,Data!$B$36:$B$56,Data!$A$36:$A$56)</f>
        <v>0</v>
      </c>
      <c r="H208" s="4">
        <f t="shared" si="16"/>
        <v>1E-10</v>
      </c>
      <c r="I208" s="4">
        <f t="shared" si="13"/>
        <v>20.410000000000025</v>
      </c>
      <c r="J208" s="2">
        <f t="shared" si="14"/>
        <v>20.410000000000025</v>
      </c>
    </row>
    <row r="209" spans="6:10" x14ac:dyDescent="0.25">
      <c r="F209" s="4">
        <f t="shared" si="15"/>
        <v>20.510000000000026</v>
      </c>
      <c r="G209" s="4">
        <f>cubspline(3,F209,Data!$B$36:$B$56,Data!$A$36:$A$56)</f>
        <v>0</v>
      </c>
      <c r="H209" s="4">
        <f t="shared" si="16"/>
        <v>1E-10</v>
      </c>
      <c r="I209" s="4">
        <f t="shared" si="13"/>
        <v>20.510000000000026</v>
      </c>
      <c r="J209" s="2">
        <f t="shared" si="14"/>
        <v>20.510000000000026</v>
      </c>
    </row>
    <row r="210" spans="6:10" x14ac:dyDescent="0.25">
      <c r="F210" s="4">
        <f t="shared" si="15"/>
        <v>20.610000000000028</v>
      </c>
      <c r="G210" s="4">
        <f>cubspline(3,F210,Data!$B$36:$B$56,Data!$A$36:$A$56)</f>
        <v>0</v>
      </c>
      <c r="H210" s="4">
        <f t="shared" si="16"/>
        <v>1E-10</v>
      </c>
      <c r="I210" s="4">
        <f t="shared" si="13"/>
        <v>20.610000000000028</v>
      </c>
      <c r="J210" s="2">
        <f t="shared" si="14"/>
        <v>20.610000000000028</v>
      </c>
    </row>
    <row r="211" spans="6:10" x14ac:dyDescent="0.25">
      <c r="F211" s="4">
        <f t="shared" si="15"/>
        <v>20.710000000000029</v>
      </c>
      <c r="G211" s="4">
        <f>cubspline(3,F211,Data!$B$36:$B$56,Data!$A$36:$A$56)</f>
        <v>0</v>
      </c>
      <c r="H211" s="4">
        <f t="shared" si="16"/>
        <v>1E-10</v>
      </c>
      <c r="I211" s="4">
        <f t="shared" si="13"/>
        <v>20.710000000000029</v>
      </c>
      <c r="J211" s="2">
        <f t="shared" si="14"/>
        <v>20.710000000000029</v>
      </c>
    </row>
    <row r="212" spans="6:10" x14ac:dyDescent="0.25">
      <c r="F212" s="4">
        <f t="shared" si="15"/>
        <v>20.810000000000031</v>
      </c>
      <c r="G212" s="4">
        <f>cubspline(3,F212,Data!$B$36:$B$56,Data!$A$36:$A$56)</f>
        <v>0</v>
      </c>
      <c r="H212" s="4">
        <f t="shared" si="16"/>
        <v>1E-10</v>
      </c>
      <c r="I212" s="4">
        <f t="shared" si="13"/>
        <v>20.810000000000031</v>
      </c>
      <c r="J212" s="2">
        <f t="shared" si="14"/>
        <v>20.810000000000031</v>
      </c>
    </row>
    <row r="213" spans="6:10" x14ac:dyDescent="0.25">
      <c r="F213" s="4">
        <f t="shared" si="15"/>
        <v>20.910000000000032</v>
      </c>
      <c r="G213" s="4">
        <f>cubspline(3,F213,Data!$B$36:$B$56,Data!$A$36:$A$56)</f>
        <v>0</v>
      </c>
      <c r="H213" s="4">
        <f t="shared" si="16"/>
        <v>1E-10</v>
      </c>
      <c r="I213" s="4">
        <f t="shared" si="13"/>
        <v>20.910000000000032</v>
      </c>
      <c r="J213" s="2">
        <f t="shared" si="14"/>
        <v>20.910000000000032</v>
      </c>
    </row>
    <row r="214" spans="6:10" x14ac:dyDescent="0.25">
      <c r="F214" s="4">
        <f t="shared" si="15"/>
        <v>21.010000000000034</v>
      </c>
      <c r="G214" s="4">
        <f>cubspline(3,F214,Data!$B$36:$B$56,Data!$A$36:$A$56)</f>
        <v>0</v>
      </c>
      <c r="H214" s="4">
        <f t="shared" si="16"/>
        <v>1E-10</v>
      </c>
      <c r="I214" s="4">
        <f t="shared" si="13"/>
        <v>21.010000000000034</v>
      </c>
      <c r="J214" s="2">
        <f t="shared" si="14"/>
        <v>21.010000000000034</v>
      </c>
    </row>
    <row r="215" spans="6:10" x14ac:dyDescent="0.25">
      <c r="F215" s="4">
        <f t="shared" si="15"/>
        <v>21.110000000000035</v>
      </c>
      <c r="G215" s="4">
        <f>cubspline(3,F215,Data!$B$36:$B$56,Data!$A$36:$A$56)</f>
        <v>0</v>
      </c>
      <c r="H215" s="4">
        <f t="shared" si="16"/>
        <v>1E-10</v>
      </c>
      <c r="I215" s="4">
        <f t="shared" si="13"/>
        <v>21.110000000000035</v>
      </c>
      <c r="J215" s="2">
        <f t="shared" si="14"/>
        <v>21.110000000000035</v>
      </c>
    </row>
    <row r="216" spans="6:10" x14ac:dyDescent="0.25">
      <c r="F216" s="4">
        <f t="shared" si="15"/>
        <v>21.210000000000036</v>
      </c>
      <c r="G216" s="4">
        <f>cubspline(3,F216,Data!$B$36:$B$56,Data!$A$36:$A$56)</f>
        <v>0</v>
      </c>
      <c r="H216" s="4">
        <f t="shared" si="16"/>
        <v>1E-10</v>
      </c>
      <c r="I216" s="4">
        <f t="shared" si="13"/>
        <v>21.210000000000036</v>
      </c>
      <c r="J216" s="2">
        <f t="shared" si="14"/>
        <v>21.210000000000036</v>
      </c>
    </row>
    <row r="217" spans="6:10" x14ac:dyDescent="0.25">
      <c r="F217" s="4">
        <f t="shared" si="15"/>
        <v>21.310000000000038</v>
      </c>
      <c r="G217" s="4">
        <f>cubspline(3,F217,Data!$B$36:$B$56,Data!$A$36:$A$56)</f>
        <v>0</v>
      </c>
      <c r="H217" s="4">
        <f t="shared" si="16"/>
        <v>1E-10</v>
      </c>
      <c r="I217" s="4">
        <f t="shared" si="13"/>
        <v>21.310000000000038</v>
      </c>
      <c r="J217" s="2">
        <f t="shared" si="14"/>
        <v>21.310000000000038</v>
      </c>
    </row>
    <row r="218" spans="6:10" x14ac:dyDescent="0.25">
      <c r="F218" s="4">
        <f t="shared" si="15"/>
        <v>21.410000000000039</v>
      </c>
      <c r="G218" s="4">
        <f>cubspline(3,F218,Data!$B$36:$B$56,Data!$A$36:$A$56)</f>
        <v>0</v>
      </c>
      <c r="H218" s="4">
        <f t="shared" si="16"/>
        <v>1E-10</v>
      </c>
      <c r="I218" s="4">
        <f t="shared" si="13"/>
        <v>21.410000000000039</v>
      </c>
      <c r="J218" s="2">
        <f t="shared" si="14"/>
        <v>21.410000000000039</v>
      </c>
    </row>
    <row r="219" spans="6:10" x14ac:dyDescent="0.25">
      <c r="F219" s="4">
        <f t="shared" si="15"/>
        <v>21.510000000000041</v>
      </c>
      <c r="G219" s="4">
        <f>cubspline(3,F219,Data!$B$36:$B$56,Data!$A$36:$A$56)</f>
        <v>0</v>
      </c>
      <c r="H219" s="4">
        <f t="shared" si="16"/>
        <v>1E-10</v>
      </c>
      <c r="I219" s="4">
        <f t="shared" si="13"/>
        <v>21.510000000000041</v>
      </c>
      <c r="J219" s="2">
        <f t="shared" si="14"/>
        <v>21.510000000000041</v>
      </c>
    </row>
    <row r="220" spans="6:10" x14ac:dyDescent="0.25">
      <c r="F220" s="4">
        <f t="shared" si="15"/>
        <v>21.610000000000042</v>
      </c>
      <c r="G220" s="4">
        <f>cubspline(3,F220,Data!$B$36:$B$56,Data!$A$36:$A$56)</f>
        <v>0</v>
      </c>
      <c r="H220" s="4">
        <f t="shared" si="16"/>
        <v>1E-10</v>
      </c>
      <c r="I220" s="4">
        <f t="shared" si="13"/>
        <v>21.610000000000042</v>
      </c>
      <c r="J220" s="2">
        <f t="shared" si="14"/>
        <v>21.610000000000042</v>
      </c>
    </row>
    <row r="221" spans="6:10" x14ac:dyDescent="0.25">
      <c r="F221" s="4">
        <f t="shared" si="15"/>
        <v>21.710000000000043</v>
      </c>
      <c r="G221" s="4">
        <f>cubspline(3,F221,Data!$B$36:$B$56,Data!$A$36:$A$56)</f>
        <v>0</v>
      </c>
      <c r="H221" s="4">
        <f t="shared" si="16"/>
        <v>1E-10</v>
      </c>
      <c r="I221" s="4">
        <f t="shared" si="13"/>
        <v>21.710000000000043</v>
      </c>
      <c r="J221" s="2">
        <f t="shared" si="14"/>
        <v>21.710000000000043</v>
      </c>
    </row>
    <row r="222" spans="6:10" x14ac:dyDescent="0.25">
      <c r="F222" s="4">
        <f t="shared" si="15"/>
        <v>21.810000000000045</v>
      </c>
      <c r="G222" s="4">
        <f>cubspline(3,F222,Data!$B$36:$B$56,Data!$A$36:$A$56)</f>
        <v>0</v>
      </c>
      <c r="H222" s="4">
        <f t="shared" si="16"/>
        <v>1E-10</v>
      </c>
      <c r="I222" s="4">
        <f t="shared" si="13"/>
        <v>21.810000000000045</v>
      </c>
      <c r="J222" s="2">
        <f t="shared" si="14"/>
        <v>21.810000000000045</v>
      </c>
    </row>
    <row r="223" spans="6:10" x14ac:dyDescent="0.25">
      <c r="F223" s="4">
        <f t="shared" si="15"/>
        <v>21.910000000000046</v>
      </c>
      <c r="G223" s="4">
        <f>cubspline(3,F223,Data!$B$36:$B$56,Data!$A$36:$A$56)</f>
        <v>0</v>
      </c>
      <c r="H223" s="4">
        <f t="shared" si="16"/>
        <v>1E-10</v>
      </c>
      <c r="I223" s="4">
        <f t="shared" si="13"/>
        <v>21.910000000000046</v>
      </c>
      <c r="J223" s="2">
        <f t="shared" si="14"/>
        <v>21.910000000000046</v>
      </c>
    </row>
    <row r="224" spans="6:10" x14ac:dyDescent="0.25">
      <c r="F224" s="4">
        <f t="shared" si="15"/>
        <v>22.010000000000048</v>
      </c>
      <c r="G224" s="4">
        <f>cubspline(3,F224,Data!$B$36:$B$56,Data!$A$36:$A$56)</f>
        <v>0</v>
      </c>
      <c r="H224" s="4">
        <f t="shared" si="16"/>
        <v>1E-10</v>
      </c>
      <c r="I224" s="4">
        <f t="shared" si="13"/>
        <v>22.010000000000048</v>
      </c>
      <c r="J224" s="2">
        <f t="shared" si="14"/>
        <v>22.010000000000048</v>
      </c>
    </row>
    <row r="225" spans="6:10" x14ac:dyDescent="0.25">
      <c r="F225" s="4">
        <f t="shared" si="15"/>
        <v>22.110000000000049</v>
      </c>
      <c r="G225" s="4">
        <f>cubspline(3,F225,Data!$B$36:$B$56,Data!$A$36:$A$56)</f>
        <v>0</v>
      </c>
      <c r="H225" s="4">
        <f t="shared" si="16"/>
        <v>1E-10</v>
      </c>
      <c r="I225" s="4">
        <f t="shared" si="13"/>
        <v>22.110000000000049</v>
      </c>
      <c r="J225" s="2">
        <f t="shared" si="14"/>
        <v>22.110000000000049</v>
      </c>
    </row>
    <row r="226" spans="6:10" x14ac:dyDescent="0.25">
      <c r="F226" s="4">
        <f t="shared" si="15"/>
        <v>22.210000000000051</v>
      </c>
      <c r="G226" s="4">
        <f>cubspline(3,F226,Data!$B$36:$B$56,Data!$A$36:$A$56)</f>
        <v>0</v>
      </c>
      <c r="H226" s="4">
        <f t="shared" si="16"/>
        <v>1E-10</v>
      </c>
      <c r="I226" s="4">
        <f t="shared" si="13"/>
        <v>22.210000000000051</v>
      </c>
      <c r="J226" s="2">
        <f t="shared" si="14"/>
        <v>22.210000000000051</v>
      </c>
    </row>
    <row r="227" spans="6:10" x14ac:dyDescent="0.25">
      <c r="F227" s="4">
        <f t="shared" si="15"/>
        <v>22.310000000000052</v>
      </c>
      <c r="G227" s="4">
        <f>cubspline(3,F227,Data!$B$36:$B$56,Data!$A$36:$A$56)</f>
        <v>0</v>
      </c>
      <c r="H227" s="4">
        <f t="shared" si="16"/>
        <v>1E-10</v>
      </c>
      <c r="I227" s="4">
        <f t="shared" si="13"/>
        <v>22.310000000000052</v>
      </c>
      <c r="J227" s="2">
        <f t="shared" si="14"/>
        <v>22.310000000000052</v>
      </c>
    </row>
    <row r="228" spans="6:10" x14ac:dyDescent="0.25">
      <c r="F228" s="4">
        <f t="shared" si="15"/>
        <v>22.410000000000053</v>
      </c>
      <c r="G228" s="4">
        <f>cubspline(3,F228,Data!$B$36:$B$56,Data!$A$36:$A$56)</f>
        <v>0</v>
      </c>
      <c r="H228" s="4">
        <f t="shared" si="16"/>
        <v>1E-10</v>
      </c>
      <c r="I228" s="4">
        <f t="shared" si="13"/>
        <v>22.410000000000053</v>
      </c>
      <c r="J228" s="2">
        <f t="shared" si="14"/>
        <v>22.410000000000053</v>
      </c>
    </row>
    <row r="229" spans="6:10" x14ac:dyDescent="0.25">
      <c r="F229" s="4">
        <f t="shared" si="15"/>
        <v>22.510000000000055</v>
      </c>
      <c r="G229" s="4">
        <f>cubspline(3,F229,Data!$B$36:$B$56,Data!$A$36:$A$56)</f>
        <v>0</v>
      </c>
      <c r="H229" s="4">
        <f t="shared" si="16"/>
        <v>1E-10</v>
      </c>
      <c r="I229" s="4">
        <f t="shared" si="13"/>
        <v>22.510000000000055</v>
      </c>
      <c r="J229" s="2">
        <f t="shared" si="14"/>
        <v>22.510000000000055</v>
      </c>
    </row>
    <row r="230" spans="6:10" x14ac:dyDescent="0.25">
      <c r="F230" s="4">
        <f t="shared" si="15"/>
        <v>22.610000000000056</v>
      </c>
      <c r="G230" s="4">
        <f>cubspline(3,F230,Data!$B$36:$B$56,Data!$A$36:$A$56)</f>
        <v>0</v>
      </c>
      <c r="H230" s="4">
        <f t="shared" si="16"/>
        <v>1E-10</v>
      </c>
      <c r="I230" s="4">
        <f t="shared" si="13"/>
        <v>22.610000000000056</v>
      </c>
      <c r="J230" s="2">
        <f t="shared" si="14"/>
        <v>22.610000000000056</v>
      </c>
    </row>
    <row r="231" spans="6:10" x14ac:dyDescent="0.25">
      <c r="F231" s="4">
        <f t="shared" si="15"/>
        <v>22.710000000000058</v>
      </c>
      <c r="G231" s="4">
        <f>cubspline(3,F231,Data!$B$36:$B$56,Data!$A$36:$A$56)</f>
        <v>0</v>
      </c>
      <c r="H231" s="4">
        <f t="shared" si="16"/>
        <v>1E-10</v>
      </c>
      <c r="I231" s="4">
        <f t="shared" si="13"/>
        <v>22.710000000000058</v>
      </c>
      <c r="J231" s="2">
        <f t="shared" si="14"/>
        <v>22.710000000000058</v>
      </c>
    </row>
    <row r="232" spans="6:10" x14ac:dyDescent="0.25">
      <c r="F232" s="4">
        <f t="shared" si="15"/>
        <v>22.810000000000059</v>
      </c>
      <c r="G232" s="4">
        <f>cubspline(3,F232,Data!$B$36:$B$56,Data!$A$36:$A$56)</f>
        <v>0</v>
      </c>
      <c r="H232" s="4">
        <f t="shared" si="16"/>
        <v>1E-10</v>
      </c>
      <c r="I232" s="4">
        <f t="shared" si="13"/>
        <v>22.810000000000059</v>
      </c>
      <c r="J232" s="2">
        <f t="shared" si="14"/>
        <v>22.810000000000059</v>
      </c>
    </row>
    <row r="233" spans="6:10" x14ac:dyDescent="0.25">
      <c r="F233" s="4">
        <f t="shared" si="15"/>
        <v>22.910000000000061</v>
      </c>
      <c r="G233" s="4">
        <f>cubspline(3,F233,Data!$B$36:$B$56,Data!$A$36:$A$56)</f>
        <v>0</v>
      </c>
      <c r="H233" s="4">
        <f t="shared" si="16"/>
        <v>1E-10</v>
      </c>
      <c r="I233" s="4">
        <f t="shared" si="13"/>
        <v>22.910000000000061</v>
      </c>
      <c r="J233" s="2">
        <f t="shared" si="14"/>
        <v>22.910000000000061</v>
      </c>
    </row>
    <row r="234" spans="6:10" x14ac:dyDescent="0.25">
      <c r="F234" s="4">
        <f t="shared" si="15"/>
        <v>23.010000000000062</v>
      </c>
      <c r="G234" s="4">
        <f>cubspline(3,F234,Data!$B$36:$B$56,Data!$A$36:$A$56)</f>
        <v>0</v>
      </c>
      <c r="H234" s="4">
        <f t="shared" si="16"/>
        <v>1E-10</v>
      </c>
      <c r="I234" s="4">
        <f t="shared" si="13"/>
        <v>23.010000000000062</v>
      </c>
      <c r="J234" s="2">
        <f t="shared" si="14"/>
        <v>23.010000000000062</v>
      </c>
    </row>
    <row r="235" spans="6:10" x14ac:dyDescent="0.25">
      <c r="F235" s="4">
        <f t="shared" si="15"/>
        <v>23.110000000000063</v>
      </c>
      <c r="G235" s="4">
        <f>cubspline(3,F235,Data!$B$36:$B$56,Data!$A$36:$A$56)</f>
        <v>0</v>
      </c>
      <c r="H235" s="4">
        <f t="shared" si="16"/>
        <v>1E-10</v>
      </c>
      <c r="I235" s="4">
        <f t="shared" si="13"/>
        <v>23.110000000000063</v>
      </c>
      <c r="J235" s="2">
        <f t="shared" si="14"/>
        <v>23.110000000000063</v>
      </c>
    </row>
    <row r="236" spans="6:10" x14ac:dyDescent="0.25">
      <c r="F236" s="4">
        <f t="shared" si="15"/>
        <v>23.210000000000065</v>
      </c>
      <c r="G236" s="4">
        <f>cubspline(3,F236,Data!$B$36:$B$56,Data!$A$36:$A$56)</f>
        <v>0</v>
      </c>
      <c r="H236" s="4">
        <f t="shared" si="16"/>
        <v>1E-10</v>
      </c>
      <c r="I236" s="4">
        <f t="shared" si="13"/>
        <v>23.210000000000065</v>
      </c>
      <c r="J236" s="2">
        <f t="shared" si="14"/>
        <v>23.210000000000065</v>
      </c>
    </row>
    <row r="237" spans="6:10" x14ac:dyDescent="0.25">
      <c r="F237" s="4">
        <f t="shared" si="15"/>
        <v>23.310000000000066</v>
      </c>
      <c r="G237" s="4">
        <f>cubspline(3,F237,Data!$B$36:$B$56,Data!$A$36:$A$56)</f>
        <v>0</v>
      </c>
      <c r="H237" s="4">
        <f t="shared" si="16"/>
        <v>1E-10</v>
      </c>
      <c r="I237" s="4">
        <f t="shared" si="13"/>
        <v>23.310000000000066</v>
      </c>
      <c r="J237" s="2">
        <f t="shared" si="14"/>
        <v>23.310000000000066</v>
      </c>
    </row>
    <row r="238" spans="6:10" x14ac:dyDescent="0.25">
      <c r="F238" s="4">
        <f t="shared" si="15"/>
        <v>23.410000000000068</v>
      </c>
      <c r="G238" s="4">
        <f>cubspline(3,F238,Data!$B$36:$B$56,Data!$A$36:$A$56)</f>
        <v>0</v>
      </c>
      <c r="H238" s="4">
        <f t="shared" si="16"/>
        <v>1E-10</v>
      </c>
      <c r="I238" s="4">
        <f t="shared" si="13"/>
        <v>23.410000000000068</v>
      </c>
      <c r="J238" s="2">
        <f t="shared" si="14"/>
        <v>23.410000000000068</v>
      </c>
    </row>
    <row r="239" spans="6:10" x14ac:dyDescent="0.25">
      <c r="F239" s="4">
        <f t="shared" si="15"/>
        <v>23.510000000000069</v>
      </c>
      <c r="G239" s="4">
        <f>cubspline(3,F239,Data!$B$36:$B$56,Data!$A$36:$A$56)</f>
        <v>0</v>
      </c>
      <c r="H239" s="4">
        <f t="shared" si="16"/>
        <v>1E-10</v>
      </c>
      <c r="I239" s="4">
        <f t="shared" si="13"/>
        <v>23.510000000000069</v>
      </c>
      <c r="J239" s="2">
        <f t="shared" si="14"/>
        <v>23.510000000000069</v>
      </c>
    </row>
    <row r="240" spans="6:10" x14ac:dyDescent="0.25">
      <c r="F240" s="4">
        <f t="shared" si="15"/>
        <v>23.61000000000007</v>
      </c>
      <c r="G240" s="4">
        <f>cubspline(3,F240,Data!$B$36:$B$56,Data!$A$36:$A$56)</f>
        <v>0</v>
      </c>
      <c r="H240" s="4">
        <f t="shared" si="16"/>
        <v>1E-10</v>
      </c>
      <c r="I240" s="4">
        <f t="shared" si="13"/>
        <v>23.61000000000007</v>
      </c>
      <c r="J240" s="2">
        <f t="shared" si="14"/>
        <v>23.61000000000007</v>
      </c>
    </row>
    <row r="241" spans="6:10" x14ac:dyDescent="0.25">
      <c r="F241" s="4">
        <f t="shared" si="15"/>
        <v>23.710000000000072</v>
      </c>
      <c r="G241" s="4">
        <f>cubspline(3,F241,Data!$B$36:$B$56,Data!$A$36:$A$56)</f>
        <v>0</v>
      </c>
      <c r="H241" s="4">
        <f t="shared" si="16"/>
        <v>1E-10</v>
      </c>
      <c r="I241" s="4">
        <f t="shared" si="13"/>
        <v>23.710000000000072</v>
      </c>
      <c r="J241" s="2">
        <f t="shared" si="14"/>
        <v>23.710000000000072</v>
      </c>
    </row>
    <row r="242" spans="6:10" x14ac:dyDescent="0.25">
      <c r="F242" s="4">
        <f t="shared" si="15"/>
        <v>23.810000000000073</v>
      </c>
      <c r="G242" s="4">
        <f>cubspline(3,F242,Data!$B$36:$B$56,Data!$A$36:$A$56)</f>
        <v>0</v>
      </c>
      <c r="H242" s="4">
        <f t="shared" si="16"/>
        <v>1E-10</v>
      </c>
      <c r="I242" s="4">
        <f t="shared" si="13"/>
        <v>23.810000000000073</v>
      </c>
      <c r="J242" s="2">
        <f t="shared" si="14"/>
        <v>23.810000000000073</v>
      </c>
    </row>
    <row r="243" spans="6:10" x14ac:dyDescent="0.25">
      <c r="F243" s="4">
        <f t="shared" si="15"/>
        <v>23.910000000000075</v>
      </c>
      <c r="G243" s="4">
        <f>cubspline(3,F243,Data!$B$36:$B$56,Data!$A$36:$A$56)</f>
        <v>0</v>
      </c>
      <c r="H243" s="4">
        <f t="shared" si="16"/>
        <v>1E-10</v>
      </c>
      <c r="I243" s="4">
        <f t="shared" si="13"/>
        <v>23.910000000000075</v>
      </c>
      <c r="J243" s="2">
        <f t="shared" si="14"/>
        <v>23.910000000000075</v>
      </c>
    </row>
    <row r="244" spans="6:10" x14ac:dyDescent="0.25">
      <c r="F244" s="4">
        <f t="shared" si="15"/>
        <v>24.010000000000076</v>
      </c>
      <c r="G244" s="4">
        <f>cubspline(3,F244,Data!$B$36:$B$56,Data!$A$36:$A$56)</f>
        <v>0</v>
      </c>
      <c r="H244" s="4">
        <f t="shared" si="16"/>
        <v>1E-10</v>
      </c>
      <c r="I244" s="4">
        <f t="shared" si="13"/>
        <v>24.010000000000076</v>
      </c>
      <c r="J244" s="2">
        <f t="shared" si="14"/>
        <v>24.010000000000076</v>
      </c>
    </row>
    <row r="245" spans="6:10" x14ac:dyDescent="0.25">
      <c r="F245" s="4">
        <f t="shared" si="15"/>
        <v>24.110000000000078</v>
      </c>
      <c r="G245" s="4">
        <f>cubspline(3,F245,Data!$B$36:$B$56,Data!$A$36:$A$56)</f>
        <v>0</v>
      </c>
      <c r="H245" s="4">
        <f t="shared" si="16"/>
        <v>1E-10</v>
      </c>
      <c r="I245" s="4">
        <f t="shared" si="13"/>
        <v>24.110000000000078</v>
      </c>
      <c r="J245" s="2">
        <f t="shared" si="14"/>
        <v>24.110000000000078</v>
      </c>
    </row>
    <row r="246" spans="6:10" x14ac:dyDescent="0.25">
      <c r="F246" s="4">
        <f t="shared" si="15"/>
        <v>24.210000000000079</v>
      </c>
      <c r="G246" s="4">
        <f>cubspline(3,F246,Data!$B$36:$B$56,Data!$A$36:$A$56)</f>
        <v>0</v>
      </c>
      <c r="H246" s="4">
        <f t="shared" si="16"/>
        <v>1E-10</v>
      </c>
      <c r="I246" s="4">
        <f t="shared" si="13"/>
        <v>24.210000000000079</v>
      </c>
      <c r="J246" s="2">
        <f t="shared" si="14"/>
        <v>24.210000000000079</v>
      </c>
    </row>
    <row r="247" spans="6:10" x14ac:dyDescent="0.25">
      <c r="F247" s="4">
        <f t="shared" si="15"/>
        <v>24.31000000000008</v>
      </c>
      <c r="G247" s="4">
        <f>cubspline(3,F247,Data!$B$36:$B$56,Data!$A$36:$A$56)</f>
        <v>0</v>
      </c>
      <c r="H247" s="4">
        <f t="shared" si="16"/>
        <v>1E-10</v>
      </c>
      <c r="I247" s="4">
        <f t="shared" si="13"/>
        <v>24.31000000000008</v>
      </c>
      <c r="J247" s="2">
        <f t="shared" si="14"/>
        <v>24.31000000000008</v>
      </c>
    </row>
    <row r="248" spans="6:10" x14ac:dyDescent="0.25">
      <c r="F248" s="4">
        <f t="shared" si="15"/>
        <v>24.410000000000082</v>
      </c>
      <c r="G248" s="4">
        <f>cubspline(3,F248,Data!$B$36:$B$56,Data!$A$36:$A$56)</f>
        <v>0</v>
      </c>
      <c r="H248" s="4">
        <f t="shared" si="16"/>
        <v>1E-10</v>
      </c>
      <c r="I248" s="4">
        <f t="shared" si="13"/>
        <v>24.410000000000082</v>
      </c>
      <c r="J248" s="2">
        <f t="shared" si="14"/>
        <v>24.410000000000082</v>
      </c>
    </row>
    <row r="249" spans="6:10" x14ac:dyDescent="0.25">
      <c r="F249" s="4">
        <f t="shared" si="15"/>
        <v>24.510000000000083</v>
      </c>
      <c r="G249" s="4">
        <f>cubspline(3,F249,Data!$B$36:$B$56,Data!$A$36:$A$56)</f>
        <v>0</v>
      </c>
      <c r="H249" s="4">
        <f t="shared" si="16"/>
        <v>1E-10</v>
      </c>
      <c r="I249" s="4">
        <f t="shared" si="13"/>
        <v>24.510000000000083</v>
      </c>
      <c r="J249" s="2">
        <f t="shared" si="14"/>
        <v>24.510000000000083</v>
      </c>
    </row>
    <row r="250" spans="6:10" x14ac:dyDescent="0.25">
      <c r="F250" s="4">
        <f t="shared" si="15"/>
        <v>24.610000000000085</v>
      </c>
      <c r="G250" s="4">
        <f>cubspline(3,F250,Data!$B$36:$B$56,Data!$A$36:$A$56)</f>
        <v>0</v>
      </c>
      <c r="H250" s="4">
        <f t="shared" si="16"/>
        <v>1E-10</v>
      </c>
      <c r="I250" s="4">
        <f t="shared" si="13"/>
        <v>24.610000000000085</v>
      </c>
      <c r="J250" s="2">
        <f t="shared" si="14"/>
        <v>24.610000000000085</v>
      </c>
    </row>
    <row r="251" spans="6:10" x14ac:dyDescent="0.25">
      <c r="F251" s="4">
        <f t="shared" si="15"/>
        <v>24.710000000000086</v>
      </c>
      <c r="G251" s="4">
        <f>cubspline(3,F251,Data!$B$36:$B$56,Data!$A$36:$A$56)</f>
        <v>0</v>
      </c>
      <c r="H251" s="4">
        <f t="shared" si="16"/>
        <v>1E-10</v>
      </c>
      <c r="I251" s="4">
        <f t="shared" si="13"/>
        <v>24.710000000000086</v>
      </c>
      <c r="J251" s="2">
        <f t="shared" si="14"/>
        <v>24.710000000000086</v>
      </c>
    </row>
    <row r="252" spans="6:10" x14ac:dyDescent="0.25">
      <c r="F252" s="4">
        <f t="shared" si="15"/>
        <v>24.810000000000088</v>
      </c>
      <c r="G252" s="4">
        <f>cubspline(3,F252,Data!$B$36:$B$56,Data!$A$36:$A$56)</f>
        <v>0</v>
      </c>
      <c r="H252" s="4">
        <f t="shared" si="16"/>
        <v>1E-10</v>
      </c>
      <c r="I252" s="4">
        <f t="shared" si="13"/>
        <v>24.810000000000088</v>
      </c>
      <c r="J252" s="2">
        <f t="shared" si="14"/>
        <v>24.810000000000088</v>
      </c>
    </row>
    <row r="253" spans="6:10" x14ac:dyDescent="0.25">
      <c r="F253" s="4">
        <f t="shared" si="15"/>
        <v>24.910000000000089</v>
      </c>
      <c r="G253" s="4">
        <f>cubspline(3,F253,Data!$B$36:$B$56,Data!$A$36:$A$56)</f>
        <v>0</v>
      </c>
      <c r="H253" s="4">
        <f t="shared" si="16"/>
        <v>1E-10</v>
      </c>
      <c r="I253" s="4">
        <f t="shared" si="13"/>
        <v>24.910000000000089</v>
      </c>
      <c r="J253" s="2">
        <f t="shared" si="14"/>
        <v>24.910000000000089</v>
      </c>
    </row>
    <row r="254" spans="6:10" x14ac:dyDescent="0.25">
      <c r="F254" s="4">
        <f t="shared" si="15"/>
        <v>25.01000000000009</v>
      </c>
      <c r="G254" s="4">
        <f>cubspline(3,F254,Data!$B$36:$B$56,Data!$A$36:$A$56)</f>
        <v>0</v>
      </c>
      <c r="H254" s="4">
        <f t="shared" si="16"/>
        <v>1E-10</v>
      </c>
      <c r="I254" s="4">
        <f t="shared" si="13"/>
        <v>25.01000000000009</v>
      </c>
      <c r="J254" s="2">
        <f t="shared" si="14"/>
        <v>25.01000000000009</v>
      </c>
    </row>
    <row r="255" spans="6:10" x14ac:dyDescent="0.25">
      <c r="F255" s="4">
        <f t="shared" si="15"/>
        <v>25.110000000000092</v>
      </c>
      <c r="G255" s="4">
        <f>cubspline(3,F255,Data!$B$36:$B$56,Data!$A$36:$A$56)</f>
        <v>0</v>
      </c>
      <c r="H255" s="4">
        <f t="shared" si="16"/>
        <v>1E-10</v>
      </c>
      <c r="I255" s="4">
        <f t="shared" si="13"/>
        <v>25.110000000000092</v>
      </c>
      <c r="J255" s="2">
        <f t="shared" si="14"/>
        <v>25.110000000000092</v>
      </c>
    </row>
    <row r="256" spans="6:10" x14ac:dyDescent="0.25">
      <c r="F256" s="4">
        <f t="shared" si="15"/>
        <v>25.210000000000093</v>
      </c>
      <c r="G256" s="4">
        <f>cubspline(3,F256,Data!$B$36:$B$56,Data!$A$36:$A$56)</f>
        <v>0</v>
      </c>
      <c r="H256" s="4">
        <f t="shared" si="16"/>
        <v>1E-10</v>
      </c>
      <c r="I256" s="4">
        <f t="shared" si="13"/>
        <v>25.210000000000093</v>
      </c>
      <c r="J256" s="2">
        <f t="shared" si="14"/>
        <v>25.210000000000093</v>
      </c>
    </row>
    <row r="257" spans="6:10" x14ac:dyDescent="0.25">
      <c r="F257" s="4">
        <f t="shared" si="15"/>
        <v>25.310000000000095</v>
      </c>
      <c r="G257" s="4">
        <f>cubspline(3,F257,Data!$B$36:$B$56,Data!$A$36:$A$56)</f>
        <v>0</v>
      </c>
      <c r="H257" s="4">
        <f t="shared" si="16"/>
        <v>1E-10</v>
      </c>
      <c r="I257" s="4">
        <f t="shared" si="13"/>
        <v>25.310000000000095</v>
      </c>
      <c r="J257" s="2">
        <f t="shared" si="14"/>
        <v>25.310000000000095</v>
      </c>
    </row>
    <row r="258" spans="6:10" x14ac:dyDescent="0.25">
      <c r="F258" s="4">
        <f t="shared" si="15"/>
        <v>25.410000000000096</v>
      </c>
      <c r="G258" s="4">
        <f>cubspline(3,F258,Data!$B$36:$B$56,Data!$A$36:$A$56)</f>
        <v>0</v>
      </c>
      <c r="H258" s="4">
        <f t="shared" si="16"/>
        <v>1E-10</v>
      </c>
      <c r="I258" s="4">
        <f t="shared" si="13"/>
        <v>25.410000000000096</v>
      </c>
      <c r="J258" s="2">
        <f t="shared" si="14"/>
        <v>25.410000000000096</v>
      </c>
    </row>
    <row r="259" spans="6:10" x14ac:dyDescent="0.25">
      <c r="F259" s="4">
        <f t="shared" si="15"/>
        <v>25.510000000000097</v>
      </c>
      <c r="G259" s="4">
        <f>cubspline(3,F259,Data!$B$36:$B$56,Data!$A$36:$A$56)</f>
        <v>0</v>
      </c>
      <c r="H259" s="4">
        <f t="shared" si="16"/>
        <v>1E-10</v>
      </c>
      <c r="I259" s="4">
        <f t="shared" si="13"/>
        <v>25.510000000000097</v>
      </c>
      <c r="J259" s="2">
        <f t="shared" si="14"/>
        <v>25.510000000000097</v>
      </c>
    </row>
    <row r="260" spans="6:10" x14ac:dyDescent="0.25">
      <c r="F260" s="4">
        <f t="shared" si="15"/>
        <v>25.610000000000099</v>
      </c>
      <c r="G260" s="4">
        <f>cubspline(3,F260,Data!$B$36:$B$56,Data!$A$36:$A$56)</f>
        <v>0</v>
      </c>
      <c r="H260" s="4">
        <f t="shared" si="16"/>
        <v>1E-10</v>
      </c>
      <c r="I260" s="4">
        <f t="shared" si="13"/>
        <v>25.610000000000099</v>
      </c>
      <c r="J260" s="2">
        <f t="shared" si="14"/>
        <v>25.610000000000099</v>
      </c>
    </row>
    <row r="261" spans="6:10" x14ac:dyDescent="0.25">
      <c r="F261" s="4">
        <f t="shared" si="15"/>
        <v>25.7100000000001</v>
      </c>
      <c r="G261" s="4">
        <f>cubspline(3,F261,Data!$B$36:$B$56,Data!$A$36:$A$56)</f>
        <v>0</v>
      </c>
      <c r="H261" s="4">
        <f t="shared" si="16"/>
        <v>1E-10</v>
      </c>
      <c r="I261" s="4">
        <f t="shared" ref="I261:I324" si="17">IF(F261&gt;$D$47,F261,NA())</f>
        <v>25.7100000000001</v>
      </c>
      <c r="J261" s="2">
        <f t="shared" ref="J261:J324" si="18">IF(F261&gt;=$D$47,F261,($D$47-(0.3*($D$47-F261))))</f>
        <v>25.7100000000001</v>
      </c>
    </row>
    <row r="262" spans="6:10" x14ac:dyDescent="0.25">
      <c r="F262" s="4">
        <f t="shared" ref="F262:F325" si="19">F261+0.1</f>
        <v>25.810000000000102</v>
      </c>
      <c r="G262" s="4">
        <f>cubspline(3,F262,Data!$B$36:$B$56,Data!$A$36:$A$56)</f>
        <v>0</v>
      </c>
      <c r="H262" s="4">
        <f t="shared" ref="H262:H325" si="20">IF(G262&lt;=0,0.0000000001,G262)</f>
        <v>1E-10</v>
      </c>
      <c r="I262" s="4">
        <f t="shared" si="17"/>
        <v>25.810000000000102</v>
      </c>
      <c r="J262" s="2">
        <f t="shared" si="18"/>
        <v>25.810000000000102</v>
      </c>
    </row>
    <row r="263" spans="6:10" x14ac:dyDescent="0.25">
      <c r="F263" s="4">
        <f t="shared" si="19"/>
        <v>25.910000000000103</v>
      </c>
      <c r="G263" s="4">
        <f>cubspline(3,F263,Data!$B$36:$B$56,Data!$A$36:$A$56)</f>
        <v>0</v>
      </c>
      <c r="H263" s="4">
        <f t="shared" si="20"/>
        <v>1E-10</v>
      </c>
      <c r="I263" s="4">
        <f t="shared" si="17"/>
        <v>25.910000000000103</v>
      </c>
      <c r="J263" s="2">
        <f t="shared" si="18"/>
        <v>25.910000000000103</v>
      </c>
    </row>
    <row r="264" spans="6:10" x14ac:dyDescent="0.25">
      <c r="F264" s="4">
        <f t="shared" si="19"/>
        <v>26.010000000000105</v>
      </c>
      <c r="G264" s="4">
        <f>cubspline(3,F264,Data!$B$36:$B$56,Data!$A$36:$A$56)</f>
        <v>0</v>
      </c>
      <c r="H264" s="4">
        <f t="shared" si="20"/>
        <v>1E-10</v>
      </c>
      <c r="I264" s="4">
        <f t="shared" si="17"/>
        <v>26.010000000000105</v>
      </c>
      <c r="J264" s="2">
        <f t="shared" si="18"/>
        <v>26.010000000000105</v>
      </c>
    </row>
    <row r="265" spans="6:10" x14ac:dyDescent="0.25">
      <c r="F265" s="4">
        <f t="shared" si="19"/>
        <v>26.110000000000106</v>
      </c>
      <c r="G265" s="4">
        <f>cubspline(3,F265,Data!$B$36:$B$56,Data!$A$36:$A$56)</f>
        <v>0</v>
      </c>
      <c r="H265" s="4">
        <f t="shared" si="20"/>
        <v>1E-10</v>
      </c>
      <c r="I265" s="4">
        <f t="shared" si="17"/>
        <v>26.110000000000106</v>
      </c>
      <c r="J265" s="2">
        <f t="shared" si="18"/>
        <v>26.110000000000106</v>
      </c>
    </row>
    <row r="266" spans="6:10" x14ac:dyDescent="0.25">
      <c r="F266" s="4">
        <f t="shared" si="19"/>
        <v>26.210000000000107</v>
      </c>
      <c r="G266" s="4">
        <f>cubspline(3,F266,Data!$B$36:$B$56,Data!$A$36:$A$56)</f>
        <v>0</v>
      </c>
      <c r="H266" s="4">
        <f t="shared" si="20"/>
        <v>1E-10</v>
      </c>
      <c r="I266" s="4">
        <f t="shared" si="17"/>
        <v>26.210000000000107</v>
      </c>
      <c r="J266" s="2">
        <f t="shared" si="18"/>
        <v>26.210000000000107</v>
      </c>
    </row>
    <row r="267" spans="6:10" x14ac:dyDescent="0.25">
      <c r="F267" s="4">
        <f t="shared" si="19"/>
        <v>26.310000000000109</v>
      </c>
      <c r="G267" s="4">
        <f>cubspline(3,F267,Data!$B$36:$B$56,Data!$A$36:$A$56)</f>
        <v>0</v>
      </c>
      <c r="H267" s="4">
        <f t="shared" si="20"/>
        <v>1E-10</v>
      </c>
      <c r="I267" s="4">
        <f t="shared" si="17"/>
        <v>26.310000000000109</v>
      </c>
      <c r="J267" s="2">
        <f t="shared" si="18"/>
        <v>26.310000000000109</v>
      </c>
    </row>
    <row r="268" spans="6:10" x14ac:dyDescent="0.25">
      <c r="F268" s="4">
        <f t="shared" si="19"/>
        <v>26.41000000000011</v>
      </c>
      <c r="G268" s="4">
        <f>cubspline(3,F268,Data!$B$36:$B$56,Data!$A$36:$A$56)</f>
        <v>0</v>
      </c>
      <c r="H268" s="4">
        <f t="shared" si="20"/>
        <v>1E-10</v>
      </c>
      <c r="I268" s="4">
        <f t="shared" si="17"/>
        <v>26.41000000000011</v>
      </c>
      <c r="J268" s="2">
        <f t="shared" si="18"/>
        <v>26.41000000000011</v>
      </c>
    </row>
    <row r="269" spans="6:10" x14ac:dyDescent="0.25">
      <c r="F269" s="4">
        <f t="shared" si="19"/>
        <v>26.510000000000112</v>
      </c>
      <c r="G269" s="4">
        <f>cubspline(3,F269,Data!$B$36:$B$56,Data!$A$36:$A$56)</f>
        <v>0</v>
      </c>
      <c r="H269" s="4">
        <f t="shared" si="20"/>
        <v>1E-10</v>
      </c>
      <c r="I269" s="4">
        <f t="shared" si="17"/>
        <v>26.510000000000112</v>
      </c>
      <c r="J269" s="2">
        <f t="shared" si="18"/>
        <v>26.510000000000112</v>
      </c>
    </row>
    <row r="270" spans="6:10" x14ac:dyDescent="0.25">
      <c r="F270" s="4">
        <f t="shared" si="19"/>
        <v>26.610000000000113</v>
      </c>
      <c r="G270" s="4">
        <f>cubspline(3,F270,Data!$B$36:$B$56,Data!$A$36:$A$56)</f>
        <v>0</v>
      </c>
      <c r="H270" s="4">
        <f t="shared" si="20"/>
        <v>1E-10</v>
      </c>
      <c r="I270" s="4">
        <f t="shared" si="17"/>
        <v>26.610000000000113</v>
      </c>
      <c r="J270" s="2">
        <f t="shared" si="18"/>
        <v>26.610000000000113</v>
      </c>
    </row>
    <row r="271" spans="6:10" x14ac:dyDescent="0.25">
      <c r="F271" s="4">
        <f t="shared" si="19"/>
        <v>26.710000000000115</v>
      </c>
      <c r="G271" s="4">
        <f>cubspline(3,F271,Data!$B$36:$B$56,Data!$A$36:$A$56)</f>
        <v>0</v>
      </c>
      <c r="H271" s="4">
        <f t="shared" si="20"/>
        <v>1E-10</v>
      </c>
      <c r="I271" s="4">
        <f t="shared" si="17"/>
        <v>26.710000000000115</v>
      </c>
      <c r="J271" s="2">
        <f t="shared" si="18"/>
        <v>26.710000000000115</v>
      </c>
    </row>
    <row r="272" spans="6:10" x14ac:dyDescent="0.25">
      <c r="F272" s="4">
        <f t="shared" si="19"/>
        <v>26.810000000000116</v>
      </c>
      <c r="G272" s="4">
        <f>cubspline(3,F272,Data!$B$36:$B$56,Data!$A$36:$A$56)</f>
        <v>0</v>
      </c>
      <c r="H272" s="4">
        <f t="shared" si="20"/>
        <v>1E-10</v>
      </c>
      <c r="I272" s="4">
        <f t="shared" si="17"/>
        <v>26.810000000000116</v>
      </c>
      <c r="J272" s="2">
        <f t="shared" si="18"/>
        <v>26.810000000000116</v>
      </c>
    </row>
    <row r="273" spans="6:10" x14ac:dyDescent="0.25">
      <c r="F273" s="4">
        <f t="shared" si="19"/>
        <v>26.910000000000117</v>
      </c>
      <c r="G273" s="4">
        <f>cubspline(3,F273,Data!$B$36:$B$56,Data!$A$36:$A$56)</f>
        <v>0</v>
      </c>
      <c r="H273" s="4">
        <f t="shared" si="20"/>
        <v>1E-10</v>
      </c>
      <c r="I273" s="4">
        <f t="shared" si="17"/>
        <v>26.910000000000117</v>
      </c>
      <c r="J273" s="2">
        <f t="shared" si="18"/>
        <v>26.910000000000117</v>
      </c>
    </row>
    <row r="274" spans="6:10" x14ac:dyDescent="0.25">
      <c r="F274" s="4">
        <f t="shared" si="19"/>
        <v>27.010000000000119</v>
      </c>
      <c r="G274" s="4">
        <f>cubspline(3,F274,Data!$B$36:$B$56,Data!$A$36:$A$56)</f>
        <v>0</v>
      </c>
      <c r="H274" s="4">
        <f t="shared" si="20"/>
        <v>1E-10</v>
      </c>
      <c r="I274" s="4">
        <f t="shared" si="17"/>
        <v>27.010000000000119</v>
      </c>
      <c r="J274" s="2">
        <f t="shared" si="18"/>
        <v>27.010000000000119</v>
      </c>
    </row>
    <row r="275" spans="6:10" x14ac:dyDescent="0.25">
      <c r="F275" s="4">
        <f t="shared" si="19"/>
        <v>27.11000000000012</v>
      </c>
      <c r="G275" s="4">
        <f>cubspline(3,F275,Data!$B$36:$B$56,Data!$A$36:$A$56)</f>
        <v>0</v>
      </c>
      <c r="H275" s="4">
        <f t="shared" si="20"/>
        <v>1E-10</v>
      </c>
      <c r="I275" s="4">
        <f t="shared" si="17"/>
        <v>27.11000000000012</v>
      </c>
      <c r="J275" s="2">
        <f t="shared" si="18"/>
        <v>27.11000000000012</v>
      </c>
    </row>
    <row r="276" spans="6:10" x14ac:dyDescent="0.25">
      <c r="F276" s="4">
        <f t="shared" si="19"/>
        <v>27.210000000000122</v>
      </c>
      <c r="G276" s="4">
        <f>cubspline(3,F276,Data!$B$36:$B$56,Data!$A$36:$A$56)</f>
        <v>0</v>
      </c>
      <c r="H276" s="4">
        <f t="shared" si="20"/>
        <v>1E-10</v>
      </c>
      <c r="I276" s="4">
        <f t="shared" si="17"/>
        <v>27.210000000000122</v>
      </c>
      <c r="J276" s="2">
        <f t="shared" si="18"/>
        <v>27.210000000000122</v>
      </c>
    </row>
    <row r="277" spans="6:10" x14ac:dyDescent="0.25">
      <c r="F277" s="4">
        <f t="shared" si="19"/>
        <v>27.310000000000123</v>
      </c>
      <c r="G277" s="4">
        <f>cubspline(3,F277,Data!$B$36:$B$56,Data!$A$36:$A$56)</f>
        <v>0</v>
      </c>
      <c r="H277" s="4">
        <f t="shared" si="20"/>
        <v>1E-10</v>
      </c>
      <c r="I277" s="4">
        <f t="shared" si="17"/>
        <v>27.310000000000123</v>
      </c>
      <c r="J277" s="2">
        <f t="shared" si="18"/>
        <v>27.310000000000123</v>
      </c>
    </row>
    <row r="278" spans="6:10" x14ac:dyDescent="0.25">
      <c r="F278" s="4">
        <f t="shared" si="19"/>
        <v>27.410000000000124</v>
      </c>
      <c r="G278" s="4">
        <f>cubspline(3,F278,Data!$B$36:$B$56,Data!$A$36:$A$56)</f>
        <v>0</v>
      </c>
      <c r="H278" s="4">
        <f t="shared" si="20"/>
        <v>1E-10</v>
      </c>
      <c r="I278" s="4">
        <f t="shared" si="17"/>
        <v>27.410000000000124</v>
      </c>
      <c r="J278" s="2">
        <f t="shared" si="18"/>
        <v>27.410000000000124</v>
      </c>
    </row>
    <row r="279" spans="6:10" x14ac:dyDescent="0.25">
      <c r="F279" s="4">
        <f t="shared" si="19"/>
        <v>27.510000000000126</v>
      </c>
      <c r="G279" s="4">
        <f>cubspline(3,F279,Data!$B$36:$B$56,Data!$A$36:$A$56)</f>
        <v>0</v>
      </c>
      <c r="H279" s="4">
        <f t="shared" si="20"/>
        <v>1E-10</v>
      </c>
      <c r="I279" s="4">
        <f t="shared" si="17"/>
        <v>27.510000000000126</v>
      </c>
      <c r="J279" s="2">
        <f t="shared" si="18"/>
        <v>27.510000000000126</v>
      </c>
    </row>
    <row r="280" spans="6:10" x14ac:dyDescent="0.25">
      <c r="F280" s="4">
        <f t="shared" si="19"/>
        <v>27.610000000000127</v>
      </c>
      <c r="G280" s="4">
        <f>cubspline(3,F280,Data!$B$36:$B$56,Data!$A$36:$A$56)</f>
        <v>0</v>
      </c>
      <c r="H280" s="4">
        <f t="shared" si="20"/>
        <v>1E-10</v>
      </c>
      <c r="I280" s="4">
        <f t="shared" si="17"/>
        <v>27.610000000000127</v>
      </c>
      <c r="J280" s="2">
        <f t="shared" si="18"/>
        <v>27.610000000000127</v>
      </c>
    </row>
    <row r="281" spans="6:10" x14ac:dyDescent="0.25">
      <c r="F281" s="4">
        <f t="shared" si="19"/>
        <v>27.710000000000129</v>
      </c>
      <c r="G281" s="4">
        <f>cubspline(3,F281,Data!$B$36:$B$56,Data!$A$36:$A$56)</f>
        <v>0</v>
      </c>
      <c r="H281" s="4">
        <f t="shared" si="20"/>
        <v>1E-10</v>
      </c>
      <c r="I281" s="4">
        <f t="shared" si="17"/>
        <v>27.710000000000129</v>
      </c>
      <c r="J281" s="2">
        <f t="shared" si="18"/>
        <v>27.710000000000129</v>
      </c>
    </row>
    <row r="282" spans="6:10" x14ac:dyDescent="0.25">
      <c r="F282" s="4">
        <f t="shared" si="19"/>
        <v>27.81000000000013</v>
      </c>
      <c r="G282" s="4">
        <f>cubspline(3,F282,Data!$B$36:$B$56,Data!$A$36:$A$56)</f>
        <v>0</v>
      </c>
      <c r="H282" s="4">
        <f t="shared" si="20"/>
        <v>1E-10</v>
      </c>
      <c r="I282" s="4">
        <f t="shared" si="17"/>
        <v>27.81000000000013</v>
      </c>
      <c r="J282" s="2">
        <f t="shared" si="18"/>
        <v>27.81000000000013</v>
      </c>
    </row>
    <row r="283" spans="6:10" x14ac:dyDescent="0.25">
      <c r="F283" s="4">
        <f t="shared" si="19"/>
        <v>27.910000000000132</v>
      </c>
      <c r="G283" s="4">
        <f>cubspline(3,F283,Data!$B$36:$B$56,Data!$A$36:$A$56)</f>
        <v>0</v>
      </c>
      <c r="H283" s="4">
        <f t="shared" si="20"/>
        <v>1E-10</v>
      </c>
      <c r="I283" s="4">
        <f t="shared" si="17"/>
        <v>27.910000000000132</v>
      </c>
      <c r="J283" s="2">
        <f t="shared" si="18"/>
        <v>27.910000000000132</v>
      </c>
    </row>
    <row r="284" spans="6:10" x14ac:dyDescent="0.25">
      <c r="F284" s="4">
        <f t="shared" si="19"/>
        <v>28.010000000000133</v>
      </c>
      <c r="G284" s="4">
        <f>cubspline(3,F284,Data!$B$36:$B$56,Data!$A$36:$A$56)</f>
        <v>0</v>
      </c>
      <c r="H284" s="4">
        <f t="shared" si="20"/>
        <v>1E-10</v>
      </c>
      <c r="I284" s="4">
        <f t="shared" si="17"/>
        <v>28.010000000000133</v>
      </c>
      <c r="J284" s="2">
        <f t="shared" si="18"/>
        <v>28.010000000000133</v>
      </c>
    </row>
    <row r="285" spans="6:10" x14ac:dyDescent="0.25">
      <c r="F285" s="4">
        <f t="shared" si="19"/>
        <v>28.110000000000134</v>
      </c>
      <c r="G285" s="4">
        <f>cubspline(3,F285,Data!$B$36:$B$56,Data!$A$36:$A$56)</f>
        <v>0</v>
      </c>
      <c r="H285" s="4">
        <f t="shared" si="20"/>
        <v>1E-10</v>
      </c>
      <c r="I285" s="4">
        <f t="shared" si="17"/>
        <v>28.110000000000134</v>
      </c>
      <c r="J285" s="2">
        <f t="shared" si="18"/>
        <v>28.110000000000134</v>
      </c>
    </row>
    <row r="286" spans="6:10" x14ac:dyDescent="0.25">
      <c r="F286" s="4">
        <f t="shared" si="19"/>
        <v>28.210000000000136</v>
      </c>
      <c r="G286" s="4">
        <f>cubspline(3,F286,Data!$B$36:$B$56,Data!$A$36:$A$56)</f>
        <v>0</v>
      </c>
      <c r="H286" s="4">
        <f t="shared" si="20"/>
        <v>1E-10</v>
      </c>
      <c r="I286" s="4">
        <f t="shared" si="17"/>
        <v>28.210000000000136</v>
      </c>
      <c r="J286" s="2">
        <f t="shared" si="18"/>
        <v>28.210000000000136</v>
      </c>
    </row>
    <row r="287" spans="6:10" x14ac:dyDescent="0.25">
      <c r="F287" s="4">
        <f t="shared" si="19"/>
        <v>28.310000000000137</v>
      </c>
      <c r="G287" s="4">
        <f>cubspline(3,F287,Data!$B$36:$B$56,Data!$A$36:$A$56)</f>
        <v>0</v>
      </c>
      <c r="H287" s="4">
        <f t="shared" si="20"/>
        <v>1E-10</v>
      </c>
      <c r="I287" s="4">
        <f t="shared" si="17"/>
        <v>28.310000000000137</v>
      </c>
      <c r="J287" s="2">
        <f t="shared" si="18"/>
        <v>28.310000000000137</v>
      </c>
    </row>
    <row r="288" spans="6:10" x14ac:dyDescent="0.25">
      <c r="F288" s="4">
        <f t="shared" si="19"/>
        <v>28.410000000000139</v>
      </c>
      <c r="G288" s="4">
        <f>cubspline(3,F288,Data!$B$36:$B$56,Data!$A$36:$A$56)</f>
        <v>0</v>
      </c>
      <c r="H288" s="4">
        <f t="shared" si="20"/>
        <v>1E-10</v>
      </c>
      <c r="I288" s="4">
        <f t="shared" si="17"/>
        <v>28.410000000000139</v>
      </c>
      <c r="J288" s="2">
        <f t="shared" si="18"/>
        <v>28.410000000000139</v>
      </c>
    </row>
    <row r="289" spans="6:10" x14ac:dyDescent="0.25">
      <c r="F289" s="4">
        <f t="shared" si="19"/>
        <v>28.51000000000014</v>
      </c>
      <c r="G289" s="4">
        <f>cubspline(3,F289,Data!$B$36:$B$56,Data!$A$36:$A$56)</f>
        <v>0</v>
      </c>
      <c r="H289" s="4">
        <f t="shared" si="20"/>
        <v>1E-10</v>
      </c>
      <c r="I289" s="4">
        <f t="shared" si="17"/>
        <v>28.51000000000014</v>
      </c>
      <c r="J289" s="2">
        <f t="shared" si="18"/>
        <v>28.51000000000014</v>
      </c>
    </row>
    <row r="290" spans="6:10" x14ac:dyDescent="0.25">
      <c r="F290" s="4">
        <f t="shared" si="19"/>
        <v>28.610000000000142</v>
      </c>
      <c r="G290" s="4">
        <f>cubspline(3,F290,Data!$B$36:$B$56,Data!$A$36:$A$56)</f>
        <v>0</v>
      </c>
      <c r="H290" s="4">
        <f t="shared" si="20"/>
        <v>1E-10</v>
      </c>
      <c r="I290" s="4">
        <f t="shared" si="17"/>
        <v>28.610000000000142</v>
      </c>
      <c r="J290" s="2">
        <f t="shared" si="18"/>
        <v>28.610000000000142</v>
      </c>
    </row>
    <row r="291" spans="6:10" x14ac:dyDescent="0.25">
      <c r="F291" s="4">
        <f t="shared" si="19"/>
        <v>28.710000000000143</v>
      </c>
      <c r="G291" s="4">
        <f>cubspline(3,F291,Data!$B$36:$B$56,Data!$A$36:$A$56)</f>
        <v>0</v>
      </c>
      <c r="H291" s="4">
        <f t="shared" si="20"/>
        <v>1E-10</v>
      </c>
      <c r="I291" s="4">
        <f t="shared" si="17"/>
        <v>28.710000000000143</v>
      </c>
      <c r="J291" s="2">
        <f t="shared" si="18"/>
        <v>28.710000000000143</v>
      </c>
    </row>
    <row r="292" spans="6:10" x14ac:dyDescent="0.25">
      <c r="F292" s="4">
        <f t="shared" si="19"/>
        <v>28.810000000000144</v>
      </c>
      <c r="G292" s="4">
        <f>cubspline(3,F292,Data!$B$36:$B$56,Data!$A$36:$A$56)</f>
        <v>0</v>
      </c>
      <c r="H292" s="4">
        <f t="shared" si="20"/>
        <v>1E-10</v>
      </c>
      <c r="I292" s="4">
        <f t="shared" si="17"/>
        <v>28.810000000000144</v>
      </c>
      <c r="J292" s="2">
        <f t="shared" si="18"/>
        <v>28.810000000000144</v>
      </c>
    </row>
    <row r="293" spans="6:10" x14ac:dyDescent="0.25">
      <c r="F293" s="4">
        <f t="shared" si="19"/>
        <v>28.910000000000146</v>
      </c>
      <c r="G293" s="4">
        <f>cubspline(3,F293,Data!$B$36:$B$56,Data!$A$36:$A$56)</f>
        <v>0</v>
      </c>
      <c r="H293" s="4">
        <f t="shared" si="20"/>
        <v>1E-10</v>
      </c>
      <c r="I293" s="4">
        <f t="shared" si="17"/>
        <v>28.910000000000146</v>
      </c>
      <c r="J293" s="2">
        <f t="shared" si="18"/>
        <v>28.910000000000146</v>
      </c>
    </row>
    <row r="294" spans="6:10" x14ac:dyDescent="0.25">
      <c r="F294" s="4">
        <f t="shared" si="19"/>
        <v>29.010000000000147</v>
      </c>
      <c r="G294" s="4">
        <f>cubspline(3,F294,Data!$B$36:$B$56,Data!$A$36:$A$56)</f>
        <v>0</v>
      </c>
      <c r="H294" s="4">
        <f t="shared" si="20"/>
        <v>1E-10</v>
      </c>
      <c r="I294" s="4">
        <f t="shared" si="17"/>
        <v>29.010000000000147</v>
      </c>
      <c r="J294" s="2">
        <f t="shared" si="18"/>
        <v>29.010000000000147</v>
      </c>
    </row>
    <row r="295" spans="6:10" x14ac:dyDescent="0.25">
      <c r="F295" s="4">
        <f t="shared" si="19"/>
        <v>29.110000000000149</v>
      </c>
      <c r="G295" s="4">
        <f>cubspline(3,F295,Data!$B$36:$B$56,Data!$A$36:$A$56)</f>
        <v>0</v>
      </c>
      <c r="H295" s="4">
        <f t="shared" si="20"/>
        <v>1E-10</v>
      </c>
      <c r="I295" s="4">
        <f t="shared" si="17"/>
        <v>29.110000000000149</v>
      </c>
      <c r="J295" s="2">
        <f t="shared" si="18"/>
        <v>29.110000000000149</v>
      </c>
    </row>
    <row r="296" spans="6:10" x14ac:dyDescent="0.25">
      <c r="F296" s="4">
        <f t="shared" si="19"/>
        <v>29.21000000000015</v>
      </c>
      <c r="G296" s="4">
        <f>cubspline(3,F296,Data!$B$36:$B$56,Data!$A$36:$A$56)</f>
        <v>0</v>
      </c>
      <c r="H296" s="4">
        <f t="shared" si="20"/>
        <v>1E-10</v>
      </c>
      <c r="I296" s="4">
        <f t="shared" si="17"/>
        <v>29.21000000000015</v>
      </c>
      <c r="J296" s="2">
        <f t="shared" si="18"/>
        <v>29.21000000000015</v>
      </c>
    </row>
    <row r="297" spans="6:10" x14ac:dyDescent="0.25">
      <c r="F297" s="4">
        <f t="shared" si="19"/>
        <v>29.310000000000151</v>
      </c>
      <c r="G297" s="4">
        <f>cubspline(3,F297,Data!$B$36:$B$56,Data!$A$36:$A$56)</f>
        <v>0</v>
      </c>
      <c r="H297" s="4">
        <f t="shared" si="20"/>
        <v>1E-10</v>
      </c>
      <c r="I297" s="4">
        <f t="shared" si="17"/>
        <v>29.310000000000151</v>
      </c>
      <c r="J297" s="2">
        <f t="shared" si="18"/>
        <v>29.310000000000151</v>
      </c>
    </row>
    <row r="298" spans="6:10" x14ac:dyDescent="0.25">
      <c r="F298" s="4">
        <f t="shared" si="19"/>
        <v>29.410000000000153</v>
      </c>
      <c r="G298" s="4">
        <f>cubspline(3,F298,Data!$B$36:$B$56,Data!$A$36:$A$56)</f>
        <v>0</v>
      </c>
      <c r="H298" s="4">
        <f t="shared" si="20"/>
        <v>1E-10</v>
      </c>
      <c r="I298" s="4">
        <f t="shared" si="17"/>
        <v>29.410000000000153</v>
      </c>
      <c r="J298" s="2">
        <f t="shared" si="18"/>
        <v>29.410000000000153</v>
      </c>
    </row>
    <row r="299" spans="6:10" x14ac:dyDescent="0.25">
      <c r="F299" s="4">
        <f t="shared" si="19"/>
        <v>29.510000000000154</v>
      </c>
      <c r="G299" s="4">
        <f>cubspline(3,F299,Data!$B$36:$B$56,Data!$A$36:$A$56)</f>
        <v>0</v>
      </c>
      <c r="H299" s="4">
        <f t="shared" si="20"/>
        <v>1E-10</v>
      </c>
      <c r="I299" s="4">
        <f t="shared" si="17"/>
        <v>29.510000000000154</v>
      </c>
      <c r="J299" s="2">
        <f t="shared" si="18"/>
        <v>29.510000000000154</v>
      </c>
    </row>
    <row r="300" spans="6:10" x14ac:dyDescent="0.25">
      <c r="F300" s="4">
        <f t="shared" si="19"/>
        <v>29.610000000000156</v>
      </c>
      <c r="G300" s="4">
        <f>cubspline(3,F300,Data!$B$36:$B$56,Data!$A$36:$A$56)</f>
        <v>0</v>
      </c>
      <c r="H300" s="4">
        <f t="shared" si="20"/>
        <v>1E-10</v>
      </c>
      <c r="I300" s="4">
        <f t="shared" si="17"/>
        <v>29.610000000000156</v>
      </c>
      <c r="J300" s="2">
        <f t="shared" si="18"/>
        <v>29.610000000000156</v>
      </c>
    </row>
    <row r="301" spans="6:10" x14ac:dyDescent="0.25">
      <c r="F301" s="4">
        <f t="shared" si="19"/>
        <v>29.710000000000157</v>
      </c>
      <c r="G301" s="4">
        <f>cubspline(3,F301,Data!$B$36:$B$56,Data!$A$36:$A$56)</f>
        <v>0</v>
      </c>
      <c r="H301" s="4">
        <f t="shared" si="20"/>
        <v>1E-10</v>
      </c>
      <c r="I301" s="4">
        <f t="shared" si="17"/>
        <v>29.710000000000157</v>
      </c>
      <c r="J301" s="2">
        <f t="shared" si="18"/>
        <v>29.710000000000157</v>
      </c>
    </row>
    <row r="302" spans="6:10" x14ac:dyDescent="0.25">
      <c r="F302" s="4">
        <f t="shared" si="19"/>
        <v>29.810000000000159</v>
      </c>
      <c r="G302" s="4">
        <f>cubspline(3,F302,Data!$B$36:$B$56,Data!$A$36:$A$56)</f>
        <v>0</v>
      </c>
      <c r="H302" s="4">
        <f t="shared" si="20"/>
        <v>1E-10</v>
      </c>
      <c r="I302" s="4">
        <f t="shared" si="17"/>
        <v>29.810000000000159</v>
      </c>
      <c r="J302" s="2">
        <f t="shared" si="18"/>
        <v>29.810000000000159</v>
      </c>
    </row>
    <row r="303" spans="6:10" x14ac:dyDescent="0.25">
      <c r="F303" s="4">
        <f t="shared" si="19"/>
        <v>29.91000000000016</v>
      </c>
      <c r="G303" s="4">
        <f>cubspline(3,F303,Data!$B$36:$B$56,Data!$A$36:$A$56)</f>
        <v>0</v>
      </c>
      <c r="H303" s="4">
        <f t="shared" si="20"/>
        <v>1E-10</v>
      </c>
      <c r="I303" s="4">
        <f t="shared" si="17"/>
        <v>29.91000000000016</v>
      </c>
      <c r="J303" s="2">
        <f t="shared" si="18"/>
        <v>29.91000000000016</v>
      </c>
    </row>
    <row r="304" spans="6:10" x14ac:dyDescent="0.25">
      <c r="F304" s="4">
        <f t="shared" si="19"/>
        <v>30.010000000000161</v>
      </c>
      <c r="G304" s="4">
        <f>cubspline(3,F304,Data!$B$36:$B$56,Data!$A$36:$A$56)</f>
        <v>0</v>
      </c>
      <c r="H304" s="4">
        <f t="shared" si="20"/>
        <v>1E-10</v>
      </c>
      <c r="I304" s="4">
        <f t="shared" si="17"/>
        <v>30.010000000000161</v>
      </c>
      <c r="J304" s="2">
        <f t="shared" si="18"/>
        <v>30.010000000000161</v>
      </c>
    </row>
    <row r="305" spans="6:10" x14ac:dyDescent="0.25">
      <c r="F305" s="4">
        <f t="shared" si="19"/>
        <v>30.110000000000163</v>
      </c>
      <c r="G305" s="4">
        <f>cubspline(3,F305,Data!$B$36:$B$56,Data!$A$36:$A$56)</f>
        <v>0</v>
      </c>
      <c r="H305" s="4">
        <f t="shared" si="20"/>
        <v>1E-10</v>
      </c>
      <c r="I305" s="4">
        <f t="shared" si="17"/>
        <v>30.110000000000163</v>
      </c>
      <c r="J305" s="2">
        <f t="shared" si="18"/>
        <v>30.110000000000163</v>
      </c>
    </row>
    <row r="306" spans="6:10" x14ac:dyDescent="0.25">
      <c r="F306" s="4">
        <f t="shared" si="19"/>
        <v>30.210000000000164</v>
      </c>
      <c r="G306" s="4">
        <f>cubspline(3,F306,Data!$B$36:$B$56,Data!$A$36:$A$56)</f>
        <v>0</v>
      </c>
      <c r="H306" s="4">
        <f t="shared" si="20"/>
        <v>1E-10</v>
      </c>
      <c r="I306" s="4">
        <f t="shared" si="17"/>
        <v>30.210000000000164</v>
      </c>
      <c r="J306" s="2">
        <f t="shared" si="18"/>
        <v>30.210000000000164</v>
      </c>
    </row>
    <row r="307" spans="6:10" x14ac:dyDescent="0.25">
      <c r="F307" s="4">
        <f t="shared" si="19"/>
        <v>30.310000000000166</v>
      </c>
      <c r="G307" s="4">
        <f>cubspline(3,F307,Data!$B$36:$B$56,Data!$A$36:$A$56)</f>
        <v>0</v>
      </c>
      <c r="H307" s="4">
        <f t="shared" si="20"/>
        <v>1E-10</v>
      </c>
      <c r="I307" s="4">
        <f t="shared" si="17"/>
        <v>30.310000000000166</v>
      </c>
      <c r="J307" s="2">
        <f t="shared" si="18"/>
        <v>30.310000000000166</v>
      </c>
    </row>
    <row r="308" spans="6:10" x14ac:dyDescent="0.25">
      <c r="F308" s="4">
        <f t="shared" si="19"/>
        <v>30.410000000000167</v>
      </c>
      <c r="G308" s="4">
        <f>cubspline(3,F308,Data!$B$36:$B$56,Data!$A$36:$A$56)</f>
        <v>0</v>
      </c>
      <c r="H308" s="4">
        <f t="shared" si="20"/>
        <v>1E-10</v>
      </c>
      <c r="I308" s="4">
        <f t="shared" si="17"/>
        <v>30.410000000000167</v>
      </c>
      <c r="J308" s="2">
        <f t="shared" si="18"/>
        <v>30.410000000000167</v>
      </c>
    </row>
    <row r="309" spans="6:10" x14ac:dyDescent="0.25">
      <c r="F309" s="4">
        <f t="shared" si="19"/>
        <v>30.510000000000169</v>
      </c>
      <c r="G309" s="4">
        <f>cubspline(3,F309,Data!$B$36:$B$56,Data!$A$36:$A$56)</f>
        <v>0</v>
      </c>
      <c r="H309" s="4">
        <f t="shared" si="20"/>
        <v>1E-10</v>
      </c>
      <c r="I309" s="4">
        <f t="shared" si="17"/>
        <v>30.510000000000169</v>
      </c>
      <c r="J309" s="2">
        <f t="shared" si="18"/>
        <v>30.510000000000169</v>
      </c>
    </row>
    <row r="310" spans="6:10" x14ac:dyDescent="0.25">
      <c r="F310" s="4">
        <f t="shared" si="19"/>
        <v>30.61000000000017</v>
      </c>
      <c r="G310" s="4">
        <f>cubspline(3,F310,Data!$B$36:$B$56,Data!$A$36:$A$56)</f>
        <v>0</v>
      </c>
      <c r="H310" s="4">
        <f t="shared" si="20"/>
        <v>1E-10</v>
      </c>
      <c r="I310" s="4">
        <f t="shared" si="17"/>
        <v>30.61000000000017</v>
      </c>
      <c r="J310" s="2">
        <f t="shared" si="18"/>
        <v>30.61000000000017</v>
      </c>
    </row>
    <row r="311" spans="6:10" x14ac:dyDescent="0.25">
      <c r="F311" s="4">
        <f t="shared" si="19"/>
        <v>30.710000000000171</v>
      </c>
      <c r="G311" s="4">
        <f>cubspline(3,F311,Data!$B$36:$B$56,Data!$A$36:$A$56)</f>
        <v>0</v>
      </c>
      <c r="H311" s="4">
        <f t="shared" si="20"/>
        <v>1E-10</v>
      </c>
      <c r="I311" s="4">
        <f t="shared" si="17"/>
        <v>30.710000000000171</v>
      </c>
      <c r="J311" s="2">
        <f t="shared" si="18"/>
        <v>30.710000000000171</v>
      </c>
    </row>
    <row r="312" spans="6:10" x14ac:dyDescent="0.25">
      <c r="F312" s="4">
        <f t="shared" si="19"/>
        <v>30.810000000000173</v>
      </c>
      <c r="G312" s="4">
        <f>cubspline(3,F312,Data!$B$36:$B$56,Data!$A$36:$A$56)</f>
        <v>0</v>
      </c>
      <c r="H312" s="4">
        <f t="shared" si="20"/>
        <v>1E-10</v>
      </c>
      <c r="I312" s="4">
        <f t="shared" si="17"/>
        <v>30.810000000000173</v>
      </c>
      <c r="J312" s="2">
        <f t="shared" si="18"/>
        <v>30.810000000000173</v>
      </c>
    </row>
    <row r="313" spans="6:10" x14ac:dyDescent="0.25">
      <c r="F313" s="4">
        <f t="shared" si="19"/>
        <v>30.910000000000174</v>
      </c>
      <c r="G313" s="4">
        <f>cubspline(3,F313,Data!$B$36:$B$56,Data!$A$36:$A$56)</f>
        <v>0</v>
      </c>
      <c r="H313" s="4">
        <f t="shared" si="20"/>
        <v>1E-10</v>
      </c>
      <c r="I313" s="4">
        <f t="shared" si="17"/>
        <v>30.910000000000174</v>
      </c>
      <c r="J313" s="2">
        <f t="shared" si="18"/>
        <v>30.910000000000174</v>
      </c>
    </row>
    <row r="314" spans="6:10" x14ac:dyDescent="0.25">
      <c r="F314" s="4">
        <f t="shared" si="19"/>
        <v>31.010000000000176</v>
      </c>
      <c r="G314" s="4">
        <f>cubspline(3,F314,Data!$B$36:$B$56,Data!$A$36:$A$56)</f>
        <v>0</v>
      </c>
      <c r="H314" s="4">
        <f t="shared" si="20"/>
        <v>1E-10</v>
      </c>
      <c r="I314" s="4">
        <f t="shared" si="17"/>
        <v>31.010000000000176</v>
      </c>
      <c r="J314" s="2">
        <f t="shared" si="18"/>
        <v>31.010000000000176</v>
      </c>
    </row>
    <row r="315" spans="6:10" x14ac:dyDescent="0.25">
      <c r="F315" s="4">
        <f t="shared" si="19"/>
        <v>31.110000000000177</v>
      </c>
      <c r="G315" s="4">
        <f>cubspline(3,F315,Data!$B$36:$B$56,Data!$A$36:$A$56)</f>
        <v>0</v>
      </c>
      <c r="H315" s="4">
        <f t="shared" si="20"/>
        <v>1E-10</v>
      </c>
      <c r="I315" s="4">
        <f t="shared" si="17"/>
        <v>31.110000000000177</v>
      </c>
      <c r="J315" s="2">
        <f t="shared" si="18"/>
        <v>31.110000000000177</v>
      </c>
    </row>
    <row r="316" spans="6:10" x14ac:dyDescent="0.25">
      <c r="F316" s="4">
        <f t="shared" si="19"/>
        <v>31.210000000000178</v>
      </c>
      <c r="G316" s="4">
        <f>cubspline(3,F316,Data!$B$36:$B$56,Data!$A$36:$A$56)</f>
        <v>0</v>
      </c>
      <c r="H316" s="4">
        <f t="shared" si="20"/>
        <v>1E-10</v>
      </c>
      <c r="I316" s="4">
        <f t="shared" si="17"/>
        <v>31.210000000000178</v>
      </c>
      <c r="J316" s="2">
        <f t="shared" si="18"/>
        <v>31.210000000000178</v>
      </c>
    </row>
    <row r="317" spans="6:10" x14ac:dyDescent="0.25">
      <c r="F317" s="4">
        <f t="shared" si="19"/>
        <v>31.31000000000018</v>
      </c>
      <c r="G317" s="4">
        <f>cubspline(3,F317,Data!$B$36:$B$56,Data!$A$36:$A$56)</f>
        <v>0</v>
      </c>
      <c r="H317" s="4">
        <f t="shared" si="20"/>
        <v>1E-10</v>
      </c>
      <c r="I317" s="4">
        <f t="shared" si="17"/>
        <v>31.31000000000018</v>
      </c>
      <c r="J317" s="2">
        <f t="shared" si="18"/>
        <v>31.31000000000018</v>
      </c>
    </row>
    <row r="318" spans="6:10" x14ac:dyDescent="0.25">
      <c r="F318" s="4">
        <f t="shared" si="19"/>
        <v>31.410000000000181</v>
      </c>
      <c r="G318" s="4">
        <f>cubspline(3,F318,Data!$B$36:$B$56,Data!$A$36:$A$56)</f>
        <v>0</v>
      </c>
      <c r="H318" s="4">
        <f t="shared" si="20"/>
        <v>1E-10</v>
      </c>
      <c r="I318" s="4">
        <f t="shared" si="17"/>
        <v>31.410000000000181</v>
      </c>
      <c r="J318" s="2">
        <f t="shared" si="18"/>
        <v>31.410000000000181</v>
      </c>
    </row>
    <row r="319" spans="6:10" x14ac:dyDescent="0.25">
      <c r="F319" s="4">
        <f t="shared" si="19"/>
        <v>31.510000000000183</v>
      </c>
      <c r="G319" s="4">
        <f>cubspline(3,F319,Data!$B$36:$B$56,Data!$A$36:$A$56)</f>
        <v>0</v>
      </c>
      <c r="H319" s="4">
        <f t="shared" si="20"/>
        <v>1E-10</v>
      </c>
      <c r="I319" s="4">
        <f t="shared" si="17"/>
        <v>31.510000000000183</v>
      </c>
      <c r="J319" s="2">
        <f t="shared" si="18"/>
        <v>31.510000000000183</v>
      </c>
    </row>
    <row r="320" spans="6:10" x14ac:dyDescent="0.25">
      <c r="F320" s="4">
        <f t="shared" si="19"/>
        <v>31.610000000000184</v>
      </c>
      <c r="G320" s="4">
        <f>cubspline(3,F320,Data!$B$36:$B$56,Data!$A$36:$A$56)</f>
        <v>0</v>
      </c>
      <c r="H320" s="4">
        <f t="shared" si="20"/>
        <v>1E-10</v>
      </c>
      <c r="I320" s="4">
        <f t="shared" si="17"/>
        <v>31.610000000000184</v>
      </c>
      <c r="J320" s="2">
        <f t="shared" si="18"/>
        <v>31.610000000000184</v>
      </c>
    </row>
    <row r="321" spans="6:10" x14ac:dyDescent="0.25">
      <c r="F321" s="4">
        <f t="shared" si="19"/>
        <v>31.710000000000186</v>
      </c>
      <c r="G321" s="4">
        <f>cubspline(3,F321,Data!$B$36:$B$56,Data!$A$36:$A$56)</f>
        <v>0</v>
      </c>
      <c r="H321" s="4">
        <f t="shared" si="20"/>
        <v>1E-10</v>
      </c>
      <c r="I321" s="4">
        <f t="shared" si="17"/>
        <v>31.710000000000186</v>
      </c>
      <c r="J321" s="2">
        <f t="shared" si="18"/>
        <v>31.710000000000186</v>
      </c>
    </row>
    <row r="322" spans="6:10" x14ac:dyDescent="0.25">
      <c r="F322" s="4">
        <f t="shared" si="19"/>
        <v>31.810000000000187</v>
      </c>
      <c r="G322" s="4">
        <f>cubspline(3,F322,Data!$B$36:$B$56,Data!$A$36:$A$56)</f>
        <v>0</v>
      </c>
      <c r="H322" s="4">
        <f t="shared" si="20"/>
        <v>1E-10</v>
      </c>
      <c r="I322" s="4">
        <f t="shared" si="17"/>
        <v>31.810000000000187</v>
      </c>
      <c r="J322" s="2">
        <f t="shared" si="18"/>
        <v>31.810000000000187</v>
      </c>
    </row>
    <row r="323" spans="6:10" x14ac:dyDescent="0.25">
      <c r="F323" s="4">
        <f t="shared" si="19"/>
        <v>31.910000000000188</v>
      </c>
      <c r="G323" s="4">
        <f>cubspline(3,F323,Data!$B$36:$B$56,Data!$A$36:$A$56)</f>
        <v>0</v>
      </c>
      <c r="H323" s="4">
        <f t="shared" si="20"/>
        <v>1E-10</v>
      </c>
      <c r="I323" s="4">
        <f t="shared" si="17"/>
        <v>31.910000000000188</v>
      </c>
      <c r="J323" s="2">
        <f t="shared" si="18"/>
        <v>31.910000000000188</v>
      </c>
    </row>
    <row r="324" spans="6:10" x14ac:dyDescent="0.25">
      <c r="F324" s="4">
        <f t="shared" si="19"/>
        <v>32.01000000000019</v>
      </c>
      <c r="G324" s="4">
        <f>cubspline(3,F324,Data!$B$36:$B$56,Data!$A$36:$A$56)</f>
        <v>0</v>
      </c>
      <c r="H324" s="4">
        <f t="shared" si="20"/>
        <v>1E-10</v>
      </c>
      <c r="I324" s="4">
        <f t="shared" si="17"/>
        <v>32.01000000000019</v>
      </c>
      <c r="J324" s="2">
        <f t="shared" si="18"/>
        <v>32.01000000000019</v>
      </c>
    </row>
    <row r="325" spans="6:10" x14ac:dyDescent="0.25">
      <c r="F325" s="4">
        <f t="shared" si="19"/>
        <v>32.110000000000191</v>
      </c>
      <c r="G325" s="4">
        <f>cubspline(3,F325,Data!$B$36:$B$56,Data!$A$36:$A$56)</f>
        <v>0</v>
      </c>
      <c r="H325" s="4">
        <f t="shared" si="20"/>
        <v>1E-10</v>
      </c>
      <c r="I325" s="4">
        <f t="shared" ref="I325:I388" si="21">IF(F325&gt;$D$47,F325,NA())</f>
        <v>32.110000000000191</v>
      </c>
      <c r="J325" s="2">
        <f t="shared" ref="J325:J388" si="22">IF(F325&gt;=$D$47,F325,($D$47-(0.3*($D$47-F325))))</f>
        <v>32.110000000000191</v>
      </c>
    </row>
    <row r="326" spans="6:10" x14ac:dyDescent="0.25">
      <c r="F326" s="4">
        <f t="shared" ref="F326:F389" si="23">F325+0.1</f>
        <v>32.210000000000193</v>
      </c>
      <c r="G326" s="4">
        <f>cubspline(3,F326,Data!$B$36:$B$56,Data!$A$36:$A$56)</f>
        <v>0</v>
      </c>
      <c r="H326" s="4">
        <f t="shared" ref="H326:H389" si="24">IF(G326&lt;=0,0.0000000001,G326)</f>
        <v>1E-10</v>
      </c>
      <c r="I326" s="4">
        <f t="shared" si="21"/>
        <v>32.210000000000193</v>
      </c>
      <c r="J326" s="2">
        <f t="shared" si="22"/>
        <v>32.210000000000193</v>
      </c>
    </row>
    <row r="327" spans="6:10" x14ac:dyDescent="0.25">
      <c r="F327" s="4">
        <f t="shared" si="23"/>
        <v>32.310000000000194</v>
      </c>
      <c r="G327" s="4">
        <f>cubspline(3,F327,Data!$B$36:$B$56,Data!$A$36:$A$56)</f>
        <v>0</v>
      </c>
      <c r="H327" s="4">
        <f t="shared" si="24"/>
        <v>1E-10</v>
      </c>
      <c r="I327" s="4">
        <f t="shared" si="21"/>
        <v>32.310000000000194</v>
      </c>
      <c r="J327" s="2">
        <f t="shared" si="22"/>
        <v>32.310000000000194</v>
      </c>
    </row>
    <row r="328" spans="6:10" x14ac:dyDescent="0.25">
      <c r="F328" s="4">
        <f t="shared" si="23"/>
        <v>32.410000000000196</v>
      </c>
      <c r="G328" s="4">
        <f>cubspline(3,F328,Data!$B$36:$B$56,Data!$A$36:$A$56)</f>
        <v>0</v>
      </c>
      <c r="H328" s="4">
        <f t="shared" si="24"/>
        <v>1E-10</v>
      </c>
      <c r="I328" s="4">
        <f t="shared" si="21"/>
        <v>32.410000000000196</v>
      </c>
      <c r="J328" s="2">
        <f t="shared" si="22"/>
        <v>32.410000000000196</v>
      </c>
    </row>
    <row r="329" spans="6:10" x14ac:dyDescent="0.25">
      <c r="F329" s="4">
        <f t="shared" si="23"/>
        <v>32.510000000000197</v>
      </c>
      <c r="G329" s="4">
        <f>cubspline(3,F329,Data!$B$36:$B$56,Data!$A$36:$A$56)</f>
        <v>0</v>
      </c>
      <c r="H329" s="4">
        <f t="shared" si="24"/>
        <v>1E-10</v>
      </c>
      <c r="I329" s="4">
        <f t="shared" si="21"/>
        <v>32.510000000000197</v>
      </c>
      <c r="J329" s="2">
        <f t="shared" si="22"/>
        <v>32.510000000000197</v>
      </c>
    </row>
    <row r="330" spans="6:10" x14ac:dyDescent="0.25">
      <c r="F330" s="4">
        <f t="shared" si="23"/>
        <v>32.610000000000198</v>
      </c>
      <c r="G330" s="4">
        <f>cubspline(3,F330,Data!$B$36:$B$56,Data!$A$36:$A$56)</f>
        <v>0</v>
      </c>
      <c r="H330" s="4">
        <f t="shared" si="24"/>
        <v>1E-10</v>
      </c>
      <c r="I330" s="4">
        <f t="shared" si="21"/>
        <v>32.610000000000198</v>
      </c>
      <c r="J330" s="2">
        <f t="shared" si="22"/>
        <v>32.610000000000198</v>
      </c>
    </row>
    <row r="331" spans="6:10" x14ac:dyDescent="0.25">
      <c r="F331" s="4">
        <f t="shared" si="23"/>
        <v>32.7100000000002</v>
      </c>
      <c r="G331" s="4">
        <f>cubspline(3,F331,Data!$B$36:$B$56,Data!$A$36:$A$56)</f>
        <v>0</v>
      </c>
      <c r="H331" s="4">
        <f t="shared" si="24"/>
        <v>1E-10</v>
      </c>
      <c r="I331" s="4">
        <f t="shared" si="21"/>
        <v>32.7100000000002</v>
      </c>
      <c r="J331" s="2">
        <f t="shared" si="22"/>
        <v>32.7100000000002</v>
      </c>
    </row>
    <row r="332" spans="6:10" x14ac:dyDescent="0.25">
      <c r="F332" s="4">
        <f t="shared" si="23"/>
        <v>32.810000000000201</v>
      </c>
      <c r="G332" s="4">
        <f>cubspline(3,F332,Data!$B$36:$B$56,Data!$A$36:$A$56)</f>
        <v>0</v>
      </c>
      <c r="H332" s="4">
        <f t="shared" si="24"/>
        <v>1E-10</v>
      </c>
      <c r="I332" s="4">
        <f t="shared" si="21"/>
        <v>32.810000000000201</v>
      </c>
      <c r="J332" s="2">
        <f t="shared" si="22"/>
        <v>32.810000000000201</v>
      </c>
    </row>
    <row r="333" spans="6:10" x14ac:dyDescent="0.25">
      <c r="F333" s="4">
        <f t="shared" si="23"/>
        <v>32.910000000000203</v>
      </c>
      <c r="G333" s="4">
        <f>cubspline(3,F333,Data!$B$36:$B$56,Data!$A$36:$A$56)</f>
        <v>0</v>
      </c>
      <c r="H333" s="4">
        <f t="shared" si="24"/>
        <v>1E-10</v>
      </c>
      <c r="I333" s="4">
        <f t="shared" si="21"/>
        <v>32.910000000000203</v>
      </c>
      <c r="J333" s="2">
        <f t="shared" si="22"/>
        <v>32.910000000000203</v>
      </c>
    </row>
    <row r="334" spans="6:10" x14ac:dyDescent="0.25">
      <c r="F334" s="4">
        <f t="shared" si="23"/>
        <v>33.010000000000204</v>
      </c>
      <c r="G334" s="4">
        <f>cubspline(3,F334,Data!$B$36:$B$56,Data!$A$36:$A$56)</f>
        <v>0</v>
      </c>
      <c r="H334" s="4">
        <f t="shared" si="24"/>
        <v>1E-10</v>
      </c>
      <c r="I334" s="4">
        <f t="shared" si="21"/>
        <v>33.010000000000204</v>
      </c>
      <c r="J334" s="2">
        <f t="shared" si="22"/>
        <v>33.010000000000204</v>
      </c>
    </row>
    <row r="335" spans="6:10" x14ac:dyDescent="0.25">
      <c r="F335" s="4">
        <f t="shared" si="23"/>
        <v>33.110000000000205</v>
      </c>
      <c r="G335" s="4">
        <f>cubspline(3,F335,Data!$B$36:$B$56,Data!$A$36:$A$56)</f>
        <v>0</v>
      </c>
      <c r="H335" s="4">
        <f t="shared" si="24"/>
        <v>1E-10</v>
      </c>
      <c r="I335" s="4">
        <f t="shared" si="21"/>
        <v>33.110000000000205</v>
      </c>
      <c r="J335" s="2">
        <f t="shared" si="22"/>
        <v>33.110000000000205</v>
      </c>
    </row>
    <row r="336" spans="6:10" x14ac:dyDescent="0.25">
      <c r="F336" s="4">
        <f t="shared" si="23"/>
        <v>33.210000000000207</v>
      </c>
      <c r="G336" s="4">
        <f>cubspline(3,F336,Data!$B$36:$B$56,Data!$A$36:$A$56)</f>
        <v>0</v>
      </c>
      <c r="H336" s="4">
        <f t="shared" si="24"/>
        <v>1E-10</v>
      </c>
      <c r="I336" s="4">
        <f t="shared" si="21"/>
        <v>33.210000000000207</v>
      </c>
      <c r="J336" s="2">
        <f t="shared" si="22"/>
        <v>33.210000000000207</v>
      </c>
    </row>
    <row r="337" spans="6:10" x14ac:dyDescent="0.25">
      <c r="F337" s="4">
        <f t="shared" si="23"/>
        <v>33.310000000000208</v>
      </c>
      <c r="G337" s="4">
        <f>cubspline(3,F337,Data!$B$36:$B$56,Data!$A$36:$A$56)</f>
        <v>0</v>
      </c>
      <c r="H337" s="4">
        <f t="shared" si="24"/>
        <v>1E-10</v>
      </c>
      <c r="I337" s="4">
        <f t="shared" si="21"/>
        <v>33.310000000000208</v>
      </c>
      <c r="J337" s="2">
        <f t="shared" si="22"/>
        <v>33.310000000000208</v>
      </c>
    </row>
    <row r="338" spans="6:10" x14ac:dyDescent="0.25">
      <c r="F338" s="4">
        <f t="shared" si="23"/>
        <v>33.41000000000021</v>
      </c>
      <c r="G338" s="4">
        <f>cubspline(3,F338,Data!$B$36:$B$56,Data!$A$36:$A$56)</f>
        <v>0</v>
      </c>
      <c r="H338" s="4">
        <f t="shared" si="24"/>
        <v>1E-10</v>
      </c>
      <c r="I338" s="4">
        <f t="shared" si="21"/>
        <v>33.41000000000021</v>
      </c>
      <c r="J338" s="2">
        <f t="shared" si="22"/>
        <v>33.41000000000021</v>
      </c>
    </row>
    <row r="339" spans="6:10" x14ac:dyDescent="0.25">
      <c r="F339" s="4">
        <f t="shared" si="23"/>
        <v>33.510000000000211</v>
      </c>
      <c r="G339" s="4">
        <f>cubspline(3,F339,Data!$B$36:$B$56,Data!$A$36:$A$56)</f>
        <v>0</v>
      </c>
      <c r="H339" s="4">
        <f t="shared" si="24"/>
        <v>1E-10</v>
      </c>
      <c r="I339" s="4">
        <f t="shared" si="21"/>
        <v>33.510000000000211</v>
      </c>
      <c r="J339" s="2">
        <f t="shared" si="22"/>
        <v>33.510000000000211</v>
      </c>
    </row>
    <row r="340" spans="6:10" x14ac:dyDescent="0.25">
      <c r="F340" s="4">
        <f t="shared" si="23"/>
        <v>33.610000000000213</v>
      </c>
      <c r="G340" s="4">
        <f>cubspline(3,F340,Data!$B$36:$B$56,Data!$A$36:$A$56)</f>
        <v>0</v>
      </c>
      <c r="H340" s="4">
        <f t="shared" si="24"/>
        <v>1E-10</v>
      </c>
      <c r="I340" s="4">
        <f t="shared" si="21"/>
        <v>33.610000000000213</v>
      </c>
      <c r="J340" s="2">
        <f t="shared" si="22"/>
        <v>33.610000000000213</v>
      </c>
    </row>
    <row r="341" spans="6:10" x14ac:dyDescent="0.25">
      <c r="F341" s="4">
        <f t="shared" si="23"/>
        <v>33.710000000000214</v>
      </c>
      <c r="G341" s="4">
        <f>cubspline(3,F341,Data!$B$36:$B$56,Data!$A$36:$A$56)</f>
        <v>0</v>
      </c>
      <c r="H341" s="4">
        <f t="shared" si="24"/>
        <v>1E-10</v>
      </c>
      <c r="I341" s="4">
        <f t="shared" si="21"/>
        <v>33.710000000000214</v>
      </c>
      <c r="J341" s="2">
        <f t="shared" si="22"/>
        <v>33.710000000000214</v>
      </c>
    </row>
    <row r="342" spans="6:10" x14ac:dyDescent="0.25">
      <c r="F342" s="4">
        <f t="shared" si="23"/>
        <v>33.810000000000215</v>
      </c>
      <c r="G342" s="4">
        <f>cubspline(3,F342,Data!$B$36:$B$56,Data!$A$36:$A$56)</f>
        <v>0</v>
      </c>
      <c r="H342" s="4">
        <f t="shared" si="24"/>
        <v>1E-10</v>
      </c>
      <c r="I342" s="4">
        <f t="shared" si="21"/>
        <v>33.810000000000215</v>
      </c>
      <c r="J342" s="2">
        <f t="shared" si="22"/>
        <v>33.810000000000215</v>
      </c>
    </row>
    <row r="343" spans="6:10" x14ac:dyDescent="0.25">
      <c r="F343" s="4">
        <f t="shared" si="23"/>
        <v>33.910000000000217</v>
      </c>
      <c r="G343" s="4">
        <f>cubspline(3,F343,Data!$B$36:$B$56,Data!$A$36:$A$56)</f>
        <v>0</v>
      </c>
      <c r="H343" s="4">
        <f t="shared" si="24"/>
        <v>1E-10</v>
      </c>
      <c r="I343" s="4">
        <f t="shared" si="21"/>
        <v>33.910000000000217</v>
      </c>
      <c r="J343" s="2">
        <f t="shared" si="22"/>
        <v>33.910000000000217</v>
      </c>
    </row>
    <row r="344" spans="6:10" x14ac:dyDescent="0.25">
      <c r="F344" s="4">
        <f t="shared" si="23"/>
        <v>34.010000000000218</v>
      </c>
      <c r="G344" s="4">
        <f>cubspline(3,F344,Data!$B$36:$B$56,Data!$A$36:$A$56)</f>
        <v>0</v>
      </c>
      <c r="H344" s="4">
        <f t="shared" si="24"/>
        <v>1E-10</v>
      </c>
      <c r="I344" s="4">
        <f t="shared" si="21"/>
        <v>34.010000000000218</v>
      </c>
      <c r="J344" s="2">
        <f t="shared" si="22"/>
        <v>34.010000000000218</v>
      </c>
    </row>
    <row r="345" spans="6:10" x14ac:dyDescent="0.25">
      <c r="F345" s="4">
        <f t="shared" si="23"/>
        <v>34.11000000000022</v>
      </c>
      <c r="G345" s="4">
        <f>cubspline(3,F345,Data!$B$36:$B$56,Data!$A$36:$A$56)</f>
        <v>0</v>
      </c>
      <c r="H345" s="4">
        <f t="shared" si="24"/>
        <v>1E-10</v>
      </c>
      <c r="I345" s="4">
        <f t="shared" si="21"/>
        <v>34.11000000000022</v>
      </c>
      <c r="J345" s="2">
        <f t="shared" si="22"/>
        <v>34.11000000000022</v>
      </c>
    </row>
    <row r="346" spans="6:10" x14ac:dyDescent="0.25">
      <c r="F346" s="4">
        <f t="shared" si="23"/>
        <v>34.210000000000221</v>
      </c>
      <c r="G346" s="4">
        <f>cubspline(3,F346,Data!$B$36:$B$56,Data!$A$36:$A$56)</f>
        <v>0</v>
      </c>
      <c r="H346" s="4">
        <f t="shared" si="24"/>
        <v>1E-10</v>
      </c>
      <c r="I346" s="4">
        <f t="shared" si="21"/>
        <v>34.210000000000221</v>
      </c>
      <c r="J346" s="2">
        <f t="shared" si="22"/>
        <v>34.210000000000221</v>
      </c>
    </row>
    <row r="347" spans="6:10" x14ac:dyDescent="0.25">
      <c r="F347" s="4">
        <f t="shared" si="23"/>
        <v>34.310000000000223</v>
      </c>
      <c r="G347" s="4">
        <f>cubspline(3,F347,Data!$B$36:$B$56,Data!$A$36:$A$56)</f>
        <v>0</v>
      </c>
      <c r="H347" s="4">
        <f t="shared" si="24"/>
        <v>1E-10</v>
      </c>
      <c r="I347" s="4">
        <f t="shared" si="21"/>
        <v>34.310000000000223</v>
      </c>
      <c r="J347" s="2">
        <f t="shared" si="22"/>
        <v>34.310000000000223</v>
      </c>
    </row>
    <row r="348" spans="6:10" x14ac:dyDescent="0.25">
      <c r="F348" s="4">
        <f t="shared" si="23"/>
        <v>34.410000000000224</v>
      </c>
      <c r="G348" s="4">
        <f>cubspline(3,F348,Data!$B$36:$B$56,Data!$A$36:$A$56)</f>
        <v>0</v>
      </c>
      <c r="H348" s="4">
        <f t="shared" si="24"/>
        <v>1E-10</v>
      </c>
      <c r="I348" s="4">
        <f t="shared" si="21"/>
        <v>34.410000000000224</v>
      </c>
      <c r="J348" s="2">
        <f t="shared" si="22"/>
        <v>34.410000000000224</v>
      </c>
    </row>
    <row r="349" spans="6:10" x14ac:dyDescent="0.25">
      <c r="F349" s="4">
        <f t="shared" si="23"/>
        <v>34.510000000000225</v>
      </c>
      <c r="G349" s="4">
        <f>cubspline(3,F349,Data!$B$36:$B$56,Data!$A$36:$A$56)</f>
        <v>0</v>
      </c>
      <c r="H349" s="4">
        <f t="shared" si="24"/>
        <v>1E-10</v>
      </c>
      <c r="I349" s="4">
        <f t="shared" si="21"/>
        <v>34.510000000000225</v>
      </c>
      <c r="J349" s="2">
        <f t="shared" si="22"/>
        <v>34.510000000000225</v>
      </c>
    </row>
    <row r="350" spans="6:10" x14ac:dyDescent="0.25">
      <c r="F350" s="4">
        <f t="shared" si="23"/>
        <v>34.610000000000227</v>
      </c>
      <c r="G350" s="4">
        <f>cubspline(3,F350,Data!$B$36:$B$56,Data!$A$36:$A$56)</f>
        <v>0</v>
      </c>
      <c r="H350" s="4">
        <f t="shared" si="24"/>
        <v>1E-10</v>
      </c>
      <c r="I350" s="4">
        <f t="shared" si="21"/>
        <v>34.610000000000227</v>
      </c>
      <c r="J350" s="2">
        <f t="shared" si="22"/>
        <v>34.610000000000227</v>
      </c>
    </row>
    <row r="351" spans="6:10" x14ac:dyDescent="0.25">
      <c r="F351" s="4">
        <f t="shared" si="23"/>
        <v>34.710000000000228</v>
      </c>
      <c r="G351" s="4">
        <f>cubspline(3,F351,Data!$B$36:$B$56,Data!$A$36:$A$56)</f>
        <v>0</v>
      </c>
      <c r="H351" s="4">
        <f t="shared" si="24"/>
        <v>1E-10</v>
      </c>
      <c r="I351" s="4">
        <f t="shared" si="21"/>
        <v>34.710000000000228</v>
      </c>
      <c r="J351" s="2">
        <f t="shared" si="22"/>
        <v>34.710000000000228</v>
      </c>
    </row>
    <row r="352" spans="6:10" x14ac:dyDescent="0.25">
      <c r="F352" s="4">
        <f t="shared" si="23"/>
        <v>34.81000000000023</v>
      </c>
      <c r="G352" s="4">
        <f>cubspline(3,F352,Data!$B$36:$B$56,Data!$A$36:$A$56)</f>
        <v>0</v>
      </c>
      <c r="H352" s="4">
        <f t="shared" si="24"/>
        <v>1E-10</v>
      </c>
      <c r="I352" s="4">
        <f t="shared" si="21"/>
        <v>34.81000000000023</v>
      </c>
      <c r="J352" s="2">
        <f t="shared" si="22"/>
        <v>34.81000000000023</v>
      </c>
    </row>
    <row r="353" spans="6:10" x14ac:dyDescent="0.25">
      <c r="F353" s="4">
        <f t="shared" si="23"/>
        <v>34.910000000000231</v>
      </c>
      <c r="G353" s="4">
        <f>cubspline(3,F353,Data!$B$36:$B$56,Data!$A$36:$A$56)</f>
        <v>0</v>
      </c>
      <c r="H353" s="4">
        <f t="shared" si="24"/>
        <v>1E-10</v>
      </c>
      <c r="I353" s="4">
        <f t="shared" si="21"/>
        <v>34.910000000000231</v>
      </c>
      <c r="J353" s="2">
        <f t="shared" si="22"/>
        <v>34.910000000000231</v>
      </c>
    </row>
    <row r="354" spans="6:10" x14ac:dyDescent="0.25">
      <c r="F354" s="4">
        <f t="shared" si="23"/>
        <v>35.010000000000232</v>
      </c>
      <c r="G354" s="4">
        <f>cubspline(3,F354,Data!$B$36:$B$56,Data!$A$36:$A$56)</f>
        <v>0</v>
      </c>
      <c r="H354" s="4">
        <f t="shared" si="24"/>
        <v>1E-10</v>
      </c>
      <c r="I354" s="4">
        <f t="shared" si="21"/>
        <v>35.010000000000232</v>
      </c>
      <c r="J354" s="2">
        <f t="shared" si="22"/>
        <v>35.010000000000232</v>
      </c>
    </row>
    <row r="355" spans="6:10" x14ac:dyDescent="0.25">
      <c r="F355" s="4">
        <f t="shared" si="23"/>
        <v>35.110000000000234</v>
      </c>
      <c r="G355" s="4">
        <f>cubspline(3,F355,Data!$B$36:$B$56,Data!$A$36:$A$56)</f>
        <v>0</v>
      </c>
      <c r="H355" s="4">
        <f t="shared" si="24"/>
        <v>1E-10</v>
      </c>
      <c r="I355" s="4">
        <f t="shared" si="21"/>
        <v>35.110000000000234</v>
      </c>
      <c r="J355" s="2">
        <f t="shared" si="22"/>
        <v>35.110000000000234</v>
      </c>
    </row>
    <row r="356" spans="6:10" x14ac:dyDescent="0.25">
      <c r="F356" s="4">
        <f t="shared" si="23"/>
        <v>35.210000000000235</v>
      </c>
      <c r="G356" s="4">
        <f>cubspline(3,F356,Data!$B$36:$B$56,Data!$A$36:$A$56)</f>
        <v>0</v>
      </c>
      <c r="H356" s="4">
        <f t="shared" si="24"/>
        <v>1E-10</v>
      </c>
      <c r="I356" s="4">
        <f t="shared" si="21"/>
        <v>35.210000000000235</v>
      </c>
      <c r="J356" s="2">
        <f t="shared" si="22"/>
        <v>35.210000000000235</v>
      </c>
    </row>
    <row r="357" spans="6:10" x14ac:dyDescent="0.25">
      <c r="F357" s="4">
        <f t="shared" si="23"/>
        <v>35.310000000000237</v>
      </c>
      <c r="G357" s="4">
        <f>cubspline(3,F357,Data!$B$36:$B$56,Data!$A$36:$A$56)</f>
        <v>0</v>
      </c>
      <c r="H357" s="4">
        <f t="shared" si="24"/>
        <v>1E-10</v>
      </c>
      <c r="I357" s="4">
        <f t="shared" si="21"/>
        <v>35.310000000000237</v>
      </c>
      <c r="J357" s="2">
        <f t="shared" si="22"/>
        <v>35.310000000000237</v>
      </c>
    </row>
    <row r="358" spans="6:10" x14ac:dyDescent="0.25">
      <c r="F358" s="4">
        <f t="shared" si="23"/>
        <v>35.410000000000238</v>
      </c>
      <c r="G358" s="4">
        <f>cubspline(3,F358,Data!$B$36:$B$56,Data!$A$36:$A$56)</f>
        <v>0</v>
      </c>
      <c r="H358" s="4">
        <f t="shared" si="24"/>
        <v>1E-10</v>
      </c>
      <c r="I358" s="4">
        <f t="shared" si="21"/>
        <v>35.410000000000238</v>
      </c>
      <c r="J358" s="2">
        <f t="shared" si="22"/>
        <v>35.410000000000238</v>
      </c>
    </row>
    <row r="359" spans="6:10" x14ac:dyDescent="0.25">
      <c r="F359" s="4">
        <f t="shared" si="23"/>
        <v>35.51000000000024</v>
      </c>
      <c r="G359" s="4">
        <f>cubspline(3,F359,Data!$B$36:$B$56,Data!$A$36:$A$56)</f>
        <v>0</v>
      </c>
      <c r="H359" s="4">
        <f t="shared" si="24"/>
        <v>1E-10</v>
      </c>
      <c r="I359" s="4">
        <f t="shared" si="21"/>
        <v>35.51000000000024</v>
      </c>
      <c r="J359" s="2">
        <f t="shared" si="22"/>
        <v>35.51000000000024</v>
      </c>
    </row>
    <row r="360" spans="6:10" x14ac:dyDescent="0.25">
      <c r="F360" s="4">
        <f t="shared" si="23"/>
        <v>35.610000000000241</v>
      </c>
      <c r="G360" s="4">
        <f>cubspline(3,F360,Data!$B$36:$B$56,Data!$A$36:$A$56)</f>
        <v>0</v>
      </c>
      <c r="H360" s="4">
        <f t="shared" si="24"/>
        <v>1E-10</v>
      </c>
      <c r="I360" s="4">
        <f t="shared" si="21"/>
        <v>35.610000000000241</v>
      </c>
      <c r="J360" s="2">
        <f t="shared" si="22"/>
        <v>35.610000000000241</v>
      </c>
    </row>
    <row r="361" spans="6:10" x14ac:dyDescent="0.25">
      <c r="F361" s="4">
        <f t="shared" si="23"/>
        <v>35.710000000000242</v>
      </c>
      <c r="G361" s="4">
        <f>cubspline(3,F361,Data!$B$36:$B$56,Data!$A$36:$A$56)</f>
        <v>0</v>
      </c>
      <c r="H361" s="4">
        <f t="shared" si="24"/>
        <v>1E-10</v>
      </c>
      <c r="I361" s="4">
        <f t="shared" si="21"/>
        <v>35.710000000000242</v>
      </c>
      <c r="J361" s="2">
        <f t="shared" si="22"/>
        <v>35.710000000000242</v>
      </c>
    </row>
    <row r="362" spans="6:10" x14ac:dyDescent="0.25">
      <c r="F362" s="4">
        <f t="shared" si="23"/>
        <v>35.810000000000244</v>
      </c>
      <c r="G362" s="4">
        <f>cubspline(3,F362,Data!$B$36:$B$56,Data!$A$36:$A$56)</f>
        <v>0</v>
      </c>
      <c r="H362" s="4">
        <f t="shared" si="24"/>
        <v>1E-10</v>
      </c>
      <c r="I362" s="4">
        <f t="shared" si="21"/>
        <v>35.810000000000244</v>
      </c>
      <c r="J362" s="2">
        <f t="shared" si="22"/>
        <v>35.810000000000244</v>
      </c>
    </row>
    <row r="363" spans="6:10" x14ac:dyDescent="0.25">
      <c r="F363" s="4">
        <f t="shared" si="23"/>
        <v>35.910000000000245</v>
      </c>
      <c r="G363" s="4">
        <f>cubspline(3,F363,Data!$B$36:$B$56,Data!$A$36:$A$56)</f>
        <v>0</v>
      </c>
      <c r="H363" s="4">
        <f t="shared" si="24"/>
        <v>1E-10</v>
      </c>
      <c r="I363" s="4">
        <f t="shared" si="21"/>
        <v>35.910000000000245</v>
      </c>
      <c r="J363" s="2">
        <f t="shared" si="22"/>
        <v>35.910000000000245</v>
      </c>
    </row>
    <row r="364" spans="6:10" x14ac:dyDescent="0.25">
      <c r="F364" s="4">
        <f t="shared" si="23"/>
        <v>36.010000000000247</v>
      </c>
      <c r="G364" s="4">
        <f>cubspline(3,F364,Data!$B$36:$B$56,Data!$A$36:$A$56)</f>
        <v>0</v>
      </c>
      <c r="H364" s="4">
        <f t="shared" si="24"/>
        <v>1E-10</v>
      </c>
      <c r="I364" s="4">
        <f t="shared" si="21"/>
        <v>36.010000000000247</v>
      </c>
      <c r="J364" s="2">
        <f t="shared" si="22"/>
        <v>36.010000000000247</v>
      </c>
    </row>
    <row r="365" spans="6:10" x14ac:dyDescent="0.25">
      <c r="F365" s="4">
        <f t="shared" si="23"/>
        <v>36.110000000000248</v>
      </c>
      <c r="G365" s="4">
        <f>cubspline(3,F365,Data!$B$36:$B$56,Data!$A$36:$A$56)</f>
        <v>0</v>
      </c>
      <c r="H365" s="4">
        <f t="shared" si="24"/>
        <v>1E-10</v>
      </c>
      <c r="I365" s="4">
        <f t="shared" si="21"/>
        <v>36.110000000000248</v>
      </c>
      <c r="J365" s="2">
        <f t="shared" si="22"/>
        <v>36.110000000000248</v>
      </c>
    </row>
    <row r="366" spans="6:10" x14ac:dyDescent="0.25">
      <c r="F366" s="4">
        <f t="shared" si="23"/>
        <v>36.21000000000025</v>
      </c>
      <c r="G366" s="4">
        <f>cubspline(3,F366,Data!$B$36:$B$56,Data!$A$36:$A$56)</f>
        <v>0</v>
      </c>
      <c r="H366" s="4">
        <f t="shared" si="24"/>
        <v>1E-10</v>
      </c>
      <c r="I366" s="4">
        <f t="shared" si="21"/>
        <v>36.21000000000025</v>
      </c>
      <c r="J366" s="2">
        <f t="shared" si="22"/>
        <v>36.21000000000025</v>
      </c>
    </row>
    <row r="367" spans="6:10" x14ac:dyDescent="0.25">
      <c r="F367" s="4">
        <f t="shared" si="23"/>
        <v>36.310000000000251</v>
      </c>
      <c r="G367" s="4">
        <f>cubspline(3,F367,Data!$B$36:$B$56,Data!$A$36:$A$56)</f>
        <v>0</v>
      </c>
      <c r="H367" s="4">
        <f t="shared" si="24"/>
        <v>1E-10</v>
      </c>
      <c r="I367" s="4">
        <f t="shared" si="21"/>
        <v>36.310000000000251</v>
      </c>
      <c r="J367" s="2">
        <f t="shared" si="22"/>
        <v>36.310000000000251</v>
      </c>
    </row>
    <row r="368" spans="6:10" x14ac:dyDescent="0.25">
      <c r="F368" s="4">
        <f t="shared" si="23"/>
        <v>36.410000000000252</v>
      </c>
      <c r="G368" s="4">
        <f>cubspline(3,F368,Data!$B$36:$B$56,Data!$A$36:$A$56)</f>
        <v>0</v>
      </c>
      <c r="H368" s="4">
        <f t="shared" si="24"/>
        <v>1E-10</v>
      </c>
      <c r="I368" s="4">
        <f t="shared" si="21"/>
        <v>36.410000000000252</v>
      </c>
      <c r="J368" s="2">
        <f t="shared" si="22"/>
        <v>36.410000000000252</v>
      </c>
    </row>
    <row r="369" spans="6:10" x14ac:dyDescent="0.25">
      <c r="F369" s="4">
        <f t="shared" si="23"/>
        <v>36.510000000000254</v>
      </c>
      <c r="G369" s="4">
        <f>cubspline(3,F369,Data!$B$36:$B$56,Data!$A$36:$A$56)</f>
        <v>0</v>
      </c>
      <c r="H369" s="4">
        <f t="shared" si="24"/>
        <v>1E-10</v>
      </c>
      <c r="I369" s="4">
        <f t="shared" si="21"/>
        <v>36.510000000000254</v>
      </c>
      <c r="J369" s="2">
        <f t="shared" si="22"/>
        <v>36.510000000000254</v>
      </c>
    </row>
    <row r="370" spans="6:10" x14ac:dyDescent="0.25">
      <c r="F370" s="4">
        <f t="shared" si="23"/>
        <v>36.610000000000255</v>
      </c>
      <c r="G370" s="4">
        <f>cubspline(3,F370,Data!$B$36:$B$56,Data!$A$36:$A$56)</f>
        <v>0</v>
      </c>
      <c r="H370" s="4">
        <f t="shared" si="24"/>
        <v>1E-10</v>
      </c>
      <c r="I370" s="4">
        <f t="shared" si="21"/>
        <v>36.610000000000255</v>
      </c>
      <c r="J370" s="2">
        <f t="shared" si="22"/>
        <v>36.610000000000255</v>
      </c>
    </row>
    <row r="371" spans="6:10" x14ac:dyDescent="0.25">
      <c r="F371" s="4">
        <f t="shared" si="23"/>
        <v>36.710000000000257</v>
      </c>
      <c r="G371" s="4">
        <f>cubspline(3,F371,Data!$B$36:$B$56,Data!$A$36:$A$56)</f>
        <v>0</v>
      </c>
      <c r="H371" s="4">
        <f t="shared" si="24"/>
        <v>1E-10</v>
      </c>
      <c r="I371" s="4">
        <f t="shared" si="21"/>
        <v>36.710000000000257</v>
      </c>
      <c r="J371" s="2">
        <f t="shared" si="22"/>
        <v>36.710000000000257</v>
      </c>
    </row>
    <row r="372" spans="6:10" x14ac:dyDescent="0.25">
      <c r="F372" s="4">
        <f t="shared" si="23"/>
        <v>36.810000000000258</v>
      </c>
      <c r="G372" s="4">
        <f>cubspline(3,F372,Data!$B$36:$B$56,Data!$A$36:$A$56)</f>
        <v>0</v>
      </c>
      <c r="H372" s="4">
        <f t="shared" si="24"/>
        <v>1E-10</v>
      </c>
      <c r="I372" s="4">
        <f t="shared" si="21"/>
        <v>36.810000000000258</v>
      </c>
      <c r="J372" s="2">
        <f t="shared" si="22"/>
        <v>36.810000000000258</v>
      </c>
    </row>
    <row r="373" spans="6:10" x14ac:dyDescent="0.25">
      <c r="F373" s="4">
        <f t="shared" si="23"/>
        <v>36.910000000000259</v>
      </c>
      <c r="G373" s="4">
        <f>cubspline(3,F373,Data!$B$36:$B$56,Data!$A$36:$A$56)</f>
        <v>0</v>
      </c>
      <c r="H373" s="4">
        <f t="shared" si="24"/>
        <v>1E-10</v>
      </c>
      <c r="I373" s="4">
        <f t="shared" si="21"/>
        <v>36.910000000000259</v>
      </c>
      <c r="J373" s="2">
        <f t="shared" si="22"/>
        <v>36.910000000000259</v>
      </c>
    </row>
    <row r="374" spans="6:10" x14ac:dyDescent="0.25">
      <c r="F374" s="4">
        <f t="shared" si="23"/>
        <v>37.010000000000261</v>
      </c>
      <c r="G374" s="4">
        <f>cubspline(3,F374,Data!$B$36:$B$56,Data!$A$36:$A$56)</f>
        <v>0</v>
      </c>
      <c r="H374" s="4">
        <f t="shared" si="24"/>
        <v>1E-10</v>
      </c>
      <c r="I374" s="4">
        <f t="shared" si="21"/>
        <v>37.010000000000261</v>
      </c>
      <c r="J374" s="2">
        <f t="shared" si="22"/>
        <v>37.010000000000261</v>
      </c>
    </row>
    <row r="375" spans="6:10" x14ac:dyDescent="0.25">
      <c r="F375" s="4">
        <f t="shared" si="23"/>
        <v>37.110000000000262</v>
      </c>
      <c r="G375" s="4">
        <f>cubspline(3,F375,Data!$B$36:$B$56,Data!$A$36:$A$56)</f>
        <v>0</v>
      </c>
      <c r="H375" s="4">
        <f t="shared" si="24"/>
        <v>1E-10</v>
      </c>
      <c r="I375" s="4">
        <f t="shared" si="21"/>
        <v>37.110000000000262</v>
      </c>
      <c r="J375" s="2">
        <f t="shared" si="22"/>
        <v>37.110000000000262</v>
      </c>
    </row>
    <row r="376" spans="6:10" x14ac:dyDescent="0.25">
      <c r="F376" s="4">
        <f t="shared" si="23"/>
        <v>37.210000000000264</v>
      </c>
      <c r="G376" s="4">
        <f>cubspline(3,F376,Data!$B$36:$B$56,Data!$A$36:$A$56)</f>
        <v>0</v>
      </c>
      <c r="H376" s="4">
        <f t="shared" si="24"/>
        <v>1E-10</v>
      </c>
      <c r="I376" s="4">
        <f t="shared" si="21"/>
        <v>37.210000000000264</v>
      </c>
      <c r="J376" s="2">
        <f t="shared" si="22"/>
        <v>37.210000000000264</v>
      </c>
    </row>
    <row r="377" spans="6:10" x14ac:dyDescent="0.25">
      <c r="F377" s="4">
        <f t="shared" si="23"/>
        <v>37.310000000000265</v>
      </c>
      <c r="G377" s="4">
        <f>cubspline(3,F377,Data!$B$36:$B$56,Data!$A$36:$A$56)</f>
        <v>0</v>
      </c>
      <c r="H377" s="4">
        <f t="shared" si="24"/>
        <v>1E-10</v>
      </c>
      <c r="I377" s="4">
        <f t="shared" si="21"/>
        <v>37.310000000000265</v>
      </c>
      <c r="J377" s="2">
        <f t="shared" si="22"/>
        <v>37.310000000000265</v>
      </c>
    </row>
    <row r="378" spans="6:10" x14ac:dyDescent="0.25">
      <c r="F378" s="4">
        <f t="shared" si="23"/>
        <v>37.410000000000267</v>
      </c>
      <c r="G378" s="4">
        <f>cubspline(3,F378,Data!$B$36:$B$56,Data!$A$36:$A$56)</f>
        <v>0</v>
      </c>
      <c r="H378" s="4">
        <f t="shared" si="24"/>
        <v>1E-10</v>
      </c>
      <c r="I378" s="4">
        <f t="shared" si="21"/>
        <v>37.410000000000267</v>
      </c>
      <c r="J378" s="2">
        <f t="shared" si="22"/>
        <v>37.410000000000267</v>
      </c>
    </row>
    <row r="379" spans="6:10" x14ac:dyDescent="0.25">
      <c r="F379" s="4">
        <f t="shared" si="23"/>
        <v>37.510000000000268</v>
      </c>
      <c r="G379" s="4">
        <f>cubspline(3,F379,Data!$B$36:$B$56,Data!$A$36:$A$56)</f>
        <v>0</v>
      </c>
      <c r="H379" s="4">
        <f t="shared" si="24"/>
        <v>1E-10</v>
      </c>
      <c r="I379" s="4">
        <f t="shared" si="21"/>
        <v>37.510000000000268</v>
      </c>
      <c r="J379" s="2">
        <f t="shared" si="22"/>
        <v>37.510000000000268</v>
      </c>
    </row>
    <row r="380" spans="6:10" x14ac:dyDescent="0.25">
      <c r="F380" s="4">
        <f t="shared" si="23"/>
        <v>37.610000000000269</v>
      </c>
      <c r="G380" s="4">
        <f>cubspline(3,F380,Data!$B$36:$B$56,Data!$A$36:$A$56)</f>
        <v>0</v>
      </c>
      <c r="H380" s="4">
        <f t="shared" si="24"/>
        <v>1E-10</v>
      </c>
      <c r="I380" s="4">
        <f t="shared" si="21"/>
        <v>37.610000000000269</v>
      </c>
      <c r="J380" s="2">
        <f t="shared" si="22"/>
        <v>37.610000000000269</v>
      </c>
    </row>
    <row r="381" spans="6:10" x14ac:dyDescent="0.25">
      <c r="F381" s="4">
        <f t="shared" si="23"/>
        <v>37.710000000000271</v>
      </c>
      <c r="G381" s="4">
        <f>cubspline(3,F381,Data!$B$36:$B$56,Data!$A$36:$A$56)</f>
        <v>0</v>
      </c>
      <c r="H381" s="4">
        <f t="shared" si="24"/>
        <v>1E-10</v>
      </c>
      <c r="I381" s="4">
        <f t="shared" si="21"/>
        <v>37.710000000000271</v>
      </c>
      <c r="J381" s="2">
        <f t="shared" si="22"/>
        <v>37.710000000000271</v>
      </c>
    </row>
    <row r="382" spans="6:10" x14ac:dyDescent="0.25">
      <c r="F382" s="4">
        <f t="shared" si="23"/>
        <v>37.810000000000272</v>
      </c>
      <c r="G382" s="4">
        <f>cubspline(3,F382,Data!$B$36:$B$56,Data!$A$36:$A$56)</f>
        <v>0</v>
      </c>
      <c r="H382" s="4">
        <f t="shared" si="24"/>
        <v>1E-10</v>
      </c>
      <c r="I382" s="4">
        <f t="shared" si="21"/>
        <v>37.810000000000272</v>
      </c>
      <c r="J382" s="2">
        <f t="shared" si="22"/>
        <v>37.810000000000272</v>
      </c>
    </row>
    <row r="383" spans="6:10" x14ac:dyDescent="0.25">
      <c r="F383" s="4">
        <f t="shared" si="23"/>
        <v>37.910000000000274</v>
      </c>
      <c r="G383" s="4">
        <f>cubspline(3,F383,Data!$B$36:$B$56,Data!$A$36:$A$56)</f>
        <v>0</v>
      </c>
      <c r="H383" s="4">
        <f t="shared" si="24"/>
        <v>1E-10</v>
      </c>
      <c r="I383" s="4">
        <f t="shared" si="21"/>
        <v>37.910000000000274</v>
      </c>
      <c r="J383" s="2">
        <f t="shared" si="22"/>
        <v>37.910000000000274</v>
      </c>
    </row>
    <row r="384" spans="6:10" x14ac:dyDescent="0.25">
      <c r="F384" s="4">
        <f t="shared" si="23"/>
        <v>38.010000000000275</v>
      </c>
      <c r="G384" s="4">
        <f>cubspline(3,F384,Data!$B$36:$B$56,Data!$A$36:$A$56)</f>
        <v>0</v>
      </c>
      <c r="H384" s="4">
        <f t="shared" si="24"/>
        <v>1E-10</v>
      </c>
      <c r="I384" s="4">
        <f t="shared" si="21"/>
        <v>38.010000000000275</v>
      </c>
      <c r="J384" s="2">
        <f t="shared" si="22"/>
        <v>38.010000000000275</v>
      </c>
    </row>
    <row r="385" spans="6:10" x14ac:dyDescent="0.25">
      <c r="F385" s="4">
        <f t="shared" si="23"/>
        <v>38.110000000000277</v>
      </c>
      <c r="G385" s="4">
        <f>cubspline(3,F385,Data!$B$36:$B$56,Data!$A$36:$A$56)</f>
        <v>0</v>
      </c>
      <c r="H385" s="4">
        <f t="shared" si="24"/>
        <v>1E-10</v>
      </c>
      <c r="I385" s="4">
        <f t="shared" si="21"/>
        <v>38.110000000000277</v>
      </c>
      <c r="J385" s="2">
        <f t="shared" si="22"/>
        <v>38.110000000000277</v>
      </c>
    </row>
    <row r="386" spans="6:10" x14ac:dyDescent="0.25">
      <c r="F386" s="4">
        <f t="shared" si="23"/>
        <v>38.210000000000278</v>
      </c>
      <c r="G386" s="4">
        <f>cubspline(3,F386,Data!$B$36:$B$56,Data!$A$36:$A$56)</f>
        <v>0</v>
      </c>
      <c r="H386" s="4">
        <f t="shared" si="24"/>
        <v>1E-10</v>
      </c>
      <c r="I386" s="4">
        <f t="shared" si="21"/>
        <v>38.210000000000278</v>
      </c>
      <c r="J386" s="2">
        <f t="shared" si="22"/>
        <v>38.210000000000278</v>
      </c>
    </row>
    <row r="387" spans="6:10" x14ac:dyDescent="0.25">
      <c r="F387" s="4">
        <f t="shared" si="23"/>
        <v>38.310000000000279</v>
      </c>
      <c r="G387" s="4">
        <f>cubspline(3,F387,Data!$B$36:$B$56,Data!$A$36:$A$56)</f>
        <v>0</v>
      </c>
      <c r="H387" s="4">
        <f t="shared" si="24"/>
        <v>1E-10</v>
      </c>
      <c r="I387" s="4">
        <f t="shared" si="21"/>
        <v>38.310000000000279</v>
      </c>
      <c r="J387" s="2">
        <f t="shared" si="22"/>
        <v>38.310000000000279</v>
      </c>
    </row>
    <row r="388" spans="6:10" x14ac:dyDescent="0.25">
      <c r="F388" s="4">
        <f t="shared" si="23"/>
        <v>38.410000000000281</v>
      </c>
      <c r="G388" s="4">
        <f>cubspline(3,F388,Data!$B$36:$B$56,Data!$A$36:$A$56)</f>
        <v>0</v>
      </c>
      <c r="H388" s="4">
        <f t="shared" si="24"/>
        <v>1E-10</v>
      </c>
      <c r="I388" s="4">
        <f t="shared" si="21"/>
        <v>38.410000000000281</v>
      </c>
      <c r="J388" s="2">
        <f t="shared" si="22"/>
        <v>38.410000000000281</v>
      </c>
    </row>
    <row r="389" spans="6:10" x14ac:dyDescent="0.25">
      <c r="F389" s="4">
        <f t="shared" si="23"/>
        <v>38.510000000000282</v>
      </c>
      <c r="G389" s="4">
        <f>cubspline(3,F389,Data!$B$36:$B$56,Data!$A$36:$A$56)</f>
        <v>0</v>
      </c>
      <c r="H389" s="4">
        <f t="shared" si="24"/>
        <v>1E-10</v>
      </c>
      <c r="I389" s="4">
        <f t="shared" ref="I389:I452" si="25">IF(F389&gt;$D$47,F389,NA())</f>
        <v>38.510000000000282</v>
      </c>
      <c r="J389" s="2">
        <f t="shared" ref="J389:J452" si="26">IF(F389&gt;=$D$47,F389,($D$47-(0.3*($D$47-F389))))</f>
        <v>38.510000000000282</v>
      </c>
    </row>
    <row r="390" spans="6:10" x14ac:dyDescent="0.25">
      <c r="F390" s="4">
        <f t="shared" ref="F390:F453" si="27">F389+0.1</f>
        <v>38.610000000000284</v>
      </c>
      <c r="G390" s="4">
        <f>cubspline(3,F390,Data!$B$36:$B$56,Data!$A$36:$A$56)</f>
        <v>0</v>
      </c>
      <c r="H390" s="4">
        <f t="shared" ref="H390:H453" si="28">IF(G390&lt;=0,0.0000000001,G390)</f>
        <v>1E-10</v>
      </c>
      <c r="I390" s="4">
        <f t="shared" si="25"/>
        <v>38.610000000000284</v>
      </c>
      <c r="J390" s="2">
        <f t="shared" si="26"/>
        <v>38.610000000000284</v>
      </c>
    </row>
    <row r="391" spans="6:10" x14ac:dyDescent="0.25">
      <c r="F391" s="4">
        <f t="shared" si="27"/>
        <v>38.710000000000285</v>
      </c>
      <c r="G391" s="4">
        <f>cubspline(3,F391,Data!$B$36:$B$56,Data!$A$36:$A$56)</f>
        <v>0</v>
      </c>
      <c r="H391" s="4">
        <f t="shared" si="28"/>
        <v>1E-10</v>
      </c>
      <c r="I391" s="4">
        <f t="shared" si="25"/>
        <v>38.710000000000285</v>
      </c>
      <c r="J391" s="2">
        <f t="shared" si="26"/>
        <v>38.710000000000285</v>
      </c>
    </row>
    <row r="392" spans="6:10" x14ac:dyDescent="0.25">
      <c r="F392" s="4">
        <f t="shared" si="27"/>
        <v>38.810000000000286</v>
      </c>
      <c r="G392" s="4">
        <f>cubspline(3,F392,Data!$B$36:$B$56,Data!$A$36:$A$56)</f>
        <v>0</v>
      </c>
      <c r="H392" s="4">
        <f t="shared" si="28"/>
        <v>1E-10</v>
      </c>
      <c r="I392" s="4">
        <f t="shared" si="25"/>
        <v>38.810000000000286</v>
      </c>
      <c r="J392" s="2">
        <f t="shared" si="26"/>
        <v>38.810000000000286</v>
      </c>
    </row>
    <row r="393" spans="6:10" x14ac:dyDescent="0.25">
      <c r="F393" s="4">
        <f t="shared" si="27"/>
        <v>38.910000000000288</v>
      </c>
      <c r="G393" s="4">
        <f>cubspline(3,F393,Data!$B$36:$B$56,Data!$A$36:$A$56)</f>
        <v>0</v>
      </c>
      <c r="H393" s="4">
        <f t="shared" si="28"/>
        <v>1E-10</v>
      </c>
      <c r="I393" s="4">
        <f t="shared" si="25"/>
        <v>38.910000000000288</v>
      </c>
      <c r="J393" s="2">
        <f t="shared" si="26"/>
        <v>38.910000000000288</v>
      </c>
    </row>
    <row r="394" spans="6:10" x14ac:dyDescent="0.25">
      <c r="F394" s="4">
        <f t="shared" si="27"/>
        <v>39.010000000000289</v>
      </c>
      <c r="G394" s="4">
        <f>cubspline(3,F394,Data!$B$36:$B$56,Data!$A$36:$A$56)</f>
        <v>0</v>
      </c>
      <c r="H394" s="4">
        <f t="shared" si="28"/>
        <v>1E-10</v>
      </c>
      <c r="I394" s="4">
        <f t="shared" si="25"/>
        <v>39.010000000000289</v>
      </c>
      <c r="J394" s="2">
        <f t="shared" si="26"/>
        <v>39.010000000000289</v>
      </c>
    </row>
    <row r="395" spans="6:10" x14ac:dyDescent="0.25">
      <c r="F395" s="4">
        <f t="shared" si="27"/>
        <v>39.110000000000291</v>
      </c>
      <c r="G395" s="4">
        <f>cubspline(3,F395,Data!$B$36:$B$56,Data!$A$36:$A$56)</f>
        <v>0</v>
      </c>
      <c r="H395" s="4">
        <f t="shared" si="28"/>
        <v>1E-10</v>
      </c>
      <c r="I395" s="4">
        <f t="shared" si="25"/>
        <v>39.110000000000291</v>
      </c>
      <c r="J395" s="2">
        <f t="shared" si="26"/>
        <v>39.110000000000291</v>
      </c>
    </row>
    <row r="396" spans="6:10" x14ac:dyDescent="0.25">
      <c r="F396" s="4">
        <f t="shared" si="27"/>
        <v>39.210000000000292</v>
      </c>
      <c r="G396" s="4">
        <f>cubspline(3,F396,Data!$B$36:$B$56,Data!$A$36:$A$56)</f>
        <v>0</v>
      </c>
      <c r="H396" s="4">
        <f t="shared" si="28"/>
        <v>1E-10</v>
      </c>
      <c r="I396" s="4">
        <f t="shared" si="25"/>
        <v>39.210000000000292</v>
      </c>
      <c r="J396" s="2">
        <f t="shared" si="26"/>
        <v>39.210000000000292</v>
      </c>
    </row>
    <row r="397" spans="6:10" x14ac:dyDescent="0.25">
      <c r="F397" s="4">
        <f t="shared" si="27"/>
        <v>39.310000000000294</v>
      </c>
      <c r="G397" s="4">
        <f>cubspline(3,F397,Data!$B$36:$B$56,Data!$A$36:$A$56)</f>
        <v>0</v>
      </c>
      <c r="H397" s="4">
        <f t="shared" si="28"/>
        <v>1E-10</v>
      </c>
      <c r="I397" s="4">
        <f t="shared" si="25"/>
        <v>39.310000000000294</v>
      </c>
      <c r="J397" s="2">
        <f t="shared" si="26"/>
        <v>39.310000000000294</v>
      </c>
    </row>
    <row r="398" spans="6:10" x14ac:dyDescent="0.25">
      <c r="F398" s="4">
        <f t="shared" si="27"/>
        <v>39.410000000000295</v>
      </c>
      <c r="G398" s="4">
        <f>cubspline(3,F398,Data!$B$36:$B$56,Data!$A$36:$A$56)</f>
        <v>0</v>
      </c>
      <c r="H398" s="4">
        <f t="shared" si="28"/>
        <v>1E-10</v>
      </c>
      <c r="I398" s="4">
        <f t="shared" si="25"/>
        <v>39.410000000000295</v>
      </c>
      <c r="J398" s="2">
        <f t="shared" si="26"/>
        <v>39.410000000000295</v>
      </c>
    </row>
    <row r="399" spans="6:10" x14ac:dyDescent="0.25">
      <c r="F399" s="4">
        <f t="shared" si="27"/>
        <v>39.510000000000296</v>
      </c>
      <c r="G399" s="4">
        <f>cubspline(3,F399,Data!$B$36:$B$56,Data!$A$36:$A$56)</f>
        <v>0</v>
      </c>
      <c r="H399" s="4">
        <f t="shared" si="28"/>
        <v>1E-10</v>
      </c>
      <c r="I399" s="4">
        <f t="shared" si="25"/>
        <v>39.510000000000296</v>
      </c>
      <c r="J399" s="2">
        <f t="shared" si="26"/>
        <v>39.510000000000296</v>
      </c>
    </row>
    <row r="400" spans="6:10" x14ac:dyDescent="0.25">
      <c r="F400" s="4">
        <f t="shared" si="27"/>
        <v>39.610000000000298</v>
      </c>
      <c r="G400" s="4">
        <f>cubspline(3,F400,Data!$B$36:$B$56,Data!$A$36:$A$56)</f>
        <v>0</v>
      </c>
      <c r="H400" s="4">
        <f t="shared" si="28"/>
        <v>1E-10</v>
      </c>
      <c r="I400" s="4">
        <f t="shared" si="25"/>
        <v>39.610000000000298</v>
      </c>
      <c r="J400" s="2">
        <f t="shared" si="26"/>
        <v>39.610000000000298</v>
      </c>
    </row>
    <row r="401" spans="6:10" x14ac:dyDescent="0.25">
      <c r="F401" s="4">
        <f t="shared" si="27"/>
        <v>39.710000000000299</v>
      </c>
      <c r="G401" s="4">
        <f>cubspline(3,F401,Data!$B$36:$B$56,Data!$A$36:$A$56)</f>
        <v>0</v>
      </c>
      <c r="H401" s="4">
        <f t="shared" si="28"/>
        <v>1E-10</v>
      </c>
      <c r="I401" s="4">
        <f t="shared" si="25"/>
        <v>39.710000000000299</v>
      </c>
      <c r="J401" s="2">
        <f t="shared" si="26"/>
        <v>39.710000000000299</v>
      </c>
    </row>
    <row r="402" spans="6:10" x14ac:dyDescent="0.25">
      <c r="F402" s="4">
        <f t="shared" si="27"/>
        <v>39.810000000000301</v>
      </c>
      <c r="G402" s="4">
        <f>cubspline(3,F402,Data!$B$36:$B$56,Data!$A$36:$A$56)</f>
        <v>0</v>
      </c>
      <c r="H402" s="4">
        <f t="shared" si="28"/>
        <v>1E-10</v>
      </c>
      <c r="I402" s="4">
        <f t="shared" si="25"/>
        <v>39.810000000000301</v>
      </c>
      <c r="J402" s="2">
        <f t="shared" si="26"/>
        <v>39.810000000000301</v>
      </c>
    </row>
    <row r="403" spans="6:10" x14ac:dyDescent="0.25">
      <c r="F403" s="4">
        <f t="shared" si="27"/>
        <v>39.910000000000302</v>
      </c>
      <c r="G403" s="4">
        <f>cubspline(3,F403,Data!$B$36:$B$56,Data!$A$36:$A$56)</f>
        <v>0</v>
      </c>
      <c r="H403" s="4">
        <f t="shared" si="28"/>
        <v>1E-10</v>
      </c>
      <c r="I403" s="4">
        <f t="shared" si="25"/>
        <v>39.910000000000302</v>
      </c>
      <c r="J403" s="2">
        <f t="shared" si="26"/>
        <v>39.910000000000302</v>
      </c>
    </row>
    <row r="404" spans="6:10" x14ac:dyDescent="0.25">
      <c r="F404" s="4">
        <f t="shared" si="27"/>
        <v>40.010000000000304</v>
      </c>
      <c r="G404" s="4">
        <f>cubspline(3,F404,Data!$B$36:$B$56,Data!$A$36:$A$56)</f>
        <v>0</v>
      </c>
      <c r="H404" s="4">
        <f t="shared" si="28"/>
        <v>1E-10</v>
      </c>
      <c r="I404" s="4">
        <f t="shared" si="25"/>
        <v>40.010000000000304</v>
      </c>
      <c r="J404" s="2">
        <f t="shared" si="26"/>
        <v>40.010000000000304</v>
      </c>
    </row>
    <row r="405" spans="6:10" x14ac:dyDescent="0.25">
      <c r="F405" s="4">
        <f t="shared" si="27"/>
        <v>40.110000000000305</v>
      </c>
      <c r="G405" s="4">
        <f>cubspline(3,F405,Data!$B$36:$B$56,Data!$A$36:$A$56)</f>
        <v>0</v>
      </c>
      <c r="H405" s="4">
        <f t="shared" si="28"/>
        <v>1E-10</v>
      </c>
      <c r="I405" s="4">
        <f t="shared" si="25"/>
        <v>40.110000000000305</v>
      </c>
      <c r="J405" s="2">
        <f t="shared" si="26"/>
        <v>40.110000000000305</v>
      </c>
    </row>
    <row r="406" spans="6:10" x14ac:dyDescent="0.25">
      <c r="F406" s="4">
        <f t="shared" si="27"/>
        <v>40.210000000000306</v>
      </c>
      <c r="G406" s="4">
        <f>cubspline(3,F406,Data!$B$36:$B$56,Data!$A$36:$A$56)</f>
        <v>0</v>
      </c>
      <c r="H406" s="4">
        <f t="shared" si="28"/>
        <v>1E-10</v>
      </c>
      <c r="I406" s="4">
        <f t="shared" si="25"/>
        <v>40.210000000000306</v>
      </c>
      <c r="J406" s="2">
        <f t="shared" si="26"/>
        <v>40.210000000000306</v>
      </c>
    </row>
    <row r="407" spans="6:10" x14ac:dyDescent="0.25">
      <c r="F407" s="4">
        <f t="shared" si="27"/>
        <v>40.310000000000308</v>
      </c>
      <c r="G407" s="4">
        <f>cubspline(3,F407,Data!$B$36:$B$56,Data!$A$36:$A$56)</f>
        <v>0</v>
      </c>
      <c r="H407" s="4">
        <f t="shared" si="28"/>
        <v>1E-10</v>
      </c>
      <c r="I407" s="4">
        <f t="shared" si="25"/>
        <v>40.310000000000308</v>
      </c>
      <c r="J407" s="2">
        <f t="shared" si="26"/>
        <v>40.310000000000308</v>
      </c>
    </row>
    <row r="408" spans="6:10" x14ac:dyDescent="0.25">
      <c r="F408" s="4">
        <f t="shared" si="27"/>
        <v>40.410000000000309</v>
      </c>
      <c r="G408" s="4">
        <f>cubspline(3,F408,Data!$B$36:$B$56,Data!$A$36:$A$56)</f>
        <v>0</v>
      </c>
      <c r="H408" s="4">
        <f t="shared" si="28"/>
        <v>1E-10</v>
      </c>
      <c r="I408" s="4">
        <f t="shared" si="25"/>
        <v>40.410000000000309</v>
      </c>
      <c r="J408" s="2">
        <f t="shared" si="26"/>
        <v>40.410000000000309</v>
      </c>
    </row>
    <row r="409" spans="6:10" x14ac:dyDescent="0.25">
      <c r="F409" s="4">
        <f t="shared" si="27"/>
        <v>40.510000000000311</v>
      </c>
      <c r="G409" s="4">
        <f>cubspline(3,F409,Data!$B$36:$B$56,Data!$A$36:$A$56)</f>
        <v>0</v>
      </c>
      <c r="H409" s="4">
        <f t="shared" si="28"/>
        <v>1E-10</v>
      </c>
      <c r="I409" s="4">
        <f t="shared" si="25"/>
        <v>40.510000000000311</v>
      </c>
      <c r="J409" s="2">
        <f t="shared" si="26"/>
        <v>40.510000000000311</v>
      </c>
    </row>
    <row r="410" spans="6:10" x14ac:dyDescent="0.25">
      <c r="F410" s="4">
        <f t="shared" si="27"/>
        <v>40.610000000000312</v>
      </c>
      <c r="G410" s="4">
        <f>cubspline(3,F410,Data!$B$36:$B$56,Data!$A$36:$A$56)</f>
        <v>0</v>
      </c>
      <c r="H410" s="4">
        <f t="shared" si="28"/>
        <v>1E-10</v>
      </c>
      <c r="I410" s="4">
        <f t="shared" si="25"/>
        <v>40.610000000000312</v>
      </c>
      <c r="J410" s="2">
        <f t="shared" si="26"/>
        <v>40.610000000000312</v>
      </c>
    </row>
    <row r="411" spans="6:10" x14ac:dyDescent="0.25">
      <c r="F411" s="4">
        <f t="shared" si="27"/>
        <v>40.710000000000313</v>
      </c>
      <c r="G411" s="4">
        <f>cubspline(3,F411,Data!$B$36:$B$56,Data!$A$36:$A$56)</f>
        <v>0</v>
      </c>
      <c r="H411" s="4">
        <f t="shared" si="28"/>
        <v>1E-10</v>
      </c>
      <c r="I411" s="4">
        <f t="shared" si="25"/>
        <v>40.710000000000313</v>
      </c>
      <c r="J411" s="2">
        <f t="shared" si="26"/>
        <v>40.710000000000313</v>
      </c>
    </row>
    <row r="412" spans="6:10" x14ac:dyDescent="0.25">
      <c r="F412" s="4">
        <f t="shared" si="27"/>
        <v>40.810000000000315</v>
      </c>
      <c r="G412" s="4">
        <f>cubspline(3,F412,Data!$B$36:$B$56,Data!$A$36:$A$56)</f>
        <v>0</v>
      </c>
      <c r="H412" s="4">
        <f t="shared" si="28"/>
        <v>1E-10</v>
      </c>
      <c r="I412" s="4">
        <f t="shared" si="25"/>
        <v>40.810000000000315</v>
      </c>
      <c r="J412" s="2">
        <f t="shared" si="26"/>
        <v>40.810000000000315</v>
      </c>
    </row>
    <row r="413" spans="6:10" x14ac:dyDescent="0.25">
      <c r="F413" s="4">
        <f t="shared" si="27"/>
        <v>40.910000000000316</v>
      </c>
      <c r="G413" s="4">
        <f>cubspline(3,F413,Data!$B$36:$B$56,Data!$A$36:$A$56)</f>
        <v>0</v>
      </c>
      <c r="H413" s="4">
        <f t="shared" si="28"/>
        <v>1E-10</v>
      </c>
      <c r="I413" s="4">
        <f t="shared" si="25"/>
        <v>40.910000000000316</v>
      </c>
      <c r="J413" s="2">
        <f t="shared" si="26"/>
        <v>40.910000000000316</v>
      </c>
    </row>
    <row r="414" spans="6:10" x14ac:dyDescent="0.25">
      <c r="F414" s="4">
        <f t="shared" si="27"/>
        <v>41.010000000000318</v>
      </c>
      <c r="G414" s="4">
        <f>cubspline(3,F414,Data!$B$36:$B$56,Data!$A$36:$A$56)</f>
        <v>0</v>
      </c>
      <c r="H414" s="4">
        <f t="shared" si="28"/>
        <v>1E-10</v>
      </c>
      <c r="I414" s="4">
        <f t="shared" si="25"/>
        <v>41.010000000000318</v>
      </c>
      <c r="J414" s="2">
        <f t="shared" si="26"/>
        <v>41.010000000000318</v>
      </c>
    </row>
    <row r="415" spans="6:10" x14ac:dyDescent="0.25">
      <c r="F415" s="4">
        <f t="shared" si="27"/>
        <v>41.110000000000319</v>
      </c>
      <c r="G415" s="4">
        <f>cubspline(3,F415,Data!$B$36:$B$56,Data!$A$36:$A$56)</f>
        <v>0</v>
      </c>
      <c r="H415" s="4">
        <f t="shared" si="28"/>
        <v>1E-10</v>
      </c>
      <c r="I415" s="4">
        <f t="shared" si="25"/>
        <v>41.110000000000319</v>
      </c>
      <c r="J415" s="2">
        <f t="shared" si="26"/>
        <v>41.110000000000319</v>
      </c>
    </row>
    <row r="416" spans="6:10" x14ac:dyDescent="0.25">
      <c r="F416" s="4">
        <f t="shared" si="27"/>
        <v>41.210000000000321</v>
      </c>
      <c r="G416" s="4">
        <f>cubspline(3,F416,Data!$B$36:$B$56,Data!$A$36:$A$56)</f>
        <v>0</v>
      </c>
      <c r="H416" s="4">
        <f t="shared" si="28"/>
        <v>1E-10</v>
      </c>
      <c r="I416" s="4">
        <f t="shared" si="25"/>
        <v>41.210000000000321</v>
      </c>
      <c r="J416" s="2">
        <f t="shared" si="26"/>
        <v>41.210000000000321</v>
      </c>
    </row>
    <row r="417" spans="6:10" x14ac:dyDescent="0.25">
      <c r="F417" s="4">
        <f t="shared" si="27"/>
        <v>41.310000000000322</v>
      </c>
      <c r="G417" s="4">
        <f>cubspline(3,F417,Data!$B$36:$B$56,Data!$A$36:$A$56)</f>
        <v>0</v>
      </c>
      <c r="H417" s="4">
        <f t="shared" si="28"/>
        <v>1E-10</v>
      </c>
      <c r="I417" s="4">
        <f t="shared" si="25"/>
        <v>41.310000000000322</v>
      </c>
      <c r="J417" s="2">
        <f t="shared" si="26"/>
        <v>41.310000000000322</v>
      </c>
    </row>
    <row r="418" spans="6:10" x14ac:dyDescent="0.25">
      <c r="F418" s="4">
        <f t="shared" si="27"/>
        <v>41.410000000000323</v>
      </c>
      <c r="G418" s="4">
        <f>cubspline(3,F418,Data!$B$36:$B$56,Data!$A$36:$A$56)</f>
        <v>0</v>
      </c>
      <c r="H418" s="4">
        <f t="shared" si="28"/>
        <v>1E-10</v>
      </c>
      <c r="I418" s="4">
        <f t="shared" si="25"/>
        <v>41.410000000000323</v>
      </c>
      <c r="J418" s="2">
        <f t="shared" si="26"/>
        <v>41.410000000000323</v>
      </c>
    </row>
    <row r="419" spans="6:10" x14ac:dyDescent="0.25">
      <c r="F419" s="4">
        <f t="shared" si="27"/>
        <v>41.510000000000325</v>
      </c>
      <c r="G419" s="4">
        <f>cubspline(3,F419,Data!$B$36:$B$56,Data!$A$36:$A$56)</f>
        <v>0</v>
      </c>
      <c r="H419" s="4">
        <f t="shared" si="28"/>
        <v>1E-10</v>
      </c>
      <c r="I419" s="4">
        <f t="shared" si="25"/>
        <v>41.510000000000325</v>
      </c>
      <c r="J419" s="2">
        <f t="shared" si="26"/>
        <v>41.510000000000325</v>
      </c>
    </row>
    <row r="420" spans="6:10" x14ac:dyDescent="0.25">
      <c r="F420" s="4">
        <f t="shared" si="27"/>
        <v>41.610000000000326</v>
      </c>
      <c r="G420" s="4">
        <f>cubspline(3,F420,Data!$B$36:$B$56,Data!$A$36:$A$56)</f>
        <v>0</v>
      </c>
      <c r="H420" s="4">
        <f t="shared" si="28"/>
        <v>1E-10</v>
      </c>
      <c r="I420" s="4">
        <f t="shared" si="25"/>
        <v>41.610000000000326</v>
      </c>
      <c r="J420" s="2">
        <f t="shared" si="26"/>
        <v>41.610000000000326</v>
      </c>
    </row>
    <row r="421" spans="6:10" x14ac:dyDescent="0.25">
      <c r="F421" s="4">
        <f t="shared" si="27"/>
        <v>41.710000000000328</v>
      </c>
      <c r="G421" s="4">
        <f>cubspline(3,F421,Data!$B$36:$B$56,Data!$A$36:$A$56)</f>
        <v>0</v>
      </c>
      <c r="H421" s="4">
        <f t="shared" si="28"/>
        <v>1E-10</v>
      </c>
      <c r="I421" s="4">
        <f t="shared" si="25"/>
        <v>41.710000000000328</v>
      </c>
      <c r="J421" s="2">
        <f t="shared" si="26"/>
        <v>41.710000000000328</v>
      </c>
    </row>
    <row r="422" spans="6:10" x14ac:dyDescent="0.25">
      <c r="F422" s="4">
        <f t="shared" si="27"/>
        <v>41.810000000000329</v>
      </c>
      <c r="G422" s="4">
        <f>cubspline(3,F422,Data!$B$36:$B$56,Data!$A$36:$A$56)</f>
        <v>0</v>
      </c>
      <c r="H422" s="4">
        <f t="shared" si="28"/>
        <v>1E-10</v>
      </c>
      <c r="I422" s="4">
        <f t="shared" si="25"/>
        <v>41.810000000000329</v>
      </c>
      <c r="J422" s="2">
        <f t="shared" si="26"/>
        <v>41.810000000000329</v>
      </c>
    </row>
    <row r="423" spans="6:10" x14ac:dyDescent="0.25">
      <c r="F423" s="4">
        <f t="shared" si="27"/>
        <v>41.910000000000331</v>
      </c>
      <c r="G423" s="4">
        <f>cubspline(3,F423,Data!$B$36:$B$56,Data!$A$36:$A$56)</f>
        <v>0</v>
      </c>
      <c r="H423" s="4">
        <f t="shared" si="28"/>
        <v>1E-10</v>
      </c>
      <c r="I423" s="4">
        <f t="shared" si="25"/>
        <v>41.910000000000331</v>
      </c>
      <c r="J423" s="2">
        <f t="shared" si="26"/>
        <v>41.910000000000331</v>
      </c>
    </row>
    <row r="424" spans="6:10" x14ac:dyDescent="0.25">
      <c r="F424" s="4">
        <f t="shared" si="27"/>
        <v>42.010000000000332</v>
      </c>
      <c r="G424" s="4">
        <f>cubspline(3,F424,Data!$B$36:$B$56,Data!$A$36:$A$56)</f>
        <v>0</v>
      </c>
      <c r="H424" s="4">
        <f t="shared" si="28"/>
        <v>1E-10</v>
      </c>
      <c r="I424" s="4">
        <f t="shared" si="25"/>
        <v>42.010000000000332</v>
      </c>
      <c r="J424" s="2">
        <f t="shared" si="26"/>
        <v>42.010000000000332</v>
      </c>
    </row>
    <row r="425" spans="6:10" x14ac:dyDescent="0.25">
      <c r="F425" s="4">
        <f t="shared" si="27"/>
        <v>42.110000000000333</v>
      </c>
      <c r="G425" s="4">
        <f>cubspline(3,F425,Data!$B$36:$B$56,Data!$A$36:$A$56)</f>
        <v>0</v>
      </c>
      <c r="H425" s="4">
        <f t="shared" si="28"/>
        <v>1E-10</v>
      </c>
      <c r="I425" s="4">
        <f t="shared" si="25"/>
        <v>42.110000000000333</v>
      </c>
      <c r="J425" s="2">
        <f t="shared" si="26"/>
        <v>42.110000000000333</v>
      </c>
    </row>
    <row r="426" spans="6:10" x14ac:dyDescent="0.25">
      <c r="F426" s="4">
        <f t="shared" si="27"/>
        <v>42.210000000000335</v>
      </c>
      <c r="G426" s="4">
        <f>cubspline(3,F426,Data!$B$36:$B$56,Data!$A$36:$A$56)</f>
        <v>0</v>
      </c>
      <c r="H426" s="4">
        <f t="shared" si="28"/>
        <v>1E-10</v>
      </c>
      <c r="I426" s="4">
        <f t="shared" si="25"/>
        <v>42.210000000000335</v>
      </c>
      <c r="J426" s="2">
        <f t="shared" si="26"/>
        <v>42.210000000000335</v>
      </c>
    </row>
    <row r="427" spans="6:10" x14ac:dyDescent="0.25">
      <c r="F427" s="4">
        <f t="shared" si="27"/>
        <v>42.310000000000336</v>
      </c>
      <c r="G427" s="4">
        <f>cubspline(3,F427,Data!$B$36:$B$56,Data!$A$36:$A$56)</f>
        <v>0</v>
      </c>
      <c r="H427" s="4">
        <f t="shared" si="28"/>
        <v>1E-10</v>
      </c>
      <c r="I427" s="4">
        <f t="shared" si="25"/>
        <v>42.310000000000336</v>
      </c>
      <c r="J427" s="2">
        <f t="shared" si="26"/>
        <v>42.310000000000336</v>
      </c>
    </row>
    <row r="428" spans="6:10" x14ac:dyDescent="0.25">
      <c r="F428" s="4">
        <f t="shared" si="27"/>
        <v>42.410000000000338</v>
      </c>
      <c r="G428" s="4">
        <f>cubspline(3,F428,Data!$B$36:$B$56,Data!$A$36:$A$56)</f>
        <v>0</v>
      </c>
      <c r="H428" s="4">
        <f t="shared" si="28"/>
        <v>1E-10</v>
      </c>
      <c r="I428" s="4">
        <f t="shared" si="25"/>
        <v>42.410000000000338</v>
      </c>
      <c r="J428" s="2">
        <f t="shared" si="26"/>
        <v>42.410000000000338</v>
      </c>
    </row>
    <row r="429" spans="6:10" x14ac:dyDescent="0.25">
      <c r="F429" s="4">
        <f t="shared" si="27"/>
        <v>42.510000000000339</v>
      </c>
      <c r="G429" s="4">
        <f>cubspline(3,F429,Data!$B$36:$B$56,Data!$A$36:$A$56)</f>
        <v>0</v>
      </c>
      <c r="H429" s="4">
        <f t="shared" si="28"/>
        <v>1E-10</v>
      </c>
      <c r="I429" s="4">
        <f t="shared" si="25"/>
        <v>42.510000000000339</v>
      </c>
      <c r="J429" s="2">
        <f t="shared" si="26"/>
        <v>42.510000000000339</v>
      </c>
    </row>
    <row r="430" spans="6:10" x14ac:dyDescent="0.25">
      <c r="F430" s="4">
        <f t="shared" si="27"/>
        <v>42.61000000000034</v>
      </c>
      <c r="G430" s="4">
        <f>cubspline(3,F430,Data!$B$36:$B$56,Data!$A$36:$A$56)</f>
        <v>0</v>
      </c>
      <c r="H430" s="4">
        <f t="shared" si="28"/>
        <v>1E-10</v>
      </c>
      <c r="I430" s="4">
        <f t="shared" si="25"/>
        <v>42.61000000000034</v>
      </c>
      <c r="J430" s="2">
        <f t="shared" si="26"/>
        <v>42.61000000000034</v>
      </c>
    </row>
    <row r="431" spans="6:10" x14ac:dyDescent="0.25">
      <c r="F431" s="4">
        <f t="shared" si="27"/>
        <v>42.710000000000342</v>
      </c>
      <c r="G431" s="4">
        <f>cubspline(3,F431,Data!$B$36:$B$56,Data!$A$36:$A$56)</f>
        <v>0</v>
      </c>
      <c r="H431" s="4">
        <f t="shared" si="28"/>
        <v>1E-10</v>
      </c>
      <c r="I431" s="4">
        <f t="shared" si="25"/>
        <v>42.710000000000342</v>
      </c>
      <c r="J431" s="2">
        <f t="shared" si="26"/>
        <v>42.710000000000342</v>
      </c>
    </row>
    <row r="432" spans="6:10" x14ac:dyDescent="0.25">
      <c r="F432" s="4">
        <f t="shared" si="27"/>
        <v>42.810000000000343</v>
      </c>
      <c r="G432" s="4">
        <f>cubspline(3,F432,Data!$B$36:$B$56,Data!$A$36:$A$56)</f>
        <v>0</v>
      </c>
      <c r="H432" s="4">
        <f t="shared" si="28"/>
        <v>1E-10</v>
      </c>
      <c r="I432" s="4">
        <f t="shared" si="25"/>
        <v>42.810000000000343</v>
      </c>
      <c r="J432" s="2">
        <f t="shared" si="26"/>
        <v>42.810000000000343</v>
      </c>
    </row>
    <row r="433" spans="6:10" x14ac:dyDescent="0.25">
      <c r="F433" s="4">
        <f t="shared" si="27"/>
        <v>42.910000000000345</v>
      </c>
      <c r="G433" s="4">
        <f>cubspline(3,F433,Data!$B$36:$B$56,Data!$A$36:$A$56)</f>
        <v>0</v>
      </c>
      <c r="H433" s="4">
        <f t="shared" si="28"/>
        <v>1E-10</v>
      </c>
      <c r="I433" s="4">
        <f t="shared" si="25"/>
        <v>42.910000000000345</v>
      </c>
      <c r="J433" s="2">
        <f t="shared" si="26"/>
        <v>42.910000000000345</v>
      </c>
    </row>
    <row r="434" spans="6:10" x14ac:dyDescent="0.25">
      <c r="F434" s="4">
        <f t="shared" si="27"/>
        <v>43.010000000000346</v>
      </c>
      <c r="G434" s="4">
        <f>cubspline(3,F434,Data!$B$36:$B$56,Data!$A$36:$A$56)</f>
        <v>0</v>
      </c>
      <c r="H434" s="4">
        <f t="shared" si="28"/>
        <v>1E-10</v>
      </c>
      <c r="I434" s="4">
        <f t="shared" si="25"/>
        <v>43.010000000000346</v>
      </c>
      <c r="J434" s="2">
        <f t="shared" si="26"/>
        <v>43.010000000000346</v>
      </c>
    </row>
    <row r="435" spans="6:10" x14ac:dyDescent="0.25">
      <c r="F435" s="4">
        <f t="shared" si="27"/>
        <v>43.110000000000348</v>
      </c>
      <c r="G435" s="4">
        <f>cubspline(3,F435,Data!$B$36:$B$56,Data!$A$36:$A$56)</f>
        <v>0</v>
      </c>
      <c r="H435" s="4">
        <f t="shared" si="28"/>
        <v>1E-10</v>
      </c>
      <c r="I435" s="4">
        <f t="shared" si="25"/>
        <v>43.110000000000348</v>
      </c>
      <c r="J435" s="2">
        <f t="shared" si="26"/>
        <v>43.110000000000348</v>
      </c>
    </row>
    <row r="436" spans="6:10" x14ac:dyDescent="0.25">
      <c r="F436" s="4">
        <f t="shared" si="27"/>
        <v>43.210000000000349</v>
      </c>
      <c r="G436" s="4">
        <f>cubspline(3,F436,Data!$B$36:$B$56,Data!$A$36:$A$56)</f>
        <v>0</v>
      </c>
      <c r="H436" s="4">
        <f t="shared" si="28"/>
        <v>1E-10</v>
      </c>
      <c r="I436" s="4">
        <f t="shared" si="25"/>
        <v>43.210000000000349</v>
      </c>
      <c r="J436" s="2">
        <f t="shared" si="26"/>
        <v>43.210000000000349</v>
      </c>
    </row>
    <row r="437" spans="6:10" x14ac:dyDescent="0.25">
      <c r="F437" s="4">
        <f t="shared" si="27"/>
        <v>43.31000000000035</v>
      </c>
      <c r="G437" s="4">
        <f>cubspline(3,F437,Data!$B$36:$B$56,Data!$A$36:$A$56)</f>
        <v>0</v>
      </c>
      <c r="H437" s="4">
        <f t="shared" si="28"/>
        <v>1E-10</v>
      </c>
      <c r="I437" s="4">
        <f t="shared" si="25"/>
        <v>43.31000000000035</v>
      </c>
      <c r="J437" s="2">
        <f t="shared" si="26"/>
        <v>43.31000000000035</v>
      </c>
    </row>
    <row r="438" spans="6:10" x14ac:dyDescent="0.25">
      <c r="F438" s="4">
        <f t="shared" si="27"/>
        <v>43.410000000000352</v>
      </c>
      <c r="G438" s="4">
        <f>cubspline(3,F438,Data!$B$36:$B$56,Data!$A$36:$A$56)</f>
        <v>0</v>
      </c>
      <c r="H438" s="4">
        <f t="shared" si="28"/>
        <v>1E-10</v>
      </c>
      <c r="I438" s="4">
        <f t="shared" si="25"/>
        <v>43.410000000000352</v>
      </c>
      <c r="J438" s="2">
        <f t="shared" si="26"/>
        <v>43.410000000000352</v>
      </c>
    </row>
    <row r="439" spans="6:10" x14ac:dyDescent="0.25">
      <c r="F439" s="4">
        <f t="shared" si="27"/>
        <v>43.510000000000353</v>
      </c>
      <c r="G439" s="4">
        <f>cubspline(3,F439,Data!$B$36:$B$56,Data!$A$36:$A$56)</f>
        <v>0</v>
      </c>
      <c r="H439" s="4">
        <f t="shared" si="28"/>
        <v>1E-10</v>
      </c>
      <c r="I439" s="4">
        <f t="shared" si="25"/>
        <v>43.510000000000353</v>
      </c>
      <c r="J439" s="2">
        <f t="shared" si="26"/>
        <v>43.510000000000353</v>
      </c>
    </row>
    <row r="440" spans="6:10" x14ac:dyDescent="0.25">
      <c r="F440" s="4">
        <f t="shared" si="27"/>
        <v>43.610000000000355</v>
      </c>
      <c r="G440" s="4">
        <f>cubspline(3,F440,Data!$B$36:$B$56,Data!$A$36:$A$56)</f>
        <v>0</v>
      </c>
      <c r="H440" s="4">
        <f t="shared" si="28"/>
        <v>1E-10</v>
      </c>
      <c r="I440" s="4">
        <f t="shared" si="25"/>
        <v>43.610000000000355</v>
      </c>
      <c r="J440" s="2">
        <f t="shared" si="26"/>
        <v>43.610000000000355</v>
      </c>
    </row>
    <row r="441" spans="6:10" x14ac:dyDescent="0.25">
      <c r="F441" s="4">
        <f t="shared" si="27"/>
        <v>43.710000000000356</v>
      </c>
      <c r="G441" s="4">
        <f>cubspline(3,F441,Data!$B$36:$B$56,Data!$A$36:$A$56)</f>
        <v>0</v>
      </c>
      <c r="H441" s="4">
        <f t="shared" si="28"/>
        <v>1E-10</v>
      </c>
      <c r="I441" s="4">
        <f t="shared" si="25"/>
        <v>43.710000000000356</v>
      </c>
      <c r="J441" s="2">
        <f t="shared" si="26"/>
        <v>43.710000000000356</v>
      </c>
    </row>
    <row r="442" spans="6:10" x14ac:dyDescent="0.25">
      <c r="F442" s="4">
        <f t="shared" si="27"/>
        <v>43.810000000000358</v>
      </c>
      <c r="G442" s="4">
        <f>cubspline(3,F442,Data!$B$36:$B$56,Data!$A$36:$A$56)</f>
        <v>0</v>
      </c>
      <c r="H442" s="4">
        <f t="shared" si="28"/>
        <v>1E-10</v>
      </c>
      <c r="I442" s="4">
        <f t="shared" si="25"/>
        <v>43.810000000000358</v>
      </c>
      <c r="J442" s="2">
        <f t="shared" si="26"/>
        <v>43.810000000000358</v>
      </c>
    </row>
    <row r="443" spans="6:10" x14ac:dyDescent="0.25">
      <c r="F443" s="4">
        <f t="shared" si="27"/>
        <v>43.910000000000359</v>
      </c>
      <c r="G443" s="4">
        <f>cubspline(3,F443,Data!$B$36:$B$56,Data!$A$36:$A$56)</f>
        <v>0</v>
      </c>
      <c r="H443" s="4">
        <f t="shared" si="28"/>
        <v>1E-10</v>
      </c>
      <c r="I443" s="4">
        <f t="shared" si="25"/>
        <v>43.910000000000359</v>
      </c>
      <c r="J443" s="2">
        <f t="shared" si="26"/>
        <v>43.910000000000359</v>
      </c>
    </row>
    <row r="444" spans="6:10" x14ac:dyDescent="0.25">
      <c r="F444" s="4">
        <f t="shared" si="27"/>
        <v>44.01000000000036</v>
      </c>
      <c r="G444" s="4">
        <f>cubspline(3,F444,Data!$B$36:$B$56,Data!$A$36:$A$56)</f>
        <v>0</v>
      </c>
      <c r="H444" s="4">
        <f t="shared" si="28"/>
        <v>1E-10</v>
      </c>
      <c r="I444" s="4">
        <f t="shared" si="25"/>
        <v>44.01000000000036</v>
      </c>
      <c r="J444" s="2">
        <f t="shared" si="26"/>
        <v>44.01000000000036</v>
      </c>
    </row>
    <row r="445" spans="6:10" x14ac:dyDescent="0.25">
      <c r="F445" s="4">
        <f t="shared" si="27"/>
        <v>44.110000000000362</v>
      </c>
      <c r="G445" s="4">
        <f>cubspline(3,F445,Data!$B$36:$B$56,Data!$A$36:$A$56)</f>
        <v>0</v>
      </c>
      <c r="H445" s="4">
        <f t="shared" si="28"/>
        <v>1E-10</v>
      </c>
      <c r="I445" s="4">
        <f t="shared" si="25"/>
        <v>44.110000000000362</v>
      </c>
      <c r="J445" s="2">
        <f t="shared" si="26"/>
        <v>44.110000000000362</v>
      </c>
    </row>
    <row r="446" spans="6:10" x14ac:dyDescent="0.25">
      <c r="F446" s="4">
        <f t="shared" si="27"/>
        <v>44.210000000000363</v>
      </c>
      <c r="G446" s="4">
        <f>cubspline(3,F446,Data!$B$36:$B$56,Data!$A$36:$A$56)</f>
        <v>0</v>
      </c>
      <c r="H446" s="4">
        <f t="shared" si="28"/>
        <v>1E-10</v>
      </c>
      <c r="I446" s="4">
        <f t="shared" si="25"/>
        <v>44.210000000000363</v>
      </c>
      <c r="J446" s="2">
        <f t="shared" si="26"/>
        <v>44.210000000000363</v>
      </c>
    </row>
    <row r="447" spans="6:10" x14ac:dyDescent="0.25">
      <c r="F447" s="4">
        <f t="shared" si="27"/>
        <v>44.310000000000365</v>
      </c>
      <c r="G447" s="4">
        <f>cubspline(3,F447,Data!$B$36:$B$56,Data!$A$36:$A$56)</f>
        <v>0</v>
      </c>
      <c r="H447" s="4">
        <f t="shared" si="28"/>
        <v>1E-10</v>
      </c>
      <c r="I447" s="4">
        <f t="shared" si="25"/>
        <v>44.310000000000365</v>
      </c>
      <c r="J447" s="2">
        <f t="shared" si="26"/>
        <v>44.310000000000365</v>
      </c>
    </row>
    <row r="448" spans="6:10" x14ac:dyDescent="0.25">
      <c r="F448" s="4">
        <f t="shared" si="27"/>
        <v>44.410000000000366</v>
      </c>
      <c r="G448" s="4">
        <f>cubspline(3,F448,Data!$B$36:$B$56,Data!$A$36:$A$56)</f>
        <v>0</v>
      </c>
      <c r="H448" s="4">
        <f t="shared" si="28"/>
        <v>1E-10</v>
      </c>
      <c r="I448" s="4">
        <f t="shared" si="25"/>
        <v>44.410000000000366</v>
      </c>
      <c r="J448" s="2">
        <f t="shared" si="26"/>
        <v>44.410000000000366</v>
      </c>
    </row>
    <row r="449" spans="6:10" x14ac:dyDescent="0.25">
      <c r="F449" s="4">
        <f t="shared" si="27"/>
        <v>44.510000000000367</v>
      </c>
      <c r="G449" s="4">
        <f>cubspline(3,F449,Data!$B$36:$B$56,Data!$A$36:$A$56)</f>
        <v>0</v>
      </c>
      <c r="H449" s="4">
        <f t="shared" si="28"/>
        <v>1E-10</v>
      </c>
      <c r="I449" s="4">
        <f t="shared" si="25"/>
        <v>44.510000000000367</v>
      </c>
      <c r="J449" s="2">
        <f t="shared" si="26"/>
        <v>44.510000000000367</v>
      </c>
    </row>
    <row r="450" spans="6:10" x14ac:dyDescent="0.25">
      <c r="F450" s="4">
        <f t="shared" si="27"/>
        <v>44.610000000000369</v>
      </c>
      <c r="G450" s="4">
        <f>cubspline(3,F450,Data!$B$36:$B$56,Data!$A$36:$A$56)</f>
        <v>0</v>
      </c>
      <c r="H450" s="4">
        <f t="shared" si="28"/>
        <v>1E-10</v>
      </c>
      <c r="I450" s="4">
        <f t="shared" si="25"/>
        <v>44.610000000000369</v>
      </c>
      <c r="J450" s="2">
        <f t="shared" si="26"/>
        <v>44.610000000000369</v>
      </c>
    </row>
    <row r="451" spans="6:10" x14ac:dyDescent="0.25">
      <c r="F451" s="4">
        <f t="shared" si="27"/>
        <v>44.71000000000037</v>
      </c>
      <c r="G451" s="4">
        <f>cubspline(3,F451,Data!$B$36:$B$56,Data!$A$36:$A$56)</f>
        <v>0</v>
      </c>
      <c r="H451" s="4">
        <f t="shared" si="28"/>
        <v>1E-10</v>
      </c>
      <c r="I451" s="4">
        <f t="shared" si="25"/>
        <v>44.71000000000037</v>
      </c>
      <c r="J451" s="2">
        <f t="shared" si="26"/>
        <v>44.71000000000037</v>
      </c>
    </row>
    <row r="452" spans="6:10" x14ac:dyDescent="0.25">
      <c r="F452" s="4">
        <f t="shared" si="27"/>
        <v>44.810000000000372</v>
      </c>
      <c r="G452" s="4">
        <f>cubspline(3,F452,Data!$B$36:$B$56,Data!$A$36:$A$56)</f>
        <v>0</v>
      </c>
      <c r="H452" s="4">
        <f t="shared" si="28"/>
        <v>1E-10</v>
      </c>
      <c r="I452" s="4">
        <f t="shared" si="25"/>
        <v>44.810000000000372</v>
      </c>
      <c r="J452" s="2">
        <f t="shared" si="26"/>
        <v>44.810000000000372</v>
      </c>
    </row>
    <row r="453" spans="6:10" x14ac:dyDescent="0.25">
      <c r="F453" s="4">
        <f t="shared" si="27"/>
        <v>44.910000000000373</v>
      </c>
      <c r="G453" s="4">
        <f>cubspline(3,F453,Data!$B$36:$B$56,Data!$A$36:$A$56)</f>
        <v>0</v>
      </c>
      <c r="H453" s="4">
        <f t="shared" si="28"/>
        <v>1E-10</v>
      </c>
      <c r="I453" s="4">
        <f t="shared" ref="I453:I516" si="29">IF(F453&gt;$D$47,F453,NA())</f>
        <v>44.910000000000373</v>
      </c>
      <c r="J453" s="2">
        <f t="shared" ref="J453:J516" si="30">IF(F453&gt;=$D$47,F453,($D$47-(0.3*($D$47-F453))))</f>
        <v>44.910000000000373</v>
      </c>
    </row>
    <row r="454" spans="6:10" x14ac:dyDescent="0.25">
      <c r="F454" s="39">
        <f t="shared" ref="F454:F517" si="31">F453+0.1</f>
        <v>45.010000000000375</v>
      </c>
      <c r="G454" s="4">
        <f>cubspline(3,F454,Data!$B$36:$B$56,Data!$A$36:$A$56)</f>
        <v>0</v>
      </c>
      <c r="H454" s="39">
        <f t="shared" ref="H454:H517" si="32">IF(G454&lt;=0,0.0000000001,G454)</f>
        <v>1E-10</v>
      </c>
      <c r="I454" s="39">
        <f t="shared" si="29"/>
        <v>45.010000000000375</v>
      </c>
      <c r="J454" s="2">
        <f t="shared" si="30"/>
        <v>45.010000000000375</v>
      </c>
    </row>
    <row r="455" spans="6:10" x14ac:dyDescent="0.25">
      <c r="F455" s="4">
        <f t="shared" si="31"/>
        <v>45.110000000000376</v>
      </c>
      <c r="G455" s="4">
        <f>cubspline(3,F455,Data!$B$36:$B$56,Data!$A$36:$A$56)</f>
        <v>0</v>
      </c>
      <c r="H455" s="4">
        <f t="shared" si="32"/>
        <v>1E-10</v>
      </c>
      <c r="I455" s="4">
        <f t="shared" si="29"/>
        <v>45.110000000000376</v>
      </c>
      <c r="J455" s="2">
        <f t="shared" si="30"/>
        <v>45.110000000000376</v>
      </c>
    </row>
    <row r="456" spans="6:10" x14ac:dyDescent="0.25">
      <c r="F456" s="4">
        <f t="shared" si="31"/>
        <v>45.210000000000377</v>
      </c>
      <c r="G456" s="4">
        <f>cubspline(3,F456,Data!$B$36:$B$56,Data!$A$36:$A$56)</f>
        <v>0</v>
      </c>
      <c r="H456" s="4">
        <f t="shared" si="32"/>
        <v>1E-10</v>
      </c>
      <c r="I456" s="4">
        <f t="shared" si="29"/>
        <v>45.210000000000377</v>
      </c>
      <c r="J456" s="2">
        <f t="shared" si="30"/>
        <v>45.210000000000377</v>
      </c>
    </row>
    <row r="457" spans="6:10" x14ac:dyDescent="0.25">
      <c r="F457" s="4">
        <f t="shared" si="31"/>
        <v>45.310000000000379</v>
      </c>
      <c r="G457" s="4">
        <f>cubspline(3,F457,Data!$B$36:$B$56,Data!$A$36:$A$56)</f>
        <v>0</v>
      </c>
      <c r="H457" s="4">
        <f t="shared" si="32"/>
        <v>1E-10</v>
      </c>
      <c r="I457" s="4">
        <f t="shared" si="29"/>
        <v>45.310000000000379</v>
      </c>
      <c r="J457" s="2">
        <f t="shared" si="30"/>
        <v>45.310000000000379</v>
      </c>
    </row>
    <row r="458" spans="6:10" x14ac:dyDescent="0.25">
      <c r="F458" s="4">
        <f t="shared" si="31"/>
        <v>45.41000000000038</v>
      </c>
      <c r="G458" s="4">
        <f>cubspline(3,F458,Data!$B$36:$B$56,Data!$A$36:$A$56)</f>
        <v>0</v>
      </c>
      <c r="H458" s="4">
        <f t="shared" si="32"/>
        <v>1E-10</v>
      </c>
      <c r="I458" s="4">
        <f t="shared" si="29"/>
        <v>45.41000000000038</v>
      </c>
      <c r="J458" s="2">
        <f t="shared" si="30"/>
        <v>45.41000000000038</v>
      </c>
    </row>
    <row r="459" spans="6:10" x14ac:dyDescent="0.25">
      <c r="F459" s="4">
        <f t="shared" si="31"/>
        <v>45.510000000000382</v>
      </c>
      <c r="G459" s="4">
        <f>cubspline(3,F459,Data!$B$36:$B$56,Data!$A$36:$A$56)</f>
        <v>0</v>
      </c>
      <c r="H459" s="4">
        <f t="shared" si="32"/>
        <v>1E-10</v>
      </c>
      <c r="I459" s="4">
        <f t="shared" si="29"/>
        <v>45.510000000000382</v>
      </c>
      <c r="J459" s="2">
        <f t="shared" si="30"/>
        <v>45.510000000000382</v>
      </c>
    </row>
    <row r="460" spans="6:10" x14ac:dyDescent="0.25">
      <c r="F460" s="4">
        <f t="shared" si="31"/>
        <v>45.610000000000383</v>
      </c>
      <c r="G460" s="4">
        <f>cubspline(3,F460,Data!$B$36:$B$56,Data!$A$36:$A$56)</f>
        <v>0</v>
      </c>
      <c r="H460" s="4">
        <f t="shared" si="32"/>
        <v>1E-10</v>
      </c>
      <c r="I460" s="4">
        <f t="shared" si="29"/>
        <v>45.610000000000383</v>
      </c>
      <c r="J460" s="2">
        <f t="shared" si="30"/>
        <v>45.610000000000383</v>
      </c>
    </row>
    <row r="461" spans="6:10" x14ac:dyDescent="0.25">
      <c r="F461" s="4">
        <f t="shared" si="31"/>
        <v>45.710000000000385</v>
      </c>
      <c r="G461" s="4">
        <f>cubspline(3,F461,Data!$B$36:$B$56,Data!$A$36:$A$56)</f>
        <v>0</v>
      </c>
      <c r="H461" s="4">
        <f t="shared" si="32"/>
        <v>1E-10</v>
      </c>
      <c r="I461" s="4">
        <f t="shared" si="29"/>
        <v>45.710000000000385</v>
      </c>
      <c r="J461" s="2">
        <f t="shared" si="30"/>
        <v>45.710000000000385</v>
      </c>
    </row>
    <row r="462" spans="6:10" x14ac:dyDescent="0.25">
      <c r="F462" s="4">
        <f t="shared" si="31"/>
        <v>45.810000000000386</v>
      </c>
      <c r="G462" s="4">
        <f>cubspline(3,F462,Data!$B$36:$B$56,Data!$A$36:$A$56)</f>
        <v>0</v>
      </c>
      <c r="H462" s="4">
        <f t="shared" si="32"/>
        <v>1E-10</v>
      </c>
      <c r="I462" s="4">
        <f t="shared" si="29"/>
        <v>45.810000000000386</v>
      </c>
      <c r="J462" s="2">
        <f t="shared" si="30"/>
        <v>45.810000000000386</v>
      </c>
    </row>
    <row r="463" spans="6:10" x14ac:dyDescent="0.25">
      <c r="F463" s="4">
        <f t="shared" si="31"/>
        <v>45.910000000000387</v>
      </c>
      <c r="G463" s="4">
        <f>cubspline(3,F463,Data!$B$36:$B$56,Data!$A$36:$A$56)</f>
        <v>0</v>
      </c>
      <c r="H463" s="4">
        <f t="shared" si="32"/>
        <v>1E-10</v>
      </c>
      <c r="I463" s="4">
        <f t="shared" si="29"/>
        <v>45.910000000000387</v>
      </c>
      <c r="J463" s="2">
        <f t="shared" si="30"/>
        <v>45.910000000000387</v>
      </c>
    </row>
    <row r="464" spans="6:10" x14ac:dyDescent="0.25">
      <c r="F464" s="4">
        <f t="shared" si="31"/>
        <v>46.010000000000389</v>
      </c>
      <c r="G464" s="4">
        <f>cubspline(3,F464,Data!$B$36:$B$56,Data!$A$36:$A$56)</f>
        <v>0</v>
      </c>
      <c r="H464" s="4">
        <f t="shared" si="32"/>
        <v>1E-10</v>
      </c>
      <c r="I464" s="4">
        <f t="shared" si="29"/>
        <v>46.010000000000389</v>
      </c>
      <c r="J464" s="2">
        <f t="shared" si="30"/>
        <v>46.010000000000389</v>
      </c>
    </row>
    <row r="465" spans="6:10" x14ac:dyDescent="0.25">
      <c r="F465" s="4">
        <f t="shared" si="31"/>
        <v>46.11000000000039</v>
      </c>
      <c r="G465" s="4">
        <f>cubspline(3,F465,Data!$B$36:$B$56,Data!$A$36:$A$56)</f>
        <v>0</v>
      </c>
      <c r="H465" s="4">
        <f t="shared" si="32"/>
        <v>1E-10</v>
      </c>
      <c r="I465" s="4">
        <f t="shared" si="29"/>
        <v>46.11000000000039</v>
      </c>
      <c r="J465" s="2">
        <f t="shared" si="30"/>
        <v>46.11000000000039</v>
      </c>
    </row>
    <row r="466" spans="6:10" x14ac:dyDescent="0.25">
      <c r="F466" s="4">
        <f t="shared" si="31"/>
        <v>46.210000000000392</v>
      </c>
      <c r="G466" s="4">
        <f>cubspline(3,F466,Data!$B$36:$B$56,Data!$A$36:$A$56)</f>
        <v>0</v>
      </c>
      <c r="H466" s="4">
        <f t="shared" si="32"/>
        <v>1E-10</v>
      </c>
      <c r="I466" s="4">
        <f t="shared" si="29"/>
        <v>46.210000000000392</v>
      </c>
      <c r="J466" s="2">
        <f t="shared" si="30"/>
        <v>46.210000000000392</v>
      </c>
    </row>
    <row r="467" spans="6:10" x14ac:dyDescent="0.25">
      <c r="F467" s="4">
        <f t="shared" si="31"/>
        <v>46.310000000000393</v>
      </c>
      <c r="G467" s="4">
        <f>cubspline(3,F467,Data!$B$36:$B$56,Data!$A$36:$A$56)</f>
        <v>0</v>
      </c>
      <c r="H467" s="4">
        <f t="shared" si="32"/>
        <v>1E-10</v>
      </c>
      <c r="I467" s="4">
        <f t="shared" si="29"/>
        <v>46.310000000000393</v>
      </c>
      <c r="J467" s="2">
        <f t="shared" si="30"/>
        <v>46.310000000000393</v>
      </c>
    </row>
    <row r="468" spans="6:10" x14ac:dyDescent="0.25">
      <c r="F468" s="4">
        <f t="shared" si="31"/>
        <v>46.410000000000394</v>
      </c>
      <c r="G468" s="4">
        <f>cubspline(3,F468,Data!$B$36:$B$56,Data!$A$36:$A$56)</f>
        <v>0</v>
      </c>
      <c r="H468" s="4">
        <f t="shared" si="32"/>
        <v>1E-10</v>
      </c>
      <c r="I468" s="4">
        <f t="shared" si="29"/>
        <v>46.410000000000394</v>
      </c>
      <c r="J468" s="2">
        <f t="shared" si="30"/>
        <v>46.410000000000394</v>
      </c>
    </row>
    <row r="469" spans="6:10" x14ac:dyDescent="0.25">
      <c r="F469" s="4">
        <f t="shared" si="31"/>
        <v>46.510000000000396</v>
      </c>
      <c r="G469" s="4">
        <f>cubspline(3,F469,Data!$B$36:$B$56,Data!$A$36:$A$56)</f>
        <v>0</v>
      </c>
      <c r="H469" s="4">
        <f t="shared" si="32"/>
        <v>1E-10</v>
      </c>
      <c r="I469" s="4">
        <f t="shared" si="29"/>
        <v>46.510000000000396</v>
      </c>
      <c r="J469" s="2">
        <f t="shared" si="30"/>
        <v>46.510000000000396</v>
      </c>
    </row>
    <row r="470" spans="6:10" x14ac:dyDescent="0.25">
      <c r="F470" s="4">
        <f t="shared" si="31"/>
        <v>46.610000000000397</v>
      </c>
      <c r="G470" s="4">
        <f>cubspline(3,F470,Data!$B$36:$B$56,Data!$A$36:$A$56)</f>
        <v>0</v>
      </c>
      <c r="H470" s="4">
        <f t="shared" si="32"/>
        <v>1E-10</v>
      </c>
      <c r="I470" s="4">
        <f t="shared" si="29"/>
        <v>46.610000000000397</v>
      </c>
      <c r="J470" s="2">
        <f t="shared" si="30"/>
        <v>46.610000000000397</v>
      </c>
    </row>
    <row r="471" spans="6:10" x14ac:dyDescent="0.25">
      <c r="F471" s="4">
        <f t="shared" si="31"/>
        <v>46.710000000000399</v>
      </c>
      <c r="G471" s="4">
        <f>cubspline(3,F471,Data!$B$36:$B$56,Data!$A$36:$A$56)</f>
        <v>0</v>
      </c>
      <c r="H471" s="4">
        <f t="shared" si="32"/>
        <v>1E-10</v>
      </c>
      <c r="I471" s="4">
        <f t="shared" si="29"/>
        <v>46.710000000000399</v>
      </c>
      <c r="J471" s="2">
        <f t="shared" si="30"/>
        <v>46.710000000000399</v>
      </c>
    </row>
    <row r="472" spans="6:10" x14ac:dyDescent="0.25">
      <c r="F472" s="4">
        <f t="shared" si="31"/>
        <v>46.8100000000004</v>
      </c>
      <c r="G472" s="4">
        <f>cubspline(3,F472,Data!$B$36:$B$56,Data!$A$36:$A$56)</f>
        <v>0</v>
      </c>
      <c r="H472" s="4">
        <f t="shared" si="32"/>
        <v>1E-10</v>
      </c>
      <c r="I472" s="4">
        <f t="shared" si="29"/>
        <v>46.8100000000004</v>
      </c>
      <c r="J472" s="2">
        <f t="shared" si="30"/>
        <v>46.8100000000004</v>
      </c>
    </row>
    <row r="473" spans="6:10" x14ac:dyDescent="0.25">
      <c r="F473" s="4">
        <f t="shared" si="31"/>
        <v>46.910000000000402</v>
      </c>
      <c r="G473" s="4">
        <f>cubspline(3,F473,Data!$B$36:$B$56,Data!$A$36:$A$56)</f>
        <v>0</v>
      </c>
      <c r="H473" s="4">
        <f t="shared" si="32"/>
        <v>1E-10</v>
      </c>
      <c r="I473" s="4">
        <f t="shared" si="29"/>
        <v>46.910000000000402</v>
      </c>
      <c r="J473" s="2">
        <f t="shared" si="30"/>
        <v>46.910000000000402</v>
      </c>
    </row>
    <row r="474" spans="6:10" x14ac:dyDescent="0.25">
      <c r="F474" s="4">
        <f t="shared" si="31"/>
        <v>47.010000000000403</v>
      </c>
      <c r="G474" s="4">
        <f>cubspline(3,F474,Data!$B$36:$B$56,Data!$A$36:$A$56)</f>
        <v>0</v>
      </c>
      <c r="H474" s="4">
        <f t="shared" si="32"/>
        <v>1E-10</v>
      </c>
      <c r="I474" s="4">
        <f t="shared" si="29"/>
        <v>47.010000000000403</v>
      </c>
      <c r="J474" s="2">
        <f t="shared" si="30"/>
        <v>47.010000000000403</v>
      </c>
    </row>
    <row r="475" spans="6:10" x14ac:dyDescent="0.25">
      <c r="F475" s="4">
        <f t="shared" si="31"/>
        <v>47.110000000000404</v>
      </c>
      <c r="G475" s="4">
        <f>cubspline(3,F475,Data!$B$36:$B$56,Data!$A$36:$A$56)</f>
        <v>0</v>
      </c>
      <c r="H475" s="4">
        <f t="shared" si="32"/>
        <v>1E-10</v>
      </c>
      <c r="I475" s="4">
        <f t="shared" si="29"/>
        <v>47.110000000000404</v>
      </c>
      <c r="J475" s="2">
        <f t="shared" si="30"/>
        <v>47.110000000000404</v>
      </c>
    </row>
    <row r="476" spans="6:10" x14ac:dyDescent="0.25">
      <c r="F476" s="4">
        <f t="shared" si="31"/>
        <v>47.210000000000406</v>
      </c>
      <c r="G476" s="4">
        <f>cubspline(3,F476,Data!$B$36:$B$56,Data!$A$36:$A$56)</f>
        <v>0</v>
      </c>
      <c r="H476" s="4">
        <f t="shared" si="32"/>
        <v>1E-10</v>
      </c>
      <c r="I476" s="4">
        <f t="shared" si="29"/>
        <v>47.210000000000406</v>
      </c>
      <c r="J476" s="2">
        <f t="shared" si="30"/>
        <v>47.210000000000406</v>
      </c>
    </row>
    <row r="477" spans="6:10" x14ac:dyDescent="0.25">
      <c r="F477" s="4">
        <f t="shared" si="31"/>
        <v>47.310000000000407</v>
      </c>
      <c r="G477" s="4">
        <f>cubspline(3,F477,Data!$B$36:$B$56,Data!$A$36:$A$56)</f>
        <v>0</v>
      </c>
      <c r="H477" s="4">
        <f t="shared" si="32"/>
        <v>1E-10</v>
      </c>
      <c r="I477" s="4">
        <f t="shared" si="29"/>
        <v>47.310000000000407</v>
      </c>
      <c r="J477" s="2">
        <f t="shared" si="30"/>
        <v>47.310000000000407</v>
      </c>
    </row>
    <row r="478" spans="6:10" x14ac:dyDescent="0.25">
      <c r="F478" s="4">
        <f t="shared" si="31"/>
        <v>47.410000000000409</v>
      </c>
      <c r="G478" s="4">
        <f>cubspline(3,F478,Data!$B$36:$B$56,Data!$A$36:$A$56)</f>
        <v>0</v>
      </c>
      <c r="H478" s="4">
        <f t="shared" si="32"/>
        <v>1E-10</v>
      </c>
      <c r="I478" s="4">
        <f t="shared" si="29"/>
        <v>47.410000000000409</v>
      </c>
      <c r="J478" s="2">
        <f t="shared" si="30"/>
        <v>47.410000000000409</v>
      </c>
    </row>
    <row r="479" spans="6:10" x14ac:dyDescent="0.25">
      <c r="F479" s="4">
        <f t="shared" si="31"/>
        <v>47.51000000000041</v>
      </c>
      <c r="G479" s="4">
        <f>cubspline(3,F479,Data!$B$36:$B$56,Data!$A$36:$A$56)</f>
        <v>0</v>
      </c>
      <c r="H479" s="4">
        <f t="shared" si="32"/>
        <v>1E-10</v>
      </c>
      <c r="I479" s="4">
        <f t="shared" si="29"/>
        <v>47.51000000000041</v>
      </c>
      <c r="J479" s="2">
        <f t="shared" si="30"/>
        <v>47.51000000000041</v>
      </c>
    </row>
    <row r="480" spans="6:10" x14ac:dyDescent="0.25">
      <c r="F480" s="4">
        <f t="shared" si="31"/>
        <v>47.610000000000412</v>
      </c>
      <c r="G480" s="4">
        <f>cubspline(3,F480,Data!$B$36:$B$56,Data!$A$36:$A$56)</f>
        <v>0</v>
      </c>
      <c r="H480" s="4">
        <f t="shared" si="32"/>
        <v>1E-10</v>
      </c>
      <c r="I480" s="4">
        <f t="shared" si="29"/>
        <v>47.610000000000412</v>
      </c>
      <c r="J480" s="2">
        <f t="shared" si="30"/>
        <v>47.610000000000412</v>
      </c>
    </row>
    <row r="481" spans="6:10" x14ac:dyDescent="0.25">
      <c r="F481" s="4">
        <f t="shared" si="31"/>
        <v>47.710000000000413</v>
      </c>
      <c r="G481" s="4">
        <f>cubspline(3,F481,Data!$B$36:$B$56,Data!$A$36:$A$56)</f>
        <v>0</v>
      </c>
      <c r="H481" s="4">
        <f t="shared" si="32"/>
        <v>1E-10</v>
      </c>
      <c r="I481" s="4">
        <f t="shared" si="29"/>
        <v>47.710000000000413</v>
      </c>
      <c r="J481" s="2">
        <f t="shared" si="30"/>
        <v>47.710000000000413</v>
      </c>
    </row>
    <row r="482" spans="6:10" x14ac:dyDescent="0.25">
      <c r="F482" s="4">
        <f t="shared" si="31"/>
        <v>47.810000000000414</v>
      </c>
      <c r="G482" s="4">
        <f>cubspline(3,F482,Data!$B$36:$B$56,Data!$A$36:$A$56)</f>
        <v>0</v>
      </c>
      <c r="H482" s="4">
        <f t="shared" si="32"/>
        <v>1E-10</v>
      </c>
      <c r="I482" s="4">
        <f t="shared" si="29"/>
        <v>47.810000000000414</v>
      </c>
      <c r="J482" s="2">
        <f t="shared" si="30"/>
        <v>47.810000000000414</v>
      </c>
    </row>
    <row r="483" spans="6:10" x14ac:dyDescent="0.25">
      <c r="F483" s="4">
        <f t="shared" si="31"/>
        <v>47.910000000000416</v>
      </c>
      <c r="G483" s="4">
        <f>cubspline(3,F483,Data!$B$36:$B$56,Data!$A$36:$A$56)</f>
        <v>0</v>
      </c>
      <c r="H483" s="4">
        <f t="shared" si="32"/>
        <v>1E-10</v>
      </c>
      <c r="I483" s="4">
        <f t="shared" si="29"/>
        <v>47.910000000000416</v>
      </c>
      <c r="J483" s="2">
        <f t="shared" si="30"/>
        <v>47.910000000000416</v>
      </c>
    </row>
    <row r="484" spans="6:10" x14ac:dyDescent="0.25">
      <c r="F484" s="4">
        <f t="shared" si="31"/>
        <v>48.010000000000417</v>
      </c>
      <c r="G484" s="4">
        <f>cubspline(3,F484,Data!$B$36:$B$56,Data!$A$36:$A$56)</f>
        <v>0</v>
      </c>
      <c r="H484" s="4">
        <f t="shared" si="32"/>
        <v>1E-10</v>
      </c>
      <c r="I484" s="4">
        <f t="shared" si="29"/>
        <v>48.010000000000417</v>
      </c>
      <c r="J484" s="2">
        <f t="shared" si="30"/>
        <v>48.010000000000417</v>
      </c>
    </row>
    <row r="485" spans="6:10" x14ac:dyDescent="0.25">
      <c r="F485" s="4">
        <f t="shared" si="31"/>
        <v>48.110000000000419</v>
      </c>
      <c r="G485" s="4">
        <f>cubspline(3,F485,Data!$B$36:$B$56,Data!$A$36:$A$56)</f>
        <v>0</v>
      </c>
      <c r="H485" s="4">
        <f t="shared" si="32"/>
        <v>1E-10</v>
      </c>
      <c r="I485" s="4">
        <f t="shared" si="29"/>
        <v>48.110000000000419</v>
      </c>
      <c r="J485" s="2">
        <f t="shared" si="30"/>
        <v>48.110000000000419</v>
      </c>
    </row>
    <row r="486" spans="6:10" x14ac:dyDescent="0.25">
      <c r="F486" s="4">
        <f t="shared" si="31"/>
        <v>48.21000000000042</v>
      </c>
      <c r="G486" s="4">
        <f>cubspline(3,F486,Data!$B$36:$B$56,Data!$A$36:$A$56)</f>
        <v>0</v>
      </c>
      <c r="H486" s="4">
        <f t="shared" si="32"/>
        <v>1E-10</v>
      </c>
      <c r="I486" s="4">
        <f t="shared" si="29"/>
        <v>48.21000000000042</v>
      </c>
      <c r="J486" s="2">
        <f t="shared" si="30"/>
        <v>48.21000000000042</v>
      </c>
    </row>
    <row r="487" spans="6:10" x14ac:dyDescent="0.25">
      <c r="F487" s="4">
        <f t="shared" si="31"/>
        <v>48.310000000000421</v>
      </c>
      <c r="G487" s="4">
        <f>cubspline(3,F487,Data!$B$36:$B$56,Data!$A$36:$A$56)</f>
        <v>0</v>
      </c>
      <c r="H487" s="4">
        <f t="shared" si="32"/>
        <v>1E-10</v>
      </c>
      <c r="I487" s="4">
        <f t="shared" si="29"/>
        <v>48.310000000000421</v>
      </c>
      <c r="J487" s="2">
        <f t="shared" si="30"/>
        <v>48.310000000000421</v>
      </c>
    </row>
    <row r="488" spans="6:10" x14ac:dyDescent="0.25">
      <c r="F488" s="4">
        <f t="shared" si="31"/>
        <v>48.410000000000423</v>
      </c>
      <c r="G488" s="4">
        <f>cubspline(3,F488,Data!$B$36:$B$56,Data!$A$36:$A$56)</f>
        <v>0</v>
      </c>
      <c r="H488" s="4">
        <f t="shared" si="32"/>
        <v>1E-10</v>
      </c>
      <c r="I488" s="4">
        <f t="shared" si="29"/>
        <v>48.410000000000423</v>
      </c>
      <c r="J488" s="2">
        <f t="shared" si="30"/>
        <v>48.410000000000423</v>
      </c>
    </row>
    <row r="489" spans="6:10" x14ac:dyDescent="0.25">
      <c r="F489" s="4">
        <f t="shared" si="31"/>
        <v>48.510000000000424</v>
      </c>
      <c r="G489" s="4">
        <f>cubspline(3,F489,Data!$B$36:$B$56,Data!$A$36:$A$56)</f>
        <v>0</v>
      </c>
      <c r="H489" s="4">
        <f t="shared" si="32"/>
        <v>1E-10</v>
      </c>
      <c r="I489" s="4">
        <f t="shared" si="29"/>
        <v>48.510000000000424</v>
      </c>
      <c r="J489" s="2">
        <f t="shared" si="30"/>
        <v>48.510000000000424</v>
      </c>
    </row>
    <row r="490" spans="6:10" x14ac:dyDescent="0.25">
      <c r="F490" s="4">
        <f t="shared" si="31"/>
        <v>48.610000000000426</v>
      </c>
      <c r="G490" s="4">
        <f>cubspline(3,F490,Data!$B$36:$B$56,Data!$A$36:$A$56)</f>
        <v>0</v>
      </c>
      <c r="H490" s="4">
        <f t="shared" si="32"/>
        <v>1E-10</v>
      </c>
      <c r="I490" s="4">
        <f t="shared" si="29"/>
        <v>48.610000000000426</v>
      </c>
      <c r="J490" s="2">
        <f t="shared" si="30"/>
        <v>48.610000000000426</v>
      </c>
    </row>
    <row r="491" spans="6:10" x14ac:dyDescent="0.25">
      <c r="F491" s="4">
        <f t="shared" si="31"/>
        <v>48.710000000000427</v>
      </c>
      <c r="G491" s="4">
        <f>cubspline(3,F491,Data!$B$36:$B$56,Data!$A$36:$A$56)</f>
        <v>0</v>
      </c>
      <c r="H491" s="4">
        <f t="shared" si="32"/>
        <v>1E-10</v>
      </c>
      <c r="I491" s="4">
        <f t="shared" si="29"/>
        <v>48.710000000000427</v>
      </c>
      <c r="J491" s="2">
        <f t="shared" si="30"/>
        <v>48.710000000000427</v>
      </c>
    </row>
    <row r="492" spans="6:10" x14ac:dyDescent="0.25">
      <c r="F492" s="4">
        <f t="shared" si="31"/>
        <v>48.810000000000429</v>
      </c>
      <c r="G492" s="4">
        <f>cubspline(3,F492,Data!$B$36:$B$56,Data!$A$36:$A$56)</f>
        <v>0</v>
      </c>
      <c r="H492" s="4">
        <f t="shared" si="32"/>
        <v>1E-10</v>
      </c>
      <c r="I492" s="4">
        <f t="shared" si="29"/>
        <v>48.810000000000429</v>
      </c>
      <c r="J492" s="2">
        <f t="shared" si="30"/>
        <v>48.810000000000429</v>
      </c>
    </row>
    <row r="493" spans="6:10" x14ac:dyDescent="0.25">
      <c r="F493" s="4">
        <f t="shared" si="31"/>
        <v>48.91000000000043</v>
      </c>
      <c r="G493" s="4">
        <f>cubspline(3,F493,Data!$B$36:$B$56,Data!$A$36:$A$56)</f>
        <v>0</v>
      </c>
      <c r="H493" s="4">
        <f t="shared" si="32"/>
        <v>1E-10</v>
      </c>
      <c r="I493" s="4">
        <f t="shared" si="29"/>
        <v>48.91000000000043</v>
      </c>
      <c r="J493" s="2">
        <f t="shared" si="30"/>
        <v>48.91000000000043</v>
      </c>
    </row>
    <row r="494" spans="6:10" x14ac:dyDescent="0.25">
      <c r="F494" s="4">
        <f t="shared" si="31"/>
        <v>49.010000000000431</v>
      </c>
      <c r="G494" s="4">
        <f>cubspline(3,F494,Data!$B$36:$B$56,Data!$A$36:$A$56)</f>
        <v>0</v>
      </c>
      <c r="H494" s="4">
        <f t="shared" si="32"/>
        <v>1E-10</v>
      </c>
      <c r="I494" s="4">
        <f t="shared" si="29"/>
        <v>49.010000000000431</v>
      </c>
      <c r="J494" s="2">
        <f t="shared" si="30"/>
        <v>49.010000000000431</v>
      </c>
    </row>
    <row r="495" spans="6:10" x14ac:dyDescent="0.25">
      <c r="F495" s="4">
        <f t="shared" si="31"/>
        <v>49.110000000000433</v>
      </c>
      <c r="G495" s="4">
        <f>cubspline(3,F495,Data!$B$36:$B$56,Data!$A$36:$A$56)</f>
        <v>0</v>
      </c>
      <c r="H495" s="4">
        <f t="shared" si="32"/>
        <v>1E-10</v>
      </c>
      <c r="I495" s="4">
        <f t="shared" si="29"/>
        <v>49.110000000000433</v>
      </c>
      <c r="J495" s="2">
        <f t="shared" si="30"/>
        <v>49.110000000000433</v>
      </c>
    </row>
    <row r="496" spans="6:10" x14ac:dyDescent="0.25">
      <c r="F496" s="4">
        <f t="shared" si="31"/>
        <v>49.210000000000434</v>
      </c>
      <c r="G496" s="4">
        <f>cubspline(3,F496,Data!$B$36:$B$56,Data!$A$36:$A$56)</f>
        <v>0</v>
      </c>
      <c r="H496" s="4">
        <f t="shared" si="32"/>
        <v>1E-10</v>
      </c>
      <c r="I496" s="4">
        <f t="shared" si="29"/>
        <v>49.210000000000434</v>
      </c>
      <c r="J496" s="2">
        <f t="shared" si="30"/>
        <v>49.210000000000434</v>
      </c>
    </row>
    <row r="497" spans="6:10" x14ac:dyDescent="0.25">
      <c r="F497" s="4">
        <f t="shared" si="31"/>
        <v>49.310000000000436</v>
      </c>
      <c r="G497" s="4">
        <f>cubspline(3,F497,Data!$B$36:$B$56,Data!$A$36:$A$56)</f>
        <v>0</v>
      </c>
      <c r="H497" s="4">
        <f t="shared" si="32"/>
        <v>1E-10</v>
      </c>
      <c r="I497" s="4">
        <f t="shared" si="29"/>
        <v>49.310000000000436</v>
      </c>
      <c r="J497" s="2">
        <f t="shared" si="30"/>
        <v>49.310000000000436</v>
      </c>
    </row>
    <row r="498" spans="6:10" x14ac:dyDescent="0.25">
      <c r="F498" s="4">
        <f t="shared" si="31"/>
        <v>49.410000000000437</v>
      </c>
      <c r="G498" s="4">
        <f>cubspline(3,F498,Data!$B$36:$B$56,Data!$A$36:$A$56)</f>
        <v>0</v>
      </c>
      <c r="H498" s="4">
        <f t="shared" si="32"/>
        <v>1E-10</v>
      </c>
      <c r="I498" s="4">
        <f t="shared" si="29"/>
        <v>49.410000000000437</v>
      </c>
      <c r="J498" s="2">
        <f t="shared" si="30"/>
        <v>49.410000000000437</v>
      </c>
    </row>
    <row r="499" spans="6:10" x14ac:dyDescent="0.25">
      <c r="F499" s="4">
        <f t="shared" si="31"/>
        <v>49.510000000000439</v>
      </c>
      <c r="G499" s="4">
        <f>cubspline(3,F499,Data!$B$36:$B$56,Data!$A$36:$A$56)</f>
        <v>0</v>
      </c>
      <c r="H499" s="4">
        <f t="shared" si="32"/>
        <v>1E-10</v>
      </c>
      <c r="I499" s="4">
        <f t="shared" si="29"/>
        <v>49.510000000000439</v>
      </c>
      <c r="J499" s="2">
        <f t="shared" si="30"/>
        <v>49.510000000000439</v>
      </c>
    </row>
    <row r="500" spans="6:10" x14ac:dyDescent="0.25">
      <c r="F500" s="4">
        <f t="shared" si="31"/>
        <v>49.61000000000044</v>
      </c>
      <c r="G500" s="4">
        <f>cubspline(3,F500,Data!$B$36:$B$56,Data!$A$36:$A$56)</f>
        <v>0</v>
      </c>
      <c r="H500" s="4">
        <f t="shared" si="32"/>
        <v>1E-10</v>
      </c>
      <c r="I500" s="4">
        <f t="shared" si="29"/>
        <v>49.61000000000044</v>
      </c>
      <c r="J500" s="2">
        <f t="shared" si="30"/>
        <v>49.61000000000044</v>
      </c>
    </row>
    <row r="501" spans="6:10" x14ac:dyDescent="0.25">
      <c r="F501" s="4">
        <f t="shared" si="31"/>
        <v>49.710000000000441</v>
      </c>
      <c r="G501" s="4">
        <f>cubspline(3,F501,Data!$B$36:$B$56,Data!$A$36:$A$56)</f>
        <v>0</v>
      </c>
      <c r="H501" s="4">
        <f t="shared" si="32"/>
        <v>1E-10</v>
      </c>
      <c r="I501" s="4">
        <f t="shared" si="29"/>
        <v>49.710000000000441</v>
      </c>
      <c r="J501" s="2">
        <f t="shared" si="30"/>
        <v>49.710000000000441</v>
      </c>
    </row>
    <row r="502" spans="6:10" x14ac:dyDescent="0.25">
      <c r="F502" s="4">
        <f t="shared" si="31"/>
        <v>49.810000000000443</v>
      </c>
      <c r="G502" s="4">
        <f>cubspline(3,F502,Data!$B$36:$B$56,Data!$A$36:$A$56)</f>
        <v>0</v>
      </c>
      <c r="H502" s="4">
        <f t="shared" si="32"/>
        <v>1E-10</v>
      </c>
      <c r="I502" s="4">
        <f t="shared" si="29"/>
        <v>49.810000000000443</v>
      </c>
      <c r="J502" s="2">
        <f t="shared" si="30"/>
        <v>49.810000000000443</v>
      </c>
    </row>
    <row r="503" spans="6:10" x14ac:dyDescent="0.25">
      <c r="F503" s="4">
        <f t="shared" si="31"/>
        <v>49.910000000000444</v>
      </c>
      <c r="G503" s="4">
        <f>cubspline(3,F503,Data!$B$36:$B$56,Data!$A$36:$A$56)</f>
        <v>0</v>
      </c>
      <c r="H503" s="4">
        <f t="shared" si="32"/>
        <v>1E-10</v>
      </c>
      <c r="I503" s="4">
        <f t="shared" si="29"/>
        <v>49.910000000000444</v>
      </c>
      <c r="J503" s="2">
        <f t="shared" si="30"/>
        <v>49.910000000000444</v>
      </c>
    </row>
    <row r="504" spans="6:10" x14ac:dyDescent="0.25">
      <c r="F504" s="4">
        <f t="shared" si="31"/>
        <v>50.010000000000446</v>
      </c>
      <c r="G504" s="4">
        <f>cubspline(3,F504,Data!$B$36:$B$56,Data!$A$36:$A$56)</f>
        <v>0</v>
      </c>
      <c r="H504" s="4">
        <f t="shared" si="32"/>
        <v>1E-10</v>
      </c>
      <c r="I504" s="4">
        <f t="shared" si="29"/>
        <v>50.010000000000446</v>
      </c>
      <c r="J504" s="2">
        <f t="shared" si="30"/>
        <v>50.010000000000446</v>
      </c>
    </row>
    <row r="505" spans="6:10" x14ac:dyDescent="0.25">
      <c r="F505" s="4">
        <f t="shared" si="31"/>
        <v>50.110000000000447</v>
      </c>
      <c r="G505" s="4">
        <f>cubspline(3,F505,Data!$B$36:$B$56,Data!$A$36:$A$56)</f>
        <v>0</v>
      </c>
      <c r="H505" s="4">
        <f t="shared" si="32"/>
        <v>1E-10</v>
      </c>
      <c r="I505" s="4">
        <f t="shared" si="29"/>
        <v>50.110000000000447</v>
      </c>
      <c r="J505" s="2">
        <f t="shared" si="30"/>
        <v>50.110000000000447</v>
      </c>
    </row>
    <row r="506" spans="6:10" x14ac:dyDescent="0.25">
      <c r="F506" s="4">
        <f t="shared" si="31"/>
        <v>50.210000000000448</v>
      </c>
      <c r="G506" s="4">
        <f>cubspline(3,F506,Data!$B$36:$B$56,Data!$A$36:$A$56)</f>
        <v>0</v>
      </c>
      <c r="H506" s="4">
        <f t="shared" si="32"/>
        <v>1E-10</v>
      </c>
      <c r="I506" s="4">
        <f t="shared" si="29"/>
        <v>50.210000000000448</v>
      </c>
      <c r="J506" s="2">
        <f t="shared" si="30"/>
        <v>50.210000000000448</v>
      </c>
    </row>
    <row r="507" spans="6:10" x14ac:dyDescent="0.25">
      <c r="F507" s="4">
        <f t="shared" si="31"/>
        <v>50.31000000000045</v>
      </c>
      <c r="G507" s="4">
        <f>cubspline(3,F507,Data!$B$36:$B$56,Data!$A$36:$A$56)</f>
        <v>0</v>
      </c>
      <c r="H507" s="4">
        <f t="shared" si="32"/>
        <v>1E-10</v>
      </c>
      <c r="I507" s="4">
        <f t="shared" si="29"/>
        <v>50.31000000000045</v>
      </c>
      <c r="J507" s="2">
        <f t="shared" si="30"/>
        <v>50.31000000000045</v>
      </c>
    </row>
    <row r="508" spans="6:10" x14ac:dyDescent="0.25">
      <c r="F508" s="4">
        <f t="shared" si="31"/>
        <v>50.410000000000451</v>
      </c>
      <c r="G508" s="4">
        <f>cubspline(3,F508,Data!$B$36:$B$56,Data!$A$36:$A$56)</f>
        <v>0</v>
      </c>
      <c r="H508" s="4">
        <f t="shared" si="32"/>
        <v>1E-10</v>
      </c>
      <c r="I508" s="4">
        <f t="shared" si="29"/>
        <v>50.410000000000451</v>
      </c>
      <c r="J508" s="2">
        <f t="shared" si="30"/>
        <v>50.410000000000451</v>
      </c>
    </row>
    <row r="509" spans="6:10" x14ac:dyDescent="0.25">
      <c r="F509" s="4">
        <f t="shared" si="31"/>
        <v>50.510000000000453</v>
      </c>
      <c r="G509" s="4">
        <f>cubspline(3,F509,Data!$B$36:$B$56,Data!$A$36:$A$56)</f>
        <v>0</v>
      </c>
      <c r="H509" s="4">
        <f t="shared" si="32"/>
        <v>1E-10</v>
      </c>
      <c r="I509" s="4">
        <f t="shared" si="29"/>
        <v>50.510000000000453</v>
      </c>
      <c r="J509" s="2">
        <f t="shared" si="30"/>
        <v>50.510000000000453</v>
      </c>
    </row>
    <row r="510" spans="6:10" x14ac:dyDescent="0.25">
      <c r="F510" s="4">
        <f t="shared" si="31"/>
        <v>50.610000000000454</v>
      </c>
      <c r="G510" s="4">
        <f>cubspline(3,F510,Data!$B$36:$B$56,Data!$A$36:$A$56)</f>
        <v>0</v>
      </c>
      <c r="H510" s="4">
        <f t="shared" si="32"/>
        <v>1E-10</v>
      </c>
      <c r="I510" s="4">
        <f t="shared" si="29"/>
        <v>50.610000000000454</v>
      </c>
      <c r="J510" s="2">
        <f t="shared" si="30"/>
        <v>50.610000000000454</v>
      </c>
    </row>
    <row r="511" spans="6:10" x14ac:dyDescent="0.25">
      <c r="F511" s="4">
        <f t="shared" si="31"/>
        <v>50.710000000000456</v>
      </c>
      <c r="G511" s="4">
        <f>cubspline(3,F511,Data!$B$36:$B$56,Data!$A$36:$A$56)</f>
        <v>0</v>
      </c>
      <c r="H511" s="4">
        <f t="shared" si="32"/>
        <v>1E-10</v>
      </c>
      <c r="I511" s="4">
        <f t="shared" si="29"/>
        <v>50.710000000000456</v>
      </c>
      <c r="J511" s="2">
        <f t="shared" si="30"/>
        <v>50.710000000000456</v>
      </c>
    </row>
    <row r="512" spans="6:10" x14ac:dyDescent="0.25">
      <c r="F512" s="4">
        <f t="shared" si="31"/>
        <v>50.810000000000457</v>
      </c>
      <c r="G512" s="4">
        <f>cubspline(3,F512,Data!$B$36:$B$56,Data!$A$36:$A$56)</f>
        <v>0</v>
      </c>
      <c r="H512" s="4">
        <f t="shared" si="32"/>
        <v>1E-10</v>
      </c>
      <c r="I512" s="4">
        <f t="shared" si="29"/>
        <v>50.810000000000457</v>
      </c>
      <c r="J512" s="2">
        <f t="shared" si="30"/>
        <v>50.810000000000457</v>
      </c>
    </row>
    <row r="513" spans="6:10" x14ac:dyDescent="0.25">
      <c r="F513" s="4">
        <f t="shared" si="31"/>
        <v>50.910000000000458</v>
      </c>
      <c r="G513" s="4">
        <f>cubspline(3,F513,Data!$B$36:$B$56,Data!$A$36:$A$56)</f>
        <v>0</v>
      </c>
      <c r="H513" s="4">
        <f t="shared" si="32"/>
        <v>1E-10</v>
      </c>
      <c r="I513" s="4">
        <f t="shared" si="29"/>
        <v>50.910000000000458</v>
      </c>
      <c r="J513" s="2">
        <f t="shared" si="30"/>
        <v>50.910000000000458</v>
      </c>
    </row>
    <row r="514" spans="6:10" x14ac:dyDescent="0.25">
      <c r="F514" s="4">
        <f t="shared" si="31"/>
        <v>51.01000000000046</v>
      </c>
      <c r="G514" s="4">
        <f>cubspline(3,F514,Data!$B$36:$B$56,Data!$A$36:$A$56)</f>
        <v>0</v>
      </c>
      <c r="H514" s="4">
        <f t="shared" si="32"/>
        <v>1E-10</v>
      </c>
      <c r="I514" s="4">
        <f t="shared" si="29"/>
        <v>51.01000000000046</v>
      </c>
      <c r="J514" s="2">
        <f t="shared" si="30"/>
        <v>51.01000000000046</v>
      </c>
    </row>
    <row r="515" spans="6:10" x14ac:dyDescent="0.25">
      <c r="F515" s="4">
        <f t="shared" si="31"/>
        <v>51.110000000000461</v>
      </c>
      <c r="G515" s="4">
        <f>cubspline(3,F515,Data!$B$36:$B$56,Data!$A$36:$A$56)</f>
        <v>0</v>
      </c>
      <c r="H515" s="4">
        <f t="shared" si="32"/>
        <v>1E-10</v>
      </c>
      <c r="I515" s="4">
        <f t="shared" si="29"/>
        <v>51.110000000000461</v>
      </c>
      <c r="J515" s="2">
        <f t="shared" si="30"/>
        <v>51.110000000000461</v>
      </c>
    </row>
    <row r="516" spans="6:10" x14ac:dyDescent="0.25">
      <c r="F516" s="4">
        <f t="shared" si="31"/>
        <v>51.210000000000463</v>
      </c>
      <c r="G516" s="4">
        <f>cubspline(3,F516,Data!$B$36:$B$56,Data!$A$36:$A$56)</f>
        <v>0</v>
      </c>
      <c r="H516" s="4">
        <f t="shared" si="32"/>
        <v>1E-10</v>
      </c>
      <c r="I516" s="4">
        <f t="shared" si="29"/>
        <v>51.210000000000463</v>
      </c>
      <c r="J516" s="2">
        <f t="shared" si="30"/>
        <v>51.210000000000463</v>
      </c>
    </row>
    <row r="517" spans="6:10" x14ac:dyDescent="0.25">
      <c r="F517" s="4">
        <f t="shared" si="31"/>
        <v>51.310000000000464</v>
      </c>
      <c r="G517" s="4">
        <f>cubspline(3,F517,Data!$B$36:$B$56,Data!$A$36:$A$56)</f>
        <v>0</v>
      </c>
      <c r="H517" s="4">
        <f t="shared" si="32"/>
        <v>1E-10</v>
      </c>
      <c r="I517" s="4">
        <f t="shared" ref="I517:I580" si="33">IF(F517&gt;$D$47,F517,NA())</f>
        <v>51.310000000000464</v>
      </c>
      <c r="J517" s="2">
        <f t="shared" ref="J517:J580" si="34">IF(F517&gt;=$D$47,F517,($D$47-(0.3*($D$47-F517))))</f>
        <v>51.310000000000464</v>
      </c>
    </row>
    <row r="518" spans="6:10" x14ac:dyDescent="0.25">
      <c r="F518" s="4">
        <f t="shared" ref="F518:F581" si="35">F517+0.1</f>
        <v>51.410000000000466</v>
      </c>
      <c r="G518" s="4">
        <f>cubspline(3,F518,Data!$B$36:$B$56,Data!$A$36:$A$56)</f>
        <v>0</v>
      </c>
      <c r="H518" s="4">
        <f t="shared" ref="H518:H581" si="36">IF(G518&lt;=0,0.0000000001,G518)</f>
        <v>1E-10</v>
      </c>
      <c r="I518" s="4">
        <f t="shared" si="33"/>
        <v>51.410000000000466</v>
      </c>
      <c r="J518" s="2">
        <f t="shared" si="34"/>
        <v>51.410000000000466</v>
      </c>
    </row>
    <row r="519" spans="6:10" x14ac:dyDescent="0.25">
      <c r="F519" s="4">
        <f t="shared" si="35"/>
        <v>51.510000000000467</v>
      </c>
      <c r="G519" s="4">
        <f>cubspline(3,F519,Data!$B$36:$B$56,Data!$A$36:$A$56)</f>
        <v>0</v>
      </c>
      <c r="H519" s="4">
        <f t="shared" si="36"/>
        <v>1E-10</v>
      </c>
      <c r="I519" s="4">
        <f t="shared" si="33"/>
        <v>51.510000000000467</v>
      </c>
      <c r="J519" s="2">
        <f t="shared" si="34"/>
        <v>51.510000000000467</v>
      </c>
    </row>
    <row r="520" spans="6:10" x14ac:dyDescent="0.25">
      <c r="F520" s="4">
        <f t="shared" si="35"/>
        <v>51.610000000000468</v>
      </c>
      <c r="G520" s="4">
        <f>cubspline(3,F520,Data!$B$36:$B$56,Data!$A$36:$A$56)</f>
        <v>0</v>
      </c>
      <c r="H520" s="4">
        <f t="shared" si="36"/>
        <v>1E-10</v>
      </c>
      <c r="I520" s="4">
        <f t="shared" si="33"/>
        <v>51.610000000000468</v>
      </c>
      <c r="J520" s="2">
        <f t="shared" si="34"/>
        <v>51.610000000000468</v>
      </c>
    </row>
    <row r="521" spans="6:10" x14ac:dyDescent="0.25">
      <c r="F521" s="4">
        <f t="shared" si="35"/>
        <v>51.71000000000047</v>
      </c>
      <c r="G521" s="4">
        <f>cubspline(3,F521,Data!$B$36:$B$56,Data!$A$36:$A$56)</f>
        <v>0</v>
      </c>
      <c r="H521" s="4">
        <f t="shared" si="36"/>
        <v>1E-10</v>
      </c>
      <c r="I521" s="4">
        <f t="shared" si="33"/>
        <v>51.71000000000047</v>
      </c>
      <c r="J521" s="2">
        <f t="shared" si="34"/>
        <v>51.71000000000047</v>
      </c>
    </row>
    <row r="522" spans="6:10" x14ac:dyDescent="0.25">
      <c r="F522" s="4">
        <f t="shared" si="35"/>
        <v>51.810000000000471</v>
      </c>
      <c r="G522" s="4">
        <f>cubspline(3,F522,Data!$B$36:$B$56,Data!$A$36:$A$56)</f>
        <v>0</v>
      </c>
      <c r="H522" s="4">
        <f t="shared" si="36"/>
        <v>1E-10</v>
      </c>
      <c r="I522" s="4">
        <f t="shared" si="33"/>
        <v>51.810000000000471</v>
      </c>
      <c r="J522" s="2">
        <f t="shared" si="34"/>
        <v>51.810000000000471</v>
      </c>
    </row>
    <row r="523" spans="6:10" x14ac:dyDescent="0.25">
      <c r="F523" s="4">
        <f t="shared" si="35"/>
        <v>51.910000000000473</v>
      </c>
      <c r="G523" s="4">
        <f>cubspline(3,F523,Data!$B$36:$B$56,Data!$A$36:$A$56)</f>
        <v>0</v>
      </c>
      <c r="H523" s="4">
        <f t="shared" si="36"/>
        <v>1E-10</v>
      </c>
      <c r="I523" s="4">
        <f t="shared" si="33"/>
        <v>51.910000000000473</v>
      </c>
      <c r="J523" s="2">
        <f t="shared" si="34"/>
        <v>51.910000000000473</v>
      </c>
    </row>
    <row r="524" spans="6:10" x14ac:dyDescent="0.25">
      <c r="F524" s="4">
        <f t="shared" si="35"/>
        <v>52.010000000000474</v>
      </c>
      <c r="G524" s="4">
        <f>cubspline(3,F524,Data!$B$36:$B$56,Data!$A$36:$A$56)</f>
        <v>0</v>
      </c>
      <c r="H524" s="4">
        <f t="shared" si="36"/>
        <v>1E-10</v>
      </c>
      <c r="I524" s="4">
        <f t="shared" si="33"/>
        <v>52.010000000000474</v>
      </c>
      <c r="J524" s="2">
        <f t="shared" si="34"/>
        <v>52.010000000000474</v>
      </c>
    </row>
    <row r="525" spans="6:10" x14ac:dyDescent="0.25">
      <c r="F525" s="4">
        <f t="shared" si="35"/>
        <v>52.110000000000475</v>
      </c>
      <c r="G525" s="4">
        <f>cubspline(3,F525,Data!$B$36:$B$56,Data!$A$36:$A$56)</f>
        <v>0</v>
      </c>
      <c r="H525" s="4">
        <f t="shared" si="36"/>
        <v>1E-10</v>
      </c>
      <c r="I525" s="4">
        <f t="shared" si="33"/>
        <v>52.110000000000475</v>
      </c>
      <c r="J525" s="2">
        <f t="shared" si="34"/>
        <v>52.110000000000475</v>
      </c>
    </row>
    <row r="526" spans="6:10" x14ac:dyDescent="0.25">
      <c r="F526" s="4">
        <f t="shared" si="35"/>
        <v>52.210000000000477</v>
      </c>
      <c r="G526" s="4">
        <f>cubspline(3,F526,Data!$B$36:$B$56,Data!$A$36:$A$56)</f>
        <v>0</v>
      </c>
      <c r="H526" s="4">
        <f t="shared" si="36"/>
        <v>1E-10</v>
      </c>
      <c r="I526" s="4">
        <f t="shared" si="33"/>
        <v>52.210000000000477</v>
      </c>
      <c r="J526" s="2">
        <f t="shared" si="34"/>
        <v>52.210000000000477</v>
      </c>
    </row>
    <row r="527" spans="6:10" x14ac:dyDescent="0.25">
      <c r="F527" s="4">
        <f t="shared" si="35"/>
        <v>52.310000000000478</v>
      </c>
      <c r="G527" s="4">
        <f>cubspline(3,F527,Data!$B$36:$B$56,Data!$A$36:$A$56)</f>
        <v>0</v>
      </c>
      <c r="H527" s="4">
        <f t="shared" si="36"/>
        <v>1E-10</v>
      </c>
      <c r="I527" s="4">
        <f t="shared" si="33"/>
        <v>52.310000000000478</v>
      </c>
      <c r="J527" s="2">
        <f t="shared" si="34"/>
        <v>52.310000000000478</v>
      </c>
    </row>
    <row r="528" spans="6:10" x14ac:dyDescent="0.25">
      <c r="F528" s="4">
        <f t="shared" si="35"/>
        <v>52.41000000000048</v>
      </c>
      <c r="G528" s="4">
        <f>cubspline(3,F528,Data!$B$36:$B$56,Data!$A$36:$A$56)</f>
        <v>0</v>
      </c>
      <c r="H528" s="4">
        <f t="shared" si="36"/>
        <v>1E-10</v>
      </c>
      <c r="I528" s="4">
        <f t="shared" si="33"/>
        <v>52.41000000000048</v>
      </c>
      <c r="J528" s="2">
        <f t="shared" si="34"/>
        <v>52.41000000000048</v>
      </c>
    </row>
    <row r="529" spans="6:10" x14ac:dyDescent="0.25">
      <c r="F529" s="4">
        <f t="shared" si="35"/>
        <v>52.510000000000481</v>
      </c>
      <c r="G529" s="4">
        <f>cubspline(3,F529,Data!$B$36:$B$56,Data!$A$36:$A$56)</f>
        <v>0</v>
      </c>
      <c r="H529" s="4">
        <f t="shared" si="36"/>
        <v>1E-10</v>
      </c>
      <c r="I529" s="4">
        <f t="shared" si="33"/>
        <v>52.510000000000481</v>
      </c>
      <c r="J529" s="2">
        <f t="shared" si="34"/>
        <v>52.510000000000481</v>
      </c>
    </row>
    <row r="530" spans="6:10" x14ac:dyDescent="0.25">
      <c r="F530" s="4">
        <f t="shared" si="35"/>
        <v>52.610000000000483</v>
      </c>
      <c r="G530" s="4">
        <f>cubspline(3,F530,Data!$B$36:$B$56,Data!$A$36:$A$56)</f>
        <v>0</v>
      </c>
      <c r="H530" s="4">
        <f t="shared" si="36"/>
        <v>1E-10</v>
      </c>
      <c r="I530" s="4">
        <f t="shared" si="33"/>
        <v>52.610000000000483</v>
      </c>
      <c r="J530" s="2">
        <f t="shared" si="34"/>
        <v>52.610000000000483</v>
      </c>
    </row>
    <row r="531" spans="6:10" x14ac:dyDescent="0.25">
      <c r="F531" s="4">
        <f t="shared" si="35"/>
        <v>52.710000000000484</v>
      </c>
      <c r="G531" s="4">
        <f>cubspline(3,F531,Data!$B$36:$B$56,Data!$A$36:$A$56)</f>
        <v>0</v>
      </c>
      <c r="H531" s="4">
        <f t="shared" si="36"/>
        <v>1E-10</v>
      </c>
      <c r="I531" s="4">
        <f t="shared" si="33"/>
        <v>52.710000000000484</v>
      </c>
      <c r="J531" s="2">
        <f t="shared" si="34"/>
        <v>52.710000000000484</v>
      </c>
    </row>
    <row r="532" spans="6:10" x14ac:dyDescent="0.25">
      <c r="F532" s="4">
        <f t="shared" si="35"/>
        <v>52.810000000000485</v>
      </c>
      <c r="G532" s="4">
        <f>cubspline(3,F532,Data!$B$36:$B$56,Data!$A$36:$A$56)</f>
        <v>0</v>
      </c>
      <c r="H532" s="4">
        <f t="shared" si="36"/>
        <v>1E-10</v>
      </c>
      <c r="I532" s="4">
        <f t="shared" si="33"/>
        <v>52.810000000000485</v>
      </c>
      <c r="J532" s="2">
        <f t="shared" si="34"/>
        <v>52.810000000000485</v>
      </c>
    </row>
    <row r="533" spans="6:10" x14ac:dyDescent="0.25">
      <c r="F533" s="4">
        <f t="shared" si="35"/>
        <v>52.910000000000487</v>
      </c>
      <c r="G533" s="4">
        <f>cubspline(3,F533,Data!$B$36:$B$56,Data!$A$36:$A$56)</f>
        <v>0</v>
      </c>
      <c r="H533" s="4">
        <f t="shared" si="36"/>
        <v>1E-10</v>
      </c>
      <c r="I533" s="4">
        <f t="shared" si="33"/>
        <v>52.910000000000487</v>
      </c>
      <c r="J533" s="2">
        <f t="shared" si="34"/>
        <v>52.910000000000487</v>
      </c>
    </row>
    <row r="534" spans="6:10" x14ac:dyDescent="0.25">
      <c r="F534" s="4">
        <f t="shared" si="35"/>
        <v>53.010000000000488</v>
      </c>
      <c r="G534" s="4">
        <f>cubspline(3,F534,Data!$B$36:$B$56,Data!$A$36:$A$56)</f>
        <v>0</v>
      </c>
      <c r="H534" s="4">
        <f t="shared" si="36"/>
        <v>1E-10</v>
      </c>
      <c r="I534" s="4">
        <f t="shared" si="33"/>
        <v>53.010000000000488</v>
      </c>
      <c r="J534" s="2">
        <f t="shared" si="34"/>
        <v>53.010000000000488</v>
      </c>
    </row>
    <row r="535" spans="6:10" x14ac:dyDescent="0.25">
      <c r="F535" s="4">
        <f t="shared" si="35"/>
        <v>53.11000000000049</v>
      </c>
      <c r="G535" s="4">
        <f>cubspline(3,F535,Data!$B$36:$B$56,Data!$A$36:$A$56)</f>
        <v>0</v>
      </c>
      <c r="H535" s="4">
        <f t="shared" si="36"/>
        <v>1E-10</v>
      </c>
      <c r="I535" s="4">
        <f t="shared" si="33"/>
        <v>53.11000000000049</v>
      </c>
      <c r="J535" s="2">
        <f t="shared" si="34"/>
        <v>53.11000000000049</v>
      </c>
    </row>
    <row r="536" spans="6:10" x14ac:dyDescent="0.25">
      <c r="F536" s="4">
        <f t="shared" si="35"/>
        <v>53.210000000000491</v>
      </c>
      <c r="G536" s="4">
        <f>cubspline(3,F536,Data!$B$36:$B$56,Data!$A$36:$A$56)</f>
        <v>0</v>
      </c>
      <c r="H536" s="4">
        <f t="shared" si="36"/>
        <v>1E-10</v>
      </c>
      <c r="I536" s="4">
        <f t="shared" si="33"/>
        <v>53.210000000000491</v>
      </c>
      <c r="J536" s="2">
        <f t="shared" si="34"/>
        <v>53.210000000000491</v>
      </c>
    </row>
    <row r="537" spans="6:10" x14ac:dyDescent="0.25">
      <c r="F537" s="4">
        <f t="shared" si="35"/>
        <v>53.310000000000493</v>
      </c>
      <c r="G537" s="4">
        <f>cubspline(3,F537,Data!$B$36:$B$56,Data!$A$36:$A$56)</f>
        <v>0</v>
      </c>
      <c r="H537" s="4">
        <f t="shared" si="36"/>
        <v>1E-10</v>
      </c>
      <c r="I537" s="4">
        <f t="shared" si="33"/>
        <v>53.310000000000493</v>
      </c>
      <c r="J537" s="2">
        <f t="shared" si="34"/>
        <v>53.310000000000493</v>
      </c>
    </row>
    <row r="538" spans="6:10" x14ac:dyDescent="0.25">
      <c r="F538" s="4">
        <f t="shared" si="35"/>
        <v>53.410000000000494</v>
      </c>
      <c r="G538" s="4">
        <f>cubspline(3,F538,Data!$B$36:$B$56,Data!$A$36:$A$56)</f>
        <v>0</v>
      </c>
      <c r="H538" s="4">
        <f t="shared" si="36"/>
        <v>1E-10</v>
      </c>
      <c r="I538" s="4">
        <f t="shared" si="33"/>
        <v>53.410000000000494</v>
      </c>
      <c r="J538" s="2">
        <f t="shared" si="34"/>
        <v>53.410000000000494</v>
      </c>
    </row>
    <row r="539" spans="6:10" x14ac:dyDescent="0.25">
      <c r="F539" s="4">
        <f t="shared" si="35"/>
        <v>53.510000000000495</v>
      </c>
      <c r="G539" s="4">
        <f>cubspline(3,F539,Data!$B$36:$B$56,Data!$A$36:$A$56)</f>
        <v>0</v>
      </c>
      <c r="H539" s="4">
        <f t="shared" si="36"/>
        <v>1E-10</v>
      </c>
      <c r="I539" s="4">
        <f t="shared" si="33"/>
        <v>53.510000000000495</v>
      </c>
      <c r="J539" s="2">
        <f t="shared" si="34"/>
        <v>53.510000000000495</v>
      </c>
    </row>
    <row r="540" spans="6:10" x14ac:dyDescent="0.25">
      <c r="F540" s="4">
        <f t="shared" si="35"/>
        <v>53.610000000000497</v>
      </c>
      <c r="G540" s="4">
        <f>cubspline(3,F540,Data!$B$36:$B$56,Data!$A$36:$A$56)</f>
        <v>0</v>
      </c>
      <c r="H540" s="4">
        <f t="shared" si="36"/>
        <v>1E-10</v>
      </c>
      <c r="I540" s="4">
        <f t="shared" si="33"/>
        <v>53.610000000000497</v>
      </c>
      <c r="J540" s="2">
        <f t="shared" si="34"/>
        <v>53.610000000000497</v>
      </c>
    </row>
    <row r="541" spans="6:10" x14ac:dyDescent="0.25">
      <c r="F541" s="4">
        <f t="shared" si="35"/>
        <v>53.710000000000498</v>
      </c>
      <c r="G541" s="4">
        <f>cubspline(3,F541,Data!$B$36:$B$56,Data!$A$36:$A$56)</f>
        <v>0</v>
      </c>
      <c r="H541" s="4">
        <f t="shared" si="36"/>
        <v>1E-10</v>
      </c>
      <c r="I541" s="4">
        <f t="shared" si="33"/>
        <v>53.710000000000498</v>
      </c>
      <c r="J541" s="2">
        <f t="shared" si="34"/>
        <v>53.710000000000498</v>
      </c>
    </row>
    <row r="542" spans="6:10" x14ac:dyDescent="0.25">
      <c r="F542" s="4">
        <f t="shared" si="35"/>
        <v>53.8100000000005</v>
      </c>
      <c r="G542" s="4">
        <f>cubspline(3,F542,Data!$B$36:$B$56,Data!$A$36:$A$56)</f>
        <v>0</v>
      </c>
      <c r="H542" s="4">
        <f t="shared" si="36"/>
        <v>1E-10</v>
      </c>
      <c r="I542" s="4">
        <f t="shared" si="33"/>
        <v>53.8100000000005</v>
      </c>
      <c r="J542" s="2">
        <f t="shared" si="34"/>
        <v>53.8100000000005</v>
      </c>
    </row>
    <row r="543" spans="6:10" x14ac:dyDescent="0.25">
      <c r="F543" s="4">
        <f t="shared" si="35"/>
        <v>53.910000000000501</v>
      </c>
      <c r="G543" s="4">
        <f>cubspline(3,F543,Data!$B$36:$B$56,Data!$A$36:$A$56)</f>
        <v>0</v>
      </c>
      <c r="H543" s="4">
        <f t="shared" si="36"/>
        <v>1E-10</v>
      </c>
      <c r="I543" s="4">
        <f t="shared" si="33"/>
        <v>53.910000000000501</v>
      </c>
      <c r="J543" s="2">
        <f t="shared" si="34"/>
        <v>53.910000000000501</v>
      </c>
    </row>
    <row r="544" spans="6:10" x14ac:dyDescent="0.25">
      <c r="F544" s="4">
        <f t="shared" si="35"/>
        <v>54.010000000000502</v>
      </c>
      <c r="G544" s="4">
        <f>cubspline(3,F544,Data!$B$36:$B$56,Data!$A$36:$A$56)</f>
        <v>0</v>
      </c>
      <c r="H544" s="4">
        <f t="shared" si="36"/>
        <v>1E-10</v>
      </c>
      <c r="I544" s="4">
        <f t="shared" si="33"/>
        <v>54.010000000000502</v>
      </c>
      <c r="J544" s="2">
        <f t="shared" si="34"/>
        <v>54.010000000000502</v>
      </c>
    </row>
    <row r="545" spans="6:10" x14ac:dyDescent="0.25">
      <c r="F545" s="4">
        <f t="shared" si="35"/>
        <v>54.110000000000504</v>
      </c>
      <c r="G545" s="4">
        <f>cubspline(3,F545,Data!$B$36:$B$56,Data!$A$36:$A$56)</f>
        <v>0</v>
      </c>
      <c r="H545" s="4">
        <f t="shared" si="36"/>
        <v>1E-10</v>
      </c>
      <c r="I545" s="4">
        <f t="shared" si="33"/>
        <v>54.110000000000504</v>
      </c>
      <c r="J545" s="2">
        <f t="shared" si="34"/>
        <v>54.110000000000504</v>
      </c>
    </row>
    <row r="546" spans="6:10" x14ac:dyDescent="0.25">
      <c r="F546" s="4">
        <f t="shared" si="35"/>
        <v>54.210000000000505</v>
      </c>
      <c r="G546" s="4">
        <f>cubspline(3,F546,Data!$B$36:$B$56,Data!$A$36:$A$56)</f>
        <v>0</v>
      </c>
      <c r="H546" s="4">
        <f t="shared" si="36"/>
        <v>1E-10</v>
      </c>
      <c r="I546" s="4">
        <f t="shared" si="33"/>
        <v>54.210000000000505</v>
      </c>
      <c r="J546" s="2">
        <f t="shared" si="34"/>
        <v>54.210000000000505</v>
      </c>
    </row>
    <row r="547" spans="6:10" x14ac:dyDescent="0.25">
      <c r="F547" s="4">
        <f t="shared" si="35"/>
        <v>54.310000000000507</v>
      </c>
      <c r="G547" s="4">
        <f>cubspline(3,F547,Data!$B$36:$B$56,Data!$A$36:$A$56)</f>
        <v>0</v>
      </c>
      <c r="H547" s="4">
        <f t="shared" si="36"/>
        <v>1E-10</v>
      </c>
      <c r="I547" s="4">
        <f t="shared" si="33"/>
        <v>54.310000000000507</v>
      </c>
      <c r="J547" s="2">
        <f t="shared" si="34"/>
        <v>54.310000000000507</v>
      </c>
    </row>
    <row r="548" spans="6:10" x14ac:dyDescent="0.25">
      <c r="F548" s="4">
        <f t="shared" si="35"/>
        <v>54.410000000000508</v>
      </c>
      <c r="G548" s="4">
        <f>cubspline(3,F548,Data!$B$36:$B$56,Data!$A$36:$A$56)</f>
        <v>0</v>
      </c>
      <c r="H548" s="4">
        <f t="shared" si="36"/>
        <v>1E-10</v>
      </c>
      <c r="I548" s="4">
        <f t="shared" si="33"/>
        <v>54.410000000000508</v>
      </c>
      <c r="J548" s="2">
        <f t="shared" si="34"/>
        <v>54.410000000000508</v>
      </c>
    </row>
    <row r="549" spans="6:10" x14ac:dyDescent="0.25">
      <c r="F549" s="4">
        <f t="shared" si="35"/>
        <v>54.51000000000051</v>
      </c>
      <c r="G549" s="4">
        <f>cubspline(3,F549,Data!$B$36:$B$56,Data!$A$36:$A$56)</f>
        <v>0</v>
      </c>
      <c r="H549" s="4">
        <f t="shared" si="36"/>
        <v>1E-10</v>
      </c>
      <c r="I549" s="4">
        <f t="shared" si="33"/>
        <v>54.51000000000051</v>
      </c>
      <c r="J549" s="2">
        <f t="shared" si="34"/>
        <v>54.51000000000051</v>
      </c>
    </row>
    <row r="550" spans="6:10" x14ac:dyDescent="0.25">
      <c r="F550" s="4">
        <f t="shared" si="35"/>
        <v>54.610000000000511</v>
      </c>
      <c r="G550" s="4">
        <f>cubspline(3,F550,Data!$B$36:$B$56,Data!$A$36:$A$56)</f>
        <v>0</v>
      </c>
      <c r="H550" s="4">
        <f t="shared" si="36"/>
        <v>1E-10</v>
      </c>
      <c r="I550" s="4">
        <f t="shared" si="33"/>
        <v>54.610000000000511</v>
      </c>
      <c r="J550" s="2">
        <f t="shared" si="34"/>
        <v>54.610000000000511</v>
      </c>
    </row>
    <row r="551" spans="6:10" x14ac:dyDescent="0.25">
      <c r="F551" s="4">
        <f t="shared" si="35"/>
        <v>54.710000000000512</v>
      </c>
      <c r="G551" s="4">
        <f>cubspline(3,F551,Data!$B$36:$B$56,Data!$A$36:$A$56)</f>
        <v>0</v>
      </c>
      <c r="H551" s="4">
        <f t="shared" si="36"/>
        <v>1E-10</v>
      </c>
      <c r="I551" s="4">
        <f t="shared" si="33"/>
        <v>54.710000000000512</v>
      </c>
      <c r="J551" s="2">
        <f t="shared" si="34"/>
        <v>54.710000000000512</v>
      </c>
    </row>
    <row r="552" spans="6:10" x14ac:dyDescent="0.25">
      <c r="F552" s="4">
        <f t="shared" si="35"/>
        <v>54.810000000000514</v>
      </c>
      <c r="G552" s="4">
        <f>cubspline(3,F552,Data!$B$36:$B$56,Data!$A$36:$A$56)</f>
        <v>0</v>
      </c>
      <c r="H552" s="4">
        <f t="shared" si="36"/>
        <v>1E-10</v>
      </c>
      <c r="I552" s="4">
        <f t="shared" si="33"/>
        <v>54.810000000000514</v>
      </c>
      <c r="J552" s="2">
        <f t="shared" si="34"/>
        <v>54.810000000000514</v>
      </c>
    </row>
    <row r="553" spans="6:10" x14ac:dyDescent="0.25">
      <c r="F553" s="4">
        <f t="shared" si="35"/>
        <v>54.910000000000515</v>
      </c>
      <c r="G553" s="4">
        <f>cubspline(3,F553,Data!$B$36:$B$56,Data!$A$36:$A$56)</f>
        <v>0</v>
      </c>
      <c r="H553" s="4">
        <f t="shared" si="36"/>
        <v>1E-10</v>
      </c>
      <c r="I553" s="4">
        <f t="shared" si="33"/>
        <v>54.910000000000515</v>
      </c>
      <c r="J553" s="2">
        <f t="shared" si="34"/>
        <v>54.910000000000515</v>
      </c>
    </row>
    <row r="554" spans="6:10" x14ac:dyDescent="0.25">
      <c r="F554" s="4">
        <f t="shared" si="35"/>
        <v>55.010000000000517</v>
      </c>
      <c r="G554" s="4">
        <f>cubspline(3,F554,Data!$B$36:$B$56,Data!$A$36:$A$56)</f>
        <v>0</v>
      </c>
      <c r="H554" s="4">
        <f t="shared" si="36"/>
        <v>1E-10</v>
      </c>
      <c r="I554" s="4">
        <f t="shared" si="33"/>
        <v>55.010000000000517</v>
      </c>
      <c r="J554" s="2">
        <f t="shared" si="34"/>
        <v>55.010000000000517</v>
      </c>
    </row>
    <row r="555" spans="6:10" x14ac:dyDescent="0.25">
      <c r="F555" s="4">
        <f t="shared" si="35"/>
        <v>55.110000000000518</v>
      </c>
      <c r="G555" s="4">
        <f>cubspline(3,F555,Data!$B$36:$B$56,Data!$A$36:$A$56)</f>
        <v>0</v>
      </c>
      <c r="H555" s="4">
        <f t="shared" si="36"/>
        <v>1E-10</v>
      </c>
      <c r="I555" s="4">
        <f t="shared" si="33"/>
        <v>55.110000000000518</v>
      </c>
      <c r="J555" s="2">
        <f t="shared" si="34"/>
        <v>55.110000000000518</v>
      </c>
    </row>
    <row r="556" spans="6:10" x14ac:dyDescent="0.25">
      <c r="F556" s="4">
        <f t="shared" si="35"/>
        <v>55.21000000000052</v>
      </c>
      <c r="G556" s="4">
        <f>cubspline(3,F556,Data!$B$36:$B$56,Data!$A$36:$A$56)</f>
        <v>0</v>
      </c>
      <c r="H556" s="4">
        <f t="shared" si="36"/>
        <v>1E-10</v>
      </c>
      <c r="I556" s="4">
        <f t="shared" si="33"/>
        <v>55.21000000000052</v>
      </c>
      <c r="J556" s="2">
        <f t="shared" si="34"/>
        <v>55.21000000000052</v>
      </c>
    </row>
    <row r="557" spans="6:10" x14ac:dyDescent="0.25">
      <c r="F557" s="4">
        <f t="shared" si="35"/>
        <v>55.310000000000521</v>
      </c>
      <c r="G557" s="4">
        <f>cubspline(3,F557,Data!$B$36:$B$56,Data!$A$36:$A$56)</f>
        <v>0</v>
      </c>
      <c r="H557" s="4">
        <f t="shared" si="36"/>
        <v>1E-10</v>
      </c>
      <c r="I557" s="4">
        <f t="shared" si="33"/>
        <v>55.310000000000521</v>
      </c>
      <c r="J557" s="2">
        <f t="shared" si="34"/>
        <v>55.310000000000521</v>
      </c>
    </row>
    <row r="558" spans="6:10" x14ac:dyDescent="0.25">
      <c r="F558" s="4">
        <f t="shared" si="35"/>
        <v>55.410000000000522</v>
      </c>
      <c r="G558" s="4">
        <f>cubspline(3,F558,Data!$B$36:$B$56,Data!$A$36:$A$56)</f>
        <v>0</v>
      </c>
      <c r="H558" s="4">
        <f t="shared" si="36"/>
        <v>1E-10</v>
      </c>
      <c r="I558" s="4">
        <f t="shared" si="33"/>
        <v>55.410000000000522</v>
      </c>
      <c r="J558" s="2">
        <f t="shared" si="34"/>
        <v>55.410000000000522</v>
      </c>
    </row>
    <row r="559" spans="6:10" x14ac:dyDescent="0.25">
      <c r="F559" s="4">
        <f t="shared" si="35"/>
        <v>55.510000000000524</v>
      </c>
      <c r="G559" s="4">
        <f>cubspline(3,F559,Data!$B$36:$B$56,Data!$A$36:$A$56)</f>
        <v>0</v>
      </c>
      <c r="H559" s="4">
        <f t="shared" si="36"/>
        <v>1E-10</v>
      </c>
      <c r="I559" s="4">
        <f t="shared" si="33"/>
        <v>55.510000000000524</v>
      </c>
      <c r="J559" s="2">
        <f t="shared" si="34"/>
        <v>55.510000000000524</v>
      </c>
    </row>
    <row r="560" spans="6:10" x14ac:dyDescent="0.25">
      <c r="F560" s="4">
        <f t="shared" si="35"/>
        <v>55.610000000000525</v>
      </c>
      <c r="G560" s="4">
        <f>cubspline(3,F560,Data!$B$36:$B$56,Data!$A$36:$A$56)</f>
        <v>0</v>
      </c>
      <c r="H560" s="4">
        <f t="shared" si="36"/>
        <v>1E-10</v>
      </c>
      <c r="I560" s="4">
        <f t="shared" si="33"/>
        <v>55.610000000000525</v>
      </c>
      <c r="J560" s="2">
        <f t="shared" si="34"/>
        <v>55.610000000000525</v>
      </c>
    </row>
    <row r="561" spans="6:10" x14ac:dyDescent="0.25">
      <c r="F561" s="4">
        <f t="shared" si="35"/>
        <v>55.710000000000527</v>
      </c>
      <c r="G561" s="4">
        <f>cubspline(3,F561,Data!$B$36:$B$56,Data!$A$36:$A$56)</f>
        <v>0</v>
      </c>
      <c r="H561" s="4">
        <f t="shared" si="36"/>
        <v>1E-10</v>
      </c>
      <c r="I561" s="4">
        <f t="shared" si="33"/>
        <v>55.710000000000527</v>
      </c>
      <c r="J561" s="2">
        <f t="shared" si="34"/>
        <v>55.710000000000527</v>
      </c>
    </row>
    <row r="562" spans="6:10" x14ac:dyDescent="0.25">
      <c r="F562" s="4">
        <f t="shared" si="35"/>
        <v>55.810000000000528</v>
      </c>
      <c r="G562" s="4">
        <f>cubspline(3,F562,Data!$B$36:$B$56,Data!$A$36:$A$56)</f>
        <v>0</v>
      </c>
      <c r="H562" s="4">
        <f t="shared" si="36"/>
        <v>1E-10</v>
      </c>
      <c r="I562" s="4">
        <f t="shared" si="33"/>
        <v>55.810000000000528</v>
      </c>
      <c r="J562" s="2">
        <f t="shared" si="34"/>
        <v>55.810000000000528</v>
      </c>
    </row>
    <row r="563" spans="6:10" x14ac:dyDescent="0.25">
      <c r="F563" s="4">
        <f t="shared" si="35"/>
        <v>55.910000000000529</v>
      </c>
      <c r="G563" s="4">
        <f>cubspline(3,F563,Data!$B$36:$B$56,Data!$A$36:$A$56)</f>
        <v>0</v>
      </c>
      <c r="H563" s="4">
        <f t="shared" si="36"/>
        <v>1E-10</v>
      </c>
      <c r="I563" s="4">
        <f t="shared" si="33"/>
        <v>55.910000000000529</v>
      </c>
      <c r="J563" s="2">
        <f t="shared" si="34"/>
        <v>55.910000000000529</v>
      </c>
    </row>
    <row r="564" spans="6:10" x14ac:dyDescent="0.25">
      <c r="F564" s="4">
        <f t="shared" si="35"/>
        <v>56.010000000000531</v>
      </c>
      <c r="G564" s="4">
        <f>cubspline(3,F564,Data!$B$36:$B$56,Data!$A$36:$A$56)</f>
        <v>0</v>
      </c>
      <c r="H564" s="4">
        <f t="shared" si="36"/>
        <v>1E-10</v>
      </c>
      <c r="I564" s="4">
        <f t="shared" si="33"/>
        <v>56.010000000000531</v>
      </c>
      <c r="J564" s="2">
        <f t="shared" si="34"/>
        <v>56.010000000000531</v>
      </c>
    </row>
    <row r="565" spans="6:10" x14ac:dyDescent="0.25">
      <c r="F565" s="4">
        <f t="shared" si="35"/>
        <v>56.110000000000532</v>
      </c>
      <c r="G565" s="4">
        <f>cubspline(3,F565,Data!$B$36:$B$56,Data!$A$36:$A$56)</f>
        <v>0</v>
      </c>
      <c r="H565" s="4">
        <f t="shared" si="36"/>
        <v>1E-10</v>
      </c>
      <c r="I565" s="4">
        <f t="shared" si="33"/>
        <v>56.110000000000532</v>
      </c>
      <c r="J565" s="2">
        <f t="shared" si="34"/>
        <v>56.110000000000532</v>
      </c>
    </row>
    <row r="566" spans="6:10" x14ac:dyDescent="0.25">
      <c r="F566" s="4">
        <f t="shared" si="35"/>
        <v>56.210000000000534</v>
      </c>
      <c r="G566" s="4">
        <f>cubspline(3,F566,Data!$B$36:$B$56,Data!$A$36:$A$56)</f>
        <v>0</v>
      </c>
      <c r="H566" s="4">
        <f t="shared" si="36"/>
        <v>1E-10</v>
      </c>
      <c r="I566" s="4">
        <f t="shared" si="33"/>
        <v>56.210000000000534</v>
      </c>
      <c r="J566" s="2">
        <f t="shared" si="34"/>
        <v>56.210000000000534</v>
      </c>
    </row>
    <row r="567" spans="6:10" x14ac:dyDescent="0.25">
      <c r="F567" s="4">
        <f t="shared" si="35"/>
        <v>56.310000000000535</v>
      </c>
      <c r="G567" s="4">
        <f>cubspline(3,F567,Data!$B$36:$B$56,Data!$A$36:$A$56)</f>
        <v>0</v>
      </c>
      <c r="H567" s="4">
        <f t="shared" si="36"/>
        <v>1E-10</v>
      </c>
      <c r="I567" s="4">
        <f t="shared" si="33"/>
        <v>56.310000000000535</v>
      </c>
      <c r="J567" s="2">
        <f t="shared" si="34"/>
        <v>56.310000000000535</v>
      </c>
    </row>
    <row r="568" spans="6:10" x14ac:dyDescent="0.25">
      <c r="F568" s="4">
        <f t="shared" si="35"/>
        <v>56.410000000000537</v>
      </c>
      <c r="G568" s="4">
        <f>cubspline(3,F568,Data!$B$36:$B$56,Data!$A$36:$A$56)</f>
        <v>0</v>
      </c>
      <c r="H568" s="4">
        <f t="shared" si="36"/>
        <v>1E-10</v>
      </c>
      <c r="I568" s="4">
        <f t="shared" si="33"/>
        <v>56.410000000000537</v>
      </c>
      <c r="J568" s="2">
        <f t="shared" si="34"/>
        <v>56.410000000000537</v>
      </c>
    </row>
    <row r="569" spans="6:10" x14ac:dyDescent="0.25">
      <c r="F569" s="4">
        <f t="shared" si="35"/>
        <v>56.510000000000538</v>
      </c>
      <c r="G569" s="4">
        <f>cubspline(3,F569,Data!$B$36:$B$56,Data!$A$36:$A$56)</f>
        <v>0</v>
      </c>
      <c r="H569" s="4">
        <f t="shared" si="36"/>
        <v>1E-10</v>
      </c>
      <c r="I569" s="4">
        <f t="shared" si="33"/>
        <v>56.510000000000538</v>
      </c>
      <c r="J569" s="2">
        <f t="shared" si="34"/>
        <v>56.510000000000538</v>
      </c>
    </row>
    <row r="570" spans="6:10" x14ac:dyDescent="0.25">
      <c r="F570" s="4">
        <f t="shared" si="35"/>
        <v>56.610000000000539</v>
      </c>
      <c r="G570" s="4">
        <f>cubspline(3,F570,Data!$B$36:$B$56,Data!$A$36:$A$56)</f>
        <v>0</v>
      </c>
      <c r="H570" s="4">
        <f t="shared" si="36"/>
        <v>1E-10</v>
      </c>
      <c r="I570" s="4">
        <f t="shared" si="33"/>
        <v>56.610000000000539</v>
      </c>
      <c r="J570" s="2">
        <f t="shared" si="34"/>
        <v>56.610000000000539</v>
      </c>
    </row>
    <row r="571" spans="6:10" x14ac:dyDescent="0.25">
      <c r="F571" s="4">
        <f t="shared" si="35"/>
        <v>56.710000000000541</v>
      </c>
      <c r="G571" s="4">
        <f>cubspline(3,F571,Data!$B$36:$B$56,Data!$A$36:$A$56)</f>
        <v>0</v>
      </c>
      <c r="H571" s="4">
        <f t="shared" si="36"/>
        <v>1E-10</v>
      </c>
      <c r="I571" s="4">
        <f t="shared" si="33"/>
        <v>56.710000000000541</v>
      </c>
      <c r="J571" s="2">
        <f t="shared" si="34"/>
        <v>56.710000000000541</v>
      </c>
    </row>
    <row r="572" spans="6:10" x14ac:dyDescent="0.25">
      <c r="F572" s="4">
        <f t="shared" si="35"/>
        <v>56.810000000000542</v>
      </c>
      <c r="G572" s="4">
        <f>cubspline(3,F572,Data!$B$36:$B$56,Data!$A$36:$A$56)</f>
        <v>0</v>
      </c>
      <c r="H572" s="4">
        <f t="shared" si="36"/>
        <v>1E-10</v>
      </c>
      <c r="I572" s="4">
        <f t="shared" si="33"/>
        <v>56.810000000000542</v>
      </c>
      <c r="J572" s="2">
        <f t="shared" si="34"/>
        <v>56.810000000000542</v>
      </c>
    </row>
    <row r="573" spans="6:10" x14ac:dyDescent="0.25">
      <c r="F573" s="4">
        <f t="shared" si="35"/>
        <v>56.910000000000544</v>
      </c>
      <c r="G573" s="4">
        <f>cubspline(3,F573,Data!$B$36:$B$56,Data!$A$36:$A$56)</f>
        <v>0</v>
      </c>
      <c r="H573" s="4">
        <f t="shared" si="36"/>
        <v>1E-10</v>
      </c>
      <c r="I573" s="4">
        <f t="shared" si="33"/>
        <v>56.910000000000544</v>
      </c>
      <c r="J573" s="2">
        <f t="shared" si="34"/>
        <v>56.910000000000544</v>
      </c>
    </row>
    <row r="574" spans="6:10" x14ac:dyDescent="0.25">
      <c r="F574" s="4">
        <f t="shared" si="35"/>
        <v>57.010000000000545</v>
      </c>
      <c r="G574" s="4">
        <f>cubspline(3,F574,Data!$B$36:$B$56,Data!$A$36:$A$56)</f>
        <v>0</v>
      </c>
      <c r="H574" s="4">
        <f t="shared" si="36"/>
        <v>1E-10</v>
      </c>
      <c r="I574" s="4">
        <f t="shared" si="33"/>
        <v>57.010000000000545</v>
      </c>
      <c r="J574" s="2">
        <f t="shared" si="34"/>
        <v>57.010000000000545</v>
      </c>
    </row>
    <row r="575" spans="6:10" x14ac:dyDescent="0.25">
      <c r="F575" s="4">
        <f t="shared" si="35"/>
        <v>57.110000000000547</v>
      </c>
      <c r="G575" s="4">
        <f>cubspline(3,F575,Data!$B$36:$B$56,Data!$A$36:$A$56)</f>
        <v>0</v>
      </c>
      <c r="H575" s="4">
        <f t="shared" si="36"/>
        <v>1E-10</v>
      </c>
      <c r="I575" s="4">
        <f t="shared" si="33"/>
        <v>57.110000000000547</v>
      </c>
      <c r="J575" s="2">
        <f t="shared" si="34"/>
        <v>57.110000000000547</v>
      </c>
    </row>
    <row r="576" spans="6:10" x14ac:dyDescent="0.25">
      <c r="F576" s="4">
        <f t="shared" si="35"/>
        <v>57.210000000000548</v>
      </c>
      <c r="G576" s="4">
        <f>cubspline(3,F576,Data!$B$36:$B$56,Data!$A$36:$A$56)</f>
        <v>0</v>
      </c>
      <c r="H576" s="4">
        <f t="shared" si="36"/>
        <v>1E-10</v>
      </c>
      <c r="I576" s="4">
        <f t="shared" si="33"/>
        <v>57.210000000000548</v>
      </c>
      <c r="J576" s="2">
        <f t="shared" si="34"/>
        <v>57.210000000000548</v>
      </c>
    </row>
    <row r="577" spans="6:10" x14ac:dyDescent="0.25">
      <c r="F577" s="4">
        <f t="shared" si="35"/>
        <v>57.310000000000549</v>
      </c>
      <c r="G577" s="4">
        <f>cubspline(3,F577,Data!$B$36:$B$56,Data!$A$36:$A$56)</f>
        <v>0</v>
      </c>
      <c r="H577" s="4">
        <f t="shared" si="36"/>
        <v>1E-10</v>
      </c>
      <c r="I577" s="4">
        <f t="shared" si="33"/>
        <v>57.310000000000549</v>
      </c>
      <c r="J577" s="2">
        <f t="shared" si="34"/>
        <v>57.310000000000549</v>
      </c>
    </row>
    <row r="578" spans="6:10" x14ac:dyDescent="0.25">
      <c r="F578" s="4">
        <f t="shared" si="35"/>
        <v>57.410000000000551</v>
      </c>
      <c r="G578" s="4">
        <f>cubspline(3,F578,Data!$B$36:$B$56,Data!$A$36:$A$56)</f>
        <v>0</v>
      </c>
      <c r="H578" s="4">
        <f t="shared" si="36"/>
        <v>1E-10</v>
      </c>
      <c r="I578" s="4">
        <f t="shared" si="33"/>
        <v>57.410000000000551</v>
      </c>
      <c r="J578" s="2">
        <f t="shared" si="34"/>
        <v>57.410000000000551</v>
      </c>
    </row>
    <row r="579" spans="6:10" x14ac:dyDescent="0.25">
      <c r="F579" s="4">
        <f t="shared" si="35"/>
        <v>57.510000000000552</v>
      </c>
      <c r="G579" s="4">
        <f>cubspline(3,F579,Data!$B$36:$B$56,Data!$A$36:$A$56)</f>
        <v>0</v>
      </c>
      <c r="H579" s="4">
        <f t="shared" si="36"/>
        <v>1E-10</v>
      </c>
      <c r="I579" s="4">
        <f t="shared" si="33"/>
        <v>57.510000000000552</v>
      </c>
      <c r="J579" s="2">
        <f t="shared" si="34"/>
        <v>57.510000000000552</v>
      </c>
    </row>
    <row r="580" spans="6:10" x14ac:dyDescent="0.25">
      <c r="F580" s="4">
        <f t="shared" si="35"/>
        <v>57.610000000000554</v>
      </c>
      <c r="G580" s="4">
        <f>cubspline(3,F580,Data!$B$36:$B$56,Data!$A$36:$A$56)</f>
        <v>0</v>
      </c>
      <c r="H580" s="4">
        <f t="shared" si="36"/>
        <v>1E-10</v>
      </c>
      <c r="I580" s="4">
        <f t="shared" si="33"/>
        <v>57.610000000000554</v>
      </c>
      <c r="J580" s="2">
        <f t="shared" si="34"/>
        <v>57.610000000000554</v>
      </c>
    </row>
    <row r="581" spans="6:10" x14ac:dyDescent="0.25">
      <c r="F581" s="4">
        <f t="shared" si="35"/>
        <v>57.710000000000555</v>
      </c>
      <c r="G581" s="4">
        <f>cubspline(3,F581,Data!$B$36:$B$56,Data!$A$36:$A$56)</f>
        <v>0</v>
      </c>
      <c r="H581" s="4">
        <f t="shared" si="36"/>
        <v>1E-10</v>
      </c>
      <c r="I581" s="4">
        <f t="shared" ref="I581:I644" si="37">IF(F581&gt;$D$47,F581,NA())</f>
        <v>57.710000000000555</v>
      </c>
      <c r="J581" s="2">
        <f t="shared" ref="J581:J644" si="38">IF(F581&gt;=$D$47,F581,($D$47-(0.3*($D$47-F581))))</f>
        <v>57.710000000000555</v>
      </c>
    </row>
    <row r="582" spans="6:10" x14ac:dyDescent="0.25">
      <c r="F582" s="4">
        <f t="shared" ref="F582:F645" si="39">F581+0.1</f>
        <v>57.810000000000556</v>
      </c>
      <c r="G582" s="4">
        <f>cubspline(3,F582,Data!$B$36:$B$56,Data!$A$36:$A$56)</f>
        <v>0</v>
      </c>
      <c r="H582" s="4">
        <f t="shared" ref="H582:H645" si="40">IF(G582&lt;=0,0.0000000001,G582)</f>
        <v>1E-10</v>
      </c>
      <c r="I582" s="4">
        <f t="shared" si="37"/>
        <v>57.810000000000556</v>
      </c>
      <c r="J582" s="2">
        <f t="shared" si="38"/>
        <v>57.810000000000556</v>
      </c>
    </row>
    <row r="583" spans="6:10" x14ac:dyDescent="0.25">
      <c r="F583" s="4">
        <f t="shared" si="39"/>
        <v>57.910000000000558</v>
      </c>
      <c r="G583" s="4">
        <f>cubspline(3,F583,Data!$B$36:$B$56,Data!$A$36:$A$56)</f>
        <v>0</v>
      </c>
      <c r="H583" s="4">
        <f t="shared" si="40"/>
        <v>1E-10</v>
      </c>
      <c r="I583" s="4">
        <f t="shared" si="37"/>
        <v>57.910000000000558</v>
      </c>
      <c r="J583" s="2">
        <f t="shared" si="38"/>
        <v>57.910000000000558</v>
      </c>
    </row>
    <row r="584" spans="6:10" x14ac:dyDescent="0.25">
      <c r="F584" s="4">
        <f t="shared" si="39"/>
        <v>58.010000000000559</v>
      </c>
      <c r="G584" s="4">
        <f>cubspline(3,F584,Data!$B$36:$B$56,Data!$A$36:$A$56)</f>
        <v>0</v>
      </c>
      <c r="H584" s="4">
        <f t="shared" si="40"/>
        <v>1E-10</v>
      </c>
      <c r="I584" s="4">
        <f t="shared" si="37"/>
        <v>58.010000000000559</v>
      </c>
      <c r="J584" s="2">
        <f t="shared" si="38"/>
        <v>58.010000000000559</v>
      </c>
    </row>
    <row r="585" spans="6:10" x14ac:dyDescent="0.25">
      <c r="F585" s="4">
        <f t="shared" si="39"/>
        <v>58.110000000000561</v>
      </c>
      <c r="G585" s="4">
        <f>cubspline(3,F585,Data!$B$36:$B$56,Data!$A$36:$A$56)</f>
        <v>0</v>
      </c>
      <c r="H585" s="4">
        <f t="shared" si="40"/>
        <v>1E-10</v>
      </c>
      <c r="I585" s="4">
        <f t="shared" si="37"/>
        <v>58.110000000000561</v>
      </c>
      <c r="J585" s="2">
        <f t="shared" si="38"/>
        <v>58.110000000000561</v>
      </c>
    </row>
    <row r="586" spans="6:10" x14ac:dyDescent="0.25">
      <c r="F586" s="4">
        <f t="shared" si="39"/>
        <v>58.210000000000562</v>
      </c>
      <c r="G586" s="4">
        <f>cubspline(3,F586,Data!$B$36:$B$56,Data!$A$36:$A$56)</f>
        <v>0</v>
      </c>
      <c r="H586" s="4">
        <f t="shared" si="40"/>
        <v>1E-10</v>
      </c>
      <c r="I586" s="4">
        <f t="shared" si="37"/>
        <v>58.210000000000562</v>
      </c>
      <c r="J586" s="2">
        <f t="shared" si="38"/>
        <v>58.210000000000562</v>
      </c>
    </row>
    <row r="587" spans="6:10" x14ac:dyDescent="0.25">
      <c r="F587" s="4">
        <f t="shared" si="39"/>
        <v>58.310000000000564</v>
      </c>
      <c r="G587" s="4">
        <f>cubspline(3,F587,Data!$B$36:$B$56,Data!$A$36:$A$56)</f>
        <v>0</v>
      </c>
      <c r="H587" s="4">
        <f t="shared" si="40"/>
        <v>1E-10</v>
      </c>
      <c r="I587" s="4">
        <f t="shared" si="37"/>
        <v>58.310000000000564</v>
      </c>
      <c r="J587" s="2">
        <f t="shared" si="38"/>
        <v>58.310000000000564</v>
      </c>
    </row>
    <row r="588" spans="6:10" x14ac:dyDescent="0.25">
      <c r="F588" s="4">
        <f t="shared" si="39"/>
        <v>58.410000000000565</v>
      </c>
      <c r="G588" s="4">
        <f>cubspline(3,F588,Data!$B$36:$B$56,Data!$A$36:$A$56)</f>
        <v>0</v>
      </c>
      <c r="H588" s="4">
        <f t="shared" si="40"/>
        <v>1E-10</v>
      </c>
      <c r="I588" s="4">
        <f t="shared" si="37"/>
        <v>58.410000000000565</v>
      </c>
      <c r="J588" s="2">
        <f t="shared" si="38"/>
        <v>58.410000000000565</v>
      </c>
    </row>
    <row r="589" spans="6:10" x14ac:dyDescent="0.25">
      <c r="F589" s="4">
        <f t="shared" si="39"/>
        <v>58.510000000000566</v>
      </c>
      <c r="G589" s="4">
        <f>cubspline(3,F589,Data!$B$36:$B$56,Data!$A$36:$A$56)</f>
        <v>0</v>
      </c>
      <c r="H589" s="4">
        <f t="shared" si="40"/>
        <v>1E-10</v>
      </c>
      <c r="I589" s="4">
        <f t="shared" si="37"/>
        <v>58.510000000000566</v>
      </c>
      <c r="J589" s="2">
        <f t="shared" si="38"/>
        <v>58.510000000000566</v>
      </c>
    </row>
    <row r="590" spans="6:10" x14ac:dyDescent="0.25">
      <c r="F590" s="4">
        <f t="shared" si="39"/>
        <v>58.610000000000568</v>
      </c>
      <c r="G590" s="4">
        <f>cubspline(3,F590,Data!$B$36:$B$56,Data!$A$36:$A$56)</f>
        <v>0</v>
      </c>
      <c r="H590" s="4">
        <f t="shared" si="40"/>
        <v>1E-10</v>
      </c>
      <c r="I590" s="4">
        <f t="shared" si="37"/>
        <v>58.610000000000568</v>
      </c>
      <c r="J590" s="2">
        <f t="shared" si="38"/>
        <v>58.610000000000568</v>
      </c>
    </row>
    <row r="591" spans="6:10" x14ac:dyDescent="0.25">
      <c r="F591" s="4">
        <f t="shared" si="39"/>
        <v>58.710000000000569</v>
      </c>
      <c r="G591" s="4">
        <f>cubspline(3,F591,Data!$B$36:$B$56,Data!$A$36:$A$56)</f>
        <v>0</v>
      </c>
      <c r="H591" s="4">
        <f t="shared" si="40"/>
        <v>1E-10</v>
      </c>
      <c r="I591" s="4">
        <f t="shared" si="37"/>
        <v>58.710000000000569</v>
      </c>
      <c r="J591" s="2">
        <f t="shared" si="38"/>
        <v>58.710000000000569</v>
      </c>
    </row>
    <row r="592" spans="6:10" x14ac:dyDescent="0.25">
      <c r="F592" s="4">
        <f t="shared" si="39"/>
        <v>58.810000000000571</v>
      </c>
      <c r="G592" s="4">
        <f>cubspline(3,F592,Data!$B$36:$B$56,Data!$A$36:$A$56)</f>
        <v>0</v>
      </c>
      <c r="H592" s="4">
        <f t="shared" si="40"/>
        <v>1E-10</v>
      </c>
      <c r="I592" s="4">
        <f t="shared" si="37"/>
        <v>58.810000000000571</v>
      </c>
      <c r="J592" s="2">
        <f t="shared" si="38"/>
        <v>58.810000000000571</v>
      </c>
    </row>
    <row r="593" spans="6:10" x14ac:dyDescent="0.25">
      <c r="F593" s="4">
        <f t="shared" si="39"/>
        <v>58.910000000000572</v>
      </c>
      <c r="G593" s="4">
        <f>cubspline(3,F593,Data!$B$36:$B$56,Data!$A$36:$A$56)</f>
        <v>0</v>
      </c>
      <c r="H593" s="4">
        <f t="shared" si="40"/>
        <v>1E-10</v>
      </c>
      <c r="I593" s="4">
        <f t="shared" si="37"/>
        <v>58.910000000000572</v>
      </c>
      <c r="J593" s="2">
        <f t="shared" si="38"/>
        <v>58.910000000000572</v>
      </c>
    </row>
    <row r="594" spans="6:10" x14ac:dyDescent="0.25">
      <c r="F594" s="4">
        <f t="shared" si="39"/>
        <v>59.010000000000574</v>
      </c>
      <c r="G594" s="4">
        <f>cubspline(3,F594,Data!$B$36:$B$56,Data!$A$36:$A$56)</f>
        <v>0</v>
      </c>
      <c r="H594" s="4">
        <f t="shared" si="40"/>
        <v>1E-10</v>
      </c>
      <c r="I594" s="4">
        <f t="shared" si="37"/>
        <v>59.010000000000574</v>
      </c>
      <c r="J594" s="2">
        <f t="shared" si="38"/>
        <v>59.010000000000574</v>
      </c>
    </row>
    <row r="595" spans="6:10" x14ac:dyDescent="0.25">
      <c r="F595" s="4">
        <f t="shared" si="39"/>
        <v>59.110000000000575</v>
      </c>
      <c r="G595" s="4">
        <f>cubspline(3,F595,Data!$B$36:$B$56,Data!$A$36:$A$56)</f>
        <v>0</v>
      </c>
      <c r="H595" s="4">
        <f t="shared" si="40"/>
        <v>1E-10</v>
      </c>
      <c r="I595" s="4">
        <f t="shared" si="37"/>
        <v>59.110000000000575</v>
      </c>
      <c r="J595" s="2">
        <f t="shared" si="38"/>
        <v>59.110000000000575</v>
      </c>
    </row>
    <row r="596" spans="6:10" x14ac:dyDescent="0.25">
      <c r="F596" s="4">
        <f t="shared" si="39"/>
        <v>59.210000000000576</v>
      </c>
      <c r="G596" s="4">
        <f>cubspline(3,F596,Data!$B$36:$B$56,Data!$A$36:$A$56)</f>
        <v>0</v>
      </c>
      <c r="H596" s="4">
        <f t="shared" si="40"/>
        <v>1E-10</v>
      </c>
      <c r="I596" s="4">
        <f t="shared" si="37"/>
        <v>59.210000000000576</v>
      </c>
      <c r="J596" s="2">
        <f t="shared" si="38"/>
        <v>59.210000000000576</v>
      </c>
    </row>
    <row r="597" spans="6:10" x14ac:dyDescent="0.25">
      <c r="F597" s="4">
        <f t="shared" si="39"/>
        <v>59.310000000000578</v>
      </c>
      <c r="G597" s="4">
        <f>cubspline(3,F597,Data!$B$36:$B$56,Data!$A$36:$A$56)</f>
        <v>0</v>
      </c>
      <c r="H597" s="4">
        <f t="shared" si="40"/>
        <v>1E-10</v>
      </c>
      <c r="I597" s="4">
        <f t="shared" si="37"/>
        <v>59.310000000000578</v>
      </c>
      <c r="J597" s="2">
        <f t="shared" si="38"/>
        <v>59.310000000000578</v>
      </c>
    </row>
    <row r="598" spans="6:10" x14ac:dyDescent="0.25">
      <c r="F598" s="4">
        <f t="shared" si="39"/>
        <v>59.410000000000579</v>
      </c>
      <c r="G598" s="4">
        <f>cubspline(3,F598,Data!$B$36:$B$56,Data!$A$36:$A$56)</f>
        <v>0</v>
      </c>
      <c r="H598" s="4">
        <f t="shared" si="40"/>
        <v>1E-10</v>
      </c>
      <c r="I598" s="4">
        <f t="shared" si="37"/>
        <v>59.410000000000579</v>
      </c>
      <c r="J598" s="2">
        <f t="shared" si="38"/>
        <v>59.410000000000579</v>
      </c>
    </row>
    <row r="599" spans="6:10" x14ac:dyDescent="0.25">
      <c r="F599" s="4">
        <f t="shared" si="39"/>
        <v>59.510000000000581</v>
      </c>
      <c r="G599" s="4">
        <f>cubspline(3,F599,Data!$B$36:$B$56,Data!$A$36:$A$56)</f>
        <v>0</v>
      </c>
      <c r="H599" s="4">
        <f t="shared" si="40"/>
        <v>1E-10</v>
      </c>
      <c r="I599" s="4">
        <f t="shared" si="37"/>
        <v>59.510000000000581</v>
      </c>
      <c r="J599" s="2">
        <f t="shared" si="38"/>
        <v>59.510000000000581</v>
      </c>
    </row>
    <row r="600" spans="6:10" x14ac:dyDescent="0.25">
      <c r="F600" s="4">
        <f t="shared" si="39"/>
        <v>59.610000000000582</v>
      </c>
      <c r="G600" s="4">
        <f>cubspline(3,F600,Data!$B$36:$B$56,Data!$A$36:$A$56)</f>
        <v>0</v>
      </c>
      <c r="H600" s="4">
        <f t="shared" si="40"/>
        <v>1E-10</v>
      </c>
      <c r="I600" s="4">
        <f t="shared" si="37"/>
        <v>59.610000000000582</v>
      </c>
      <c r="J600" s="2">
        <f t="shared" si="38"/>
        <v>59.610000000000582</v>
      </c>
    </row>
    <row r="601" spans="6:10" x14ac:dyDescent="0.25">
      <c r="F601" s="4">
        <f t="shared" si="39"/>
        <v>59.710000000000583</v>
      </c>
      <c r="G601" s="4">
        <f>cubspline(3,F601,Data!$B$36:$B$56,Data!$A$36:$A$56)</f>
        <v>0</v>
      </c>
      <c r="H601" s="4">
        <f t="shared" si="40"/>
        <v>1E-10</v>
      </c>
      <c r="I601" s="4">
        <f t="shared" si="37"/>
        <v>59.710000000000583</v>
      </c>
      <c r="J601" s="2">
        <f t="shared" si="38"/>
        <v>59.710000000000583</v>
      </c>
    </row>
    <row r="602" spans="6:10" x14ac:dyDescent="0.25">
      <c r="F602" s="4">
        <f t="shared" si="39"/>
        <v>59.810000000000585</v>
      </c>
      <c r="G602" s="4">
        <f>cubspline(3,F602,Data!$B$36:$B$56,Data!$A$36:$A$56)</f>
        <v>0</v>
      </c>
      <c r="H602" s="4">
        <f t="shared" si="40"/>
        <v>1E-10</v>
      </c>
      <c r="I602" s="4">
        <f t="shared" si="37"/>
        <v>59.810000000000585</v>
      </c>
      <c r="J602" s="2">
        <f t="shared" si="38"/>
        <v>59.810000000000585</v>
      </c>
    </row>
    <row r="603" spans="6:10" x14ac:dyDescent="0.25">
      <c r="F603" s="4">
        <f t="shared" si="39"/>
        <v>59.910000000000586</v>
      </c>
      <c r="G603" s="4">
        <f>cubspline(3,F603,Data!$B$36:$B$56,Data!$A$36:$A$56)</f>
        <v>0</v>
      </c>
      <c r="H603" s="4">
        <f t="shared" si="40"/>
        <v>1E-10</v>
      </c>
      <c r="I603" s="4">
        <f t="shared" si="37"/>
        <v>59.910000000000586</v>
      </c>
      <c r="J603" s="2">
        <f t="shared" si="38"/>
        <v>59.910000000000586</v>
      </c>
    </row>
    <row r="604" spans="6:10" x14ac:dyDescent="0.25">
      <c r="F604" s="4">
        <f t="shared" si="39"/>
        <v>60.010000000000588</v>
      </c>
      <c r="G604" s="4">
        <f>cubspline(3,F604,Data!$B$36:$B$56,Data!$A$36:$A$56)</f>
        <v>0</v>
      </c>
      <c r="H604" s="4">
        <f t="shared" si="40"/>
        <v>1E-10</v>
      </c>
      <c r="I604" s="4">
        <f t="shared" si="37"/>
        <v>60.010000000000588</v>
      </c>
      <c r="J604" s="2">
        <f t="shared" si="38"/>
        <v>60.010000000000588</v>
      </c>
    </row>
    <row r="605" spans="6:10" x14ac:dyDescent="0.25">
      <c r="F605" s="4">
        <f t="shared" si="39"/>
        <v>60.110000000000589</v>
      </c>
      <c r="G605" s="4">
        <f>cubspline(3,F605,Data!$B$36:$B$56,Data!$A$36:$A$56)</f>
        <v>0</v>
      </c>
      <c r="H605" s="4">
        <f t="shared" si="40"/>
        <v>1E-10</v>
      </c>
      <c r="I605" s="4">
        <f t="shared" si="37"/>
        <v>60.110000000000589</v>
      </c>
      <c r="J605" s="2">
        <f t="shared" si="38"/>
        <v>60.110000000000589</v>
      </c>
    </row>
    <row r="606" spans="6:10" x14ac:dyDescent="0.25">
      <c r="F606" s="4">
        <f t="shared" si="39"/>
        <v>60.210000000000591</v>
      </c>
      <c r="G606" s="4">
        <f>cubspline(3,F606,Data!$B$36:$B$56,Data!$A$36:$A$56)</f>
        <v>0</v>
      </c>
      <c r="H606" s="4">
        <f t="shared" si="40"/>
        <v>1E-10</v>
      </c>
      <c r="I606" s="4">
        <f t="shared" si="37"/>
        <v>60.210000000000591</v>
      </c>
      <c r="J606" s="2">
        <f t="shared" si="38"/>
        <v>60.210000000000591</v>
      </c>
    </row>
    <row r="607" spans="6:10" x14ac:dyDescent="0.25">
      <c r="F607" s="4">
        <f t="shared" si="39"/>
        <v>60.310000000000592</v>
      </c>
      <c r="G607" s="4">
        <f>cubspline(3,F607,Data!$B$36:$B$56,Data!$A$36:$A$56)</f>
        <v>0</v>
      </c>
      <c r="H607" s="4">
        <f t="shared" si="40"/>
        <v>1E-10</v>
      </c>
      <c r="I607" s="4">
        <f t="shared" si="37"/>
        <v>60.310000000000592</v>
      </c>
      <c r="J607" s="2">
        <f t="shared" si="38"/>
        <v>60.310000000000592</v>
      </c>
    </row>
    <row r="608" spans="6:10" x14ac:dyDescent="0.25">
      <c r="F608" s="4">
        <f t="shared" si="39"/>
        <v>60.410000000000593</v>
      </c>
      <c r="G608" s="4">
        <f>cubspline(3,F608,Data!$B$36:$B$56,Data!$A$36:$A$56)</f>
        <v>0</v>
      </c>
      <c r="H608" s="4">
        <f t="shared" si="40"/>
        <v>1E-10</v>
      </c>
      <c r="I608" s="4">
        <f t="shared" si="37"/>
        <v>60.410000000000593</v>
      </c>
      <c r="J608" s="2">
        <f t="shared" si="38"/>
        <v>60.410000000000593</v>
      </c>
    </row>
    <row r="609" spans="6:10" x14ac:dyDescent="0.25">
      <c r="F609" s="4">
        <f t="shared" si="39"/>
        <v>60.510000000000595</v>
      </c>
      <c r="G609" s="4">
        <f>cubspline(3,F609,Data!$B$36:$B$56,Data!$A$36:$A$56)</f>
        <v>0</v>
      </c>
      <c r="H609" s="4">
        <f t="shared" si="40"/>
        <v>1E-10</v>
      </c>
      <c r="I609" s="4">
        <f t="shared" si="37"/>
        <v>60.510000000000595</v>
      </c>
      <c r="J609" s="2">
        <f t="shared" si="38"/>
        <v>60.510000000000595</v>
      </c>
    </row>
    <row r="610" spans="6:10" x14ac:dyDescent="0.25">
      <c r="F610" s="4">
        <f t="shared" si="39"/>
        <v>60.610000000000596</v>
      </c>
      <c r="G610" s="4">
        <f>cubspline(3,F610,Data!$B$36:$B$56,Data!$A$36:$A$56)</f>
        <v>0</v>
      </c>
      <c r="H610" s="4">
        <f t="shared" si="40"/>
        <v>1E-10</v>
      </c>
      <c r="I610" s="4">
        <f t="shared" si="37"/>
        <v>60.610000000000596</v>
      </c>
      <c r="J610" s="2">
        <f t="shared" si="38"/>
        <v>60.610000000000596</v>
      </c>
    </row>
    <row r="611" spans="6:10" x14ac:dyDescent="0.25">
      <c r="F611" s="4">
        <f t="shared" si="39"/>
        <v>60.710000000000598</v>
      </c>
      <c r="G611" s="4">
        <f>cubspline(3,F611,Data!$B$36:$B$56,Data!$A$36:$A$56)</f>
        <v>0</v>
      </c>
      <c r="H611" s="4">
        <f t="shared" si="40"/>
        <v>1E-10</v>
      </c>
      <c r="I611" s="4">
        <f t="shared" si="37"/>
        <v>60.710000000000598</v>
      </c>
      <c r="J611" s="2">
        <f t="shared" si="38"/>
        <v>60.710000000000598</v>
      </c>
    </row>
    <row r="612" spans="6:10" x14ac:dyDescent="0.25">
      <c r="F612" s="4">
        <f t="shared" si="39"/>
        <v>60.810000000000599</v>
      </c>
      <c r="G612" s="4">
        <f>cubspline(3,F612,Data!$B$36:$B$56,Data!$A$36:$A$56)</f>
        <v>0</v>
      </c>
      <c r="H612" s="4">
        <f t="shared" si="40"/>
        <v>1E-10</v>
      </c>
      <c r="I612" s="4">
        <f t="shared" si="37"/>
        <v>60.810000000000599</v>
      </c>
      <c r="J612" s="2">
        <f t="shared" si="38"/>
        <v>60.810000000000599</v>
      </c>
    </row>
    <row r="613" spans="6:10" x14ac:dyDescent="0.25">
      <c r="F613" s="4">
        <f t="shared" si="39"/>
        <v>60.910000000000601</v>
      </c>
      <c r="G613" s="4">
        <f>cubspline(3,F613,Data!$B$36:$B$56,Data!$A$36:$A$56)</f>
        <v>0</v>
      </c>
      <c r="H613" s="4">
        <f t="shared" si="40"/>
        <v>1E-10</v>
      </c>
      <c r="I613" s="4">
        <f t="shared" si="37"/>
        <v>60.910000000000601</v>
      </c>
      <c r="J613" s="2">
        <f t="shared" si="38"/>
        <v>60.910000000000601</v>
      </c>
    </row>
    <row r="614" spans="6:10" x14ac:dyDescent="0.25">
      <c r="F614" s="4">
        <f t="shared" si="39"/>
        <v>61.010000000000602</v>
      </c>
      <c r="G614" s="4">
        <f>cubspline(3,F614,Data!$B$36:$B$56,Data!$A$36:$A$56)</f>
        <v>0</v>
      </c>
      <c r="H614" s="4">
        <f t="shared" si="40"/>
        <v>1E-10</v>
      </c>
      <c r="I614" s="4">
        <f t="shared" si="37"/>
        <v>61.010000000000602</v>
      </c>
      <c r="J614" s="2">
        <f t="shared" si="38"/>
        <v>61.010000000000602</v>
      </c>
    </row>
    <row r="615" spans="6:10" x14ac:dyDescent="0.25">
      <c r="F615" s="4">
        <f t="shared" si="39"/>
        <v>61.110000000000603</v>
      </c>
      <c r="G615" s="4">
        <f>cubspline(3,F615,Data!$B$36:$B$56,Data!$A$36:$A$56)</f>
        <v>0</v>
      </c>
      <c r="H615" s="4">
        <f t="shared" si="40"/>
        <v>1E-10</v>
      </c>
      <c r="I615" s="4">
        <f t="shared" si="37"/>
        <v>61.110000000000603</v>
      </c>
      <c r="J615" s="2">
        <f t="shared" si="38"/>
        <v>61.110000000000603</v>
      </c>
    </row>
    <row r="616" spans="6:10" x14ac:dyDescent="0.25">
      <c r="F616" s="4">
        <f t="shared" si="39"/>
        <v>61.210000000000605</v>
      </c>
      <c r="G616" s="4">
        <f>cubspline(3,F616,Data!$B$36:$B$56,Data!$A$36:$A$56)</f>
        <v>0</v>
      </c>
      <c r="H616" s="4">
        <f t="shared" si="40"/>
        <v>1E-10</v>
      </c>
      <c r="I616" s="4">
        <f t="shared" si="37"/>
        <v>61.210000000000605</v>
      </c>
      <c r="J616" s="2">
        <f t="shared" si="38"/>
        <v>61.210000000000605</v>
      </c>
    </row>
    <row r="617" spans="6:10" x14ac:dyDescent="0.25">
      <c r="F617" s="4">
        <f t="shared" si="39"/>
        <v>61.310000000000606</v>
      </c>
      <c r="G617" s="4">
        <f>cubspline(3,F617,Data!$B$36:$B$56,Data!$A$36:$A$56)</f>
        <v>0</v>
      </c>
      <c r="H617" s="4">
        <f t="shared" si="40"/>
        <v>1E-10</v>
      </c>
      <c r="I617" s="4">
        <f t="shared" si="37"/>
        <v>61.310000000000606</v>
      </c>
      <c r="J617" s="2">
        <f t="shared" si="38"/>
        <v>61.310000000000606</v>
      </c>
    </row>
    <row r="618" spans="6:10" x14ac:dyDescent="0.25">
      <c r="F618" s="4">
        <f t="shared" si="39"/>
        <v>61.410000000000608</v>
      </c>
      <c r="G618" s="4">
        <f>cubspline(3,F618,Data!$B$36:$B$56,Data!$A$36:$A$56)</f>
        <v>0</v>
      </c>
      <c r="H618" s="4">
        <f t="shared" si="40"/>
        <v>1E-10</v>
      </c>
      <c r="I618" s="4">
        <f t="shared" si="37"/>
        <v>61.410000000000608</v>
      </c>
      <c r="J618" s="2">
        <f t="shared" si="38"/>
        <v>61.410000000000608</v>
      </c>
    </row>
    <row r="619" spans="6:10" x14ac:dyDescent="0.25">
      <c r="F619" s="4">
        <f t="shared" si="39"/>
        <v>61.510000000000609</v>
      </c>
      <c r="G619" s="4">
        <f>cubspline(3,F619,Data!$B$36:$B$56,Data!$A$36:$A$56)</f>
        <v>0</v>
      </c>
      <c r="H619" s="4">
        <f t="shared" si="40"/>
        <v>1E-10</v>
      </c>
      <c r="I619" s="4">
        <f t="shared" si="37"/>
        <v>61.510000000000609</v>
      </c>
      <c r="J619" s="2">
        <f t="shared" si="38"/>
        <v>61.510000000000609</v>
      </c>
    </row>
    <row r="620" spans="6:10" x14ac:dyDescent="0.25">
      <c r="F620" s="4">
        <f t="shared" si="39"/>
        <v>61.61000000000061</v>
      </c>
      <c r="G620" s="4">
        <f>cubspline(3,F620,Data!$B$36:$B$56,Data!$A$36:$A$56)</f>
        <v>0</v>
      </c>
      <c r="H620" s="4">
        <f t="shared" si="40"/>
        <v>1E-10</v>
      </c>
      <c r="I620" s="4">
        <f t="shared" si="37"/>
        <v>61.61000000000061</v>
      </c>
      <c r="J620" s="2">
        <f t="shared" si="38"/>
        <v>61.61000000000061</v>
      </c>
    </row>
    <row r="621" spans="6:10" x14ac:dyDescent="0.25">
      <c r="F621" s="4">
        <f t="shared" si="39"/>
        <v>61.710000000000612</v>
      </c>
      <c r="G621" s="4">
        <f>cubspline(3,F621,Data!$B$36:$B$56,Data!$A$36:$A$56)</f>
        <v>0</v>
      </c>
      <c r="H621" s="4">
        <f t="shared" si="40"/>
        <v>1E-10</v>
      </c>
      <c r="I621" s="4">
        <f t="shared" si="37"/>
        <v>61.710000000000612</v>
      </c>
      <c r="J621" s="2">
        <f t="shared" si="38"/>
        <v>61.710000000000612</v>
      </c>
    </row>
    <row r="622" spans="6:10" x14ac:dyDescent="0.25">
      <c r="F622" s="4">
        <f t="shared" si="39"/>
        <v>61.810000000000613</v>
      </c>
      <c r="G622" s="4">
        <f>cubspline(3,F622,Data!$B$36:$B$56,Data!$A$36:$A$56)</f>
        <v>0</v>
      </c>
      <c r="H622" s="4">
        <f t="shared" si="40"/>
        <v>1E-10</v>
      </c>
      <c r="I622" s="4">
        <f t="shared" si="37"/>
        <v>61.810000000000613</v>
      </c>
      <c r="J622" s="2">
        <f t="shared" si="38"/>
        <v>61.810000000000613</v>
      </c>
    </row>
    <row r="623" spans="6:10" x14ac:dyDescent="0.25">
      <c r="F623" s="4">
        <f t="shared" si="39"/>
        <v>61.910000000000615</v>
      </c>
      <c r="G623" s="4">
        <f>cubspline(3,F623,Data!$B$36:$B$56,Data!$A$36:$A$56)</f>
        <v>0</v>
      </c>
      <c r="H623" s="4">
        <f t="shared" si="40"/>
        <v>1E-10</v>
      </c>
      <c r="I623" s="4">
        <f t="shared" si="37"/>
        <v>61.910000000000615</v>
      </c>
      <c r="J623" s="2">
        <f t="shared" si="38"/>
        <v>61.910000000000615</v>
      </c>
    </row>
    <row r="624" spans="6:10" x14ac:dyDescent="0.25">
      <c r="F624" s="4">
        <f t="shared" si="39"/>
        <v>62.010000000000616</v>
      </c>
      <c r="G624" s="4">
        <f>cubspline(3,F624,Data!$B$36:$B$56,Data!$A$36:$A$56)</f>
        <v>0</v>
      </c>
      <c r="H624" s="4">
        <f t="shared" si="40"/>
        <v>1E-10</v>
      </c>
      <c r="I624" s="4">
        <f t="shared" si="37"/>
        <v>62.010000000000616</v>
      </c>
      <c r="J624" s="2">
        <f t="shared" si="38"/>
        <v>62.010000000000616</v>
      </c>
    </row>
    <row r="625" spans="6:10" x14ac:dyDescent="0.25">
      <c r="F625" s="4">
        <f t="shared" si="39"/>
        <v>62.110000000000618</v>
      </c>
      <c r="G625" s="4">
        <f>cubspline(3,F625,Data!$B$36:$B$56,Data!$A$36:$A$56)</f>
        <v>0</v>
      </c>
      <c r="H625" s="4">
        <f t="shared" si="40"/>
        <v>1E-10</v>
      </c>
      <c r="I625" s="4">
        <f t="shared" si="37"/>
        <v>62.110000000000618</v>
      </c>
      <c r="J625" s="2">
        <f t="shared" si="38"/>
        <v>62.110000000000618</v>
      </c>
    </row>
    <row r="626" spans="6:10" x14ac:dyDescent="0.25">
      <c r="F626" s="4">
        <f t="shared" si="39"/>
        <v>62.210000000000619</v>
      </c>
      <c r="G626" s="4">
        <f>cubspline(3,F626,Data!$B$36:$B$56,Data!$A$36:$A$56)</f>
        <v>0</v>
      </c>
      <c r="H626" s="4">
        <f t="shared" si="40"/>
        <v>1E-10</v>
      </c>
      <c r="I626" s="4">
        <f t="shared" si="37"/>
        <v>62.210000000000619</v>
      </c>
      <c r="J626" s="2">
        <f t="shared" si="38"/>
        <v>62.210000000000619</v>
      </c>
    </row>
    <row r="627" spans="6:10" x14ac:dyDescent="0.25">
      <c r="F627" s="4">
        <f t="shared" si="39"/>
        <v>62.31000000000062</v>
      </c>
      <c r="G627" s="4">
        <f>cubspline(3,F627,Data!$B$36:$B$56,Data!$A$36:$A$56)</f>
        <v>0</v>
      </c>
      <c r="H627" s="4">
        <f t="shared" si="40"/>
        <v>1E-10</v>
      </c>
      <c r="I627" s="4">
        <f t="shared" si="37"/>
        <v>62.31000000000062</v>
      </c>
      <c r="J627" s="2">
        <f t="shared" si="38"/>
        <v>62.31000000000062</v>
      </c>
    </row>
    <row r="628" spans="6:10" x14ac:dyDescent="0.25">
      <c r="F628" s="4">
        <f t="shared" si="39"/>
        <v>62.410000000000622</v>
      </c>
      <c r="G628" s="4">
        <f>cubspline(3,F628,Data!$B$36:$B$56,Data!$A$36:$A$56)</f>
        <v>0</v>
      </c>
      <c r="H628" s="4">
        <f t="shared" si="40"/>
        <v>1E-10</v>
      </c>
      <c r="I628" s="4">
        <f t="shared" si="37"/>
        <v>62.410000000000622</v>
      </c>
      <c r="J628" s="2">
        <f t="shared" si="38"/>
        <v>62.410000000000622</v>
      </c>
    </row>
    <row r="629" spans="6:10" x14ac:dyDescent="0.25">
      <c r="F629" s="4">
        <f t="shared" si="39"/>
        <v>62.510000000000623</v>
      </c>
      <c r="G629" s="4">
        <f>cubspline(3,F629,Data!$B$36:$B$56,Data!$A$36:$A$56)</f>
        <v>0</v>
      </c>
      <c r="H629" s="4">
        <f t="shared" si="40"/>
        <v>1E-10</v>
      </c>
      <c r="I629" s="4">
        <f t="shared" si="37"/>
        <v>62.510000000000623</v>
      </c>
      <c r="J629" s="2">
        <f t="shared" si="38"/>
        <v>62.510000000000623</v>
      </c>
    </row>
    <row r="630" spans="6:10" x14ac:dyDescent="0.25">
      <c r="F630" s="4">
        <f t="shared" si="39"/>
        <v>62.610000000000625</v>
      </c>
      <c r="G630" s="4">
        <f>cubspline(3,F630,Data!$B$36:$B$56,Data!$A$36:$A$56)</f>
        <v>0</v>
      </c>
      <c r="H630" s="4">
        <f t="shared" si="40"/>
        <v>1E-10</v>
      </c>
      <c r="I630" s="4">
        <f t="shared" si="37"/>
        <v>62.610000000000625</v>
      </c>
      <c r="J630" s="2">
        <f t="shared" si="38"/>
        <v>62.610000000000625</v>
      </c>
    </row>
    <row r="631" spans="6:10" x14ac:dyDescent="0.25">
      <c r="F631" s="4">
        <f t="shared" si="39"/>
        <v>62.710000000000626</v>
      </c>
      <c r="G631" s="4">
        <f>cubspline(3,F631,Data!$B$36:$B$56,Data!$A$36:$A$56)</f>
        <v>0</v>
      </c>
      <c r="H631" s="4">
        <f t="shared" si="40"/>
        <v>1E-10</v>
      </c>
      <c r="I631" s="4">
        <f t="shared" si="37"/>
        <v>62.710000000000626</v>
      </c>
      <c r="J631" s="2">
        <f t="shared" si="38"/>
        <v>62.710000000000626</v>
      </c>
    </row>
    <row r="632" spans="6:10" x14ac:dyDescent="0.25">
      <c r="F632" s="4">
        <f t="shared" si="39"/>
        <v>62.810000000000628</v>
      </c>
      <c r="G632" s="4">
        <f>cubspline(3,F632,Data!$B$36:$B$56,Data!$A$36:$A$56)</f>
        <v>0</v>
      </c>
      <c r="H632" s="4">
        <f t="shared" si="40"/>
        <v>1E-10</v>
      </c>
      <c r="I632" s="4">
        <f t="shared" si="37"/>
        <v>62.810000000000628</v>
      </c>
      <c r="J632" s="2">
        <f t="shared" si="38"/>
        <v>62.810000000000628</v>
      </c>
    </row>
    <row r="633" spans="6:10" x14ac:dyDescent="0.25">
      <c r="F633" s="4">
        <f t="shared" si="39"/>
        <v>62.910000000000629</v>
      </c>
      <c r="G633" s="4">
        <f>cubspline(3,F633,Data!$B$36:$B$56,Data!$A$36:$A$56)</f>
        <v>0</v>
      </c>
      <c r="H633" s="4">
        <f t="shared" si="40"/>
        <v>1E-10</v>
      </c>
      <c r="I633" s="4">
        <f t="shared" si="37"/>
        <v>62.910000000000629</v>
      </c>
      <c r="J633" s="2">
        <f t="shared" si="38"/>
        <v>62.910000000000629</v>
      </c>
    </row>
    <row r="634" spans="6:10" x14ac:dyDescent="0.25">
      <c r="F634" s="4">
        <f t="shared" si="39"/>
        <v>63.01000000000063</v>
      </c>
      <c r="G634" s="4">
        <f>cubspline(3,F634,Data!$B$36:$B$56,Data!$A$36:$A$56)</f>
        <v>0</v>
      </c>
      <c r="H634" s="4">
        <f t="shared" si="40"/>
        <v>1E-10</v>
      </c>
      <c r="I634" s="4">
        <f t="shared" si="37"/>
        <v>63.01000000000063</v>
      </c>
      <c r="J634" s="2">
        <f t="shared" si="38"/>
        <v>63.01000000000063</v>
      </c>
    </row>
    <row r="635" spans="6:10" x14ac:dyDescent="0.25">
      <c r="F635" s="4">
        <f t="shared" si="39"/>
        <v>63.110000000000632</v>
      </c>
      <c r="G635" s="4">
        <f>cubspline(3,F635,Data!$B$36:$B$56,Data!$A$36:$A$56)</f>
        <v>0</v>
      </c>
      <c r="H635" s="4">
        <f t="shared" si="40"/>
        <v>1E-10</v>
      </c>
      <c r="I635" s="4">
        <f t="shared" si="37"/>
        <v>63.110000000000632</v>
      </c>
      <c r="J635" s="2">
        <f t="shared" si="38"/>
        <v>63.110000000000632</v>
      </c>
    </row>
    <row r="636" spans="6:10" x14ac:dyDescent="0.25">
      <c r="F636" s="4">
        <f t="shared" si="39"/>
        <v>63.210000000000633</v>
      </c>
      <c r="G636" s="4">
        <f>cubspline(3,F636,Data!$B$36:$B$56,Data!$A$36:$A$56)</f>
        <v>0</v>
      </c>
      <c r="H636" s="4">
        <f t="shared" si="40"/>
        <v>1E-10</v>
      </c>
      <c r="I636" s="4">
        <f t="shared" si="37"/>
        <v>63.210000000000633</v>
      </c>
      <c r="J636" s="2">
        <f t="shared" si="38"/>
        <v>63.210000000000633</v>
      </c>
    </row>
    <row r="637" spans="6:10" x14ac:dyDescent="0.25">
      <c r="F637" s="4">
        <f t="shared" si="39"/>
        <v>63.310000000000635</v>
      </c>
      <c r="G637" s="4">
        <f>cubspline(3,F637,Data!$B$36:$B$56,Data!$A$36:$A$56)</f>
        <v>0</v>
      </c>
      <c r="H637" s="4">
        <f t="shared" si="40"/>
        <v>1E-10</v>
      </c>
      <c r="I637" s="4">
        <f t="shared" si="37"/>
        <v>63.310000000000635</v>
      </c>
      <c r="J637" s="2">
        <f t="shared" si="38"/>
        <v>63.310000000000635</v>
      </c>
    </row>
    <row r="638" spans="6:10" x14ac:dyDescent="0.25">
      <c r="F638" s="4">
        <f t="shared" si="39"/>
        <v>63.410000000000636</v>
      </c>
      <c r="G638" s="4">
        <f>cubspline(3,F638,Data!$B$36:$B$56,Data!$A$36:$A$56)</f>
        <v>0</v>
      </c>
      <c r="H638" s="4">
        <f t="shared" si="40"/>
        <v>1E-10</v>
      </c>
      <c r="I638" s="4">
        <f t="shared" si="37"/>
        <v>63.410000000000636</v>
      </c>
      <c r="J638" s="2">
        <f t="shared" si="38"/>
        <v>63.410000000000636</v>
      </c>
    </row>
    <row r="639" spans="6:10" x14ac:dyDescent="0.25">
      <c r="F639" s="4">
        <f t="shared" si="39"/>
        <v>63.510000000000637</v>
      </c>
      <c r="G639" s="4">
        <f>cubspline(3,F639,Data!$B$36:$B$56,Data!$A$36:$A$56)</f>
        <v>0</v>
      </c>
      <c r="H639" s="4">
        <f t="shared" si="40"/>
        <v>1E-10</v>
      </c>
      <c r="I639" s="4">
        <f t="shared" si="37"/>
        <v>63.510000000000637</v>
      </c>
      <c r="J639" s="2">
        <f t="shared" si="38"/>
        <v>63.510000000000637</v>
      </c>
    </row>
    <row r="640" spans="6:10" x14ac:dyDescent="0.25">
      <c r="F640" s="4">
        <f t="shared" si="39"/>
        <v>63.610000000000639</v>
      </c>
      <c r="G640" s="4">
        <f>cubspline(3,F640,Data!$B$36:$B$56,Data!$A$36:$A$56)</f>
        <v>0</v>
      </c>
      <c r="H640" s="4">
        <f t="shared" si="40"/>
        <v>1E-10</v>
      </c>
      <c r="I640" s="4">
        <f t="shared" si="37"/>
        <v>63.610000000000639</v>
      </c>
      <c r="J640" s="2">
        <f t="shared" si="38"/>
        <v>63.610000000000639</v>
      </c>
    </row>
    <row r="641" spans="6:10" x14ac:dyDescent="0.25">
      <c r="F641" s="4">
        <f t="shared" si="39"/>
        <v>63.71000000000064</v>
      </c>
      <c r="G641" s="4">
        <f>cubspline(3,F641,Data!$B$36:$B$56,Data!$A$36:$A$56)</f>
        <v>0</v>
      </c>
      <c r="H641" s="4">
        <f t="shared" si="40"/>
        <v>1E-10</v>
      </c>
      <c r="I641" s="4">
        <f t="shared" si="37"/>
        <v>63.71000000000064</v>
      </c>
      <c r="J641" s="2">
        <f t="shared" si="38"/>
        <v>63.71000000000064</v>
      </c>
    </row>
    <row r="642" spans="6:10" x14ac:dyDescent="0.25">
      <c r="F642" s="4">
        <f t="shared" si="39"/>
        <v>63.810000000000642</v>
      </c>
      <c r="G642" s="4">
        <f>cubspline(3,F642,Data!$B$36:$B$56,Data!$A$36:$A$56)</f>
        <v>0</v>
      </c>
      <c r="H642" s="4">
        <f t="shared" si="40"/>
        <v>1E-10</v>
      </c>
      <c r="I642" s="4">
        <f t="shared" si="37"/>
        <v>63.810000000000642</v>
      </c>
      <c r="J642" s="2">
        <f t="shared" si="38"/>
        <v>63.810000000000642</v>
      </c>
    </row>
    <row r="643" spans="6:10" x14ac:dyDescent="0.25">
      <c r="F643" s="4">
        <f t="shared" si="39"/>
        <v>63.910000000000643</v>
      </c>
      <c r="G643" s="4">
        <f>cubspline(3,F643,Data!$B$36:$B$56,Data!$A$36:$A$56)</f>
        <v>0</v>
      </c>
      <c r="H643" s="4">
        <f t="shared" si="40"/>
        <v>1E-10</v>
      </c>
      <c r="I643" s="4">
        <f t="shared" si="37"/>
        <v>63.910000000000643</v>
      </c>
      <c r="J643" s="2">
        <f t="shared" si="38"/>
        <v>63.910000000000643</v>
      </c>
    </row>
    <row r="644" spans="6:10" x14ac:dyDescent="0.25">
      <c r="F644" s="4">
        <f t="shared" si="39"/>
        <v>64.010000000000645</v>
      </c>
      <c r="G644" s="4">
        <f>cubspline(3,F644,Data!$B$36:$B$56,Data!$A$36:$A$56)</f>
        <v>0</v>
      </c>
      <c r="H644" s="4">
        <f t="shared" si="40"/>
        <v>1E-10</v>
      </c>
      <c r="I644" s="4">
        <f t="shared" si="37"/>
        <v>64.010000000000645</v>
      </c>
      <c r="J644" s="2">
        <f t="shared" si="38"/>
        <v>64.010000000000645</v>
      </c>
    </row>
    <row r="645" spans="6:10" x14ac:dyDescent="0.25">
      <c r="F645" s="4">
        <f t="shared" si="39"/>
        <v>64.110000000000639</v>
      </c>
      <c r="G645" s="4">
        <f>cubspline(3,F645,Data!$B$36:$B$56,Data!$A$36:$A$56)</f>
        <v>0</v>
      </c>
      <c r="H645" s="4">
        <f t="shared" si="40"/>
        <v>1E-10</v>
      </c>
      <c r="I645" s="4">
        <f t="shared" ref="I645:I708" si="41">IF(F645&gt;$D$47,F645,NA())</f>
        <v>64.110000000000639</v>
      </c>
      <c r="J645" s="2">
        <f t="shared" ref="J645:J708" si="42">IF(F645&gt;=$D$47,F645,($D$47-(0.3*($D$47-F645))))</f>
        <v>64.110000000000639</v>
      </c>
    </row>
    <row r="646" spans="6:10" x14ac:dyDescent="0.25">
      <c r="F646" s="4">
        <f t="shared" ref="F646:F709" si="43">F645+0.1</f>
        <v>64.210000000000633</v>
      </c>
      <c r="G646" s="4">
        <f>cubspline(3,F646,Data!$B$36:$B$56,Data!$A$36:$A$56)</f>
        <v>0</v>
      </c>
      <c r="H646" s="4">
        <f t="shared" ref="H646:H709" si="44">IF(G646&lt;=0,0.0000000001,G646)</f>
        <v>1E-10</v>
      </c>
      <c r="I646" s="4">
        <f t="shared" si="41"/>
        <v>64.210000000000633</v>
      </c>
      <c r="J646" s="2">
        <f t="shared" si="42"/>
        <v>64.210000000000633</v>
      </c>
    </row>
    <row r="647" spans="6:10" x14ac:dyDescent="0.25">
      <c r="F647" s="4">
        <f t="shared" si="43"/>
        <v>64.310000000000628</v>
      </c>
      <c r="G647" s="4">
        <f>cubspline(3,F647,Data!$B$36:$B$56,Data!$A$36:$A$56)</f>
        <v>0</v>
      </c>
      <c r="H647" s="4">
        <f t="shared" si="44"/>
        <v>1E-10</v>
      </c>
      <c r="I647" s="4">
        <f t="shared" si="41"/>
        <v>64.310000000000628</v>
      </c>
      <c r="J647" s="2">
        <f t="shared" si="42"/>
        <v>64.310000000000628</v>
      </c>
    </row>
    <row r="648" spans="6:10" x14ac:dyDescent="0.25">
      <c r="F648" s="4">
        <f t="shared" si="43"/>
        <v>64.410000000000622</v>
      </c>
      <c r="G648" s="4">
        <f>cubspline(3,F648,Data!$B$36:$B$56,Data!$A$36:$A$56)</f>
        <v>0</v>
      </c>
      <c r="H648" s="4">
        <f t="shared" si="44"/>
        <v>1E-10</v>
      </c>
      <c r="I648" s="4">
        <f t="shared" si="41"/>
        <v>64.410000000000622</v>
      </c>
      <c r="J648" s="2">
        <f t="shared" si="42"/>
        <v>64.410000000000622</v>
      </c>
    </row>
    <row r="649" spans="6:10" x14ac:dyDescent="0.25">
      <c r="F649" s="4">
        <f t="shared" si="43"/>
        <v>64.510000000000616</v>
      </c>
      <c r="G649" s="4">
        <f>cubspline(3,F649,Data!$B$36:$B$56,Data!$A$36:$A$56)</f>
        <v>0</v>
      </c>
      <c r="H649" s="4">
        <f t="shared" si="44"/>
        <v>1E-10</v>
      </c>
      <c r="I649" s="4">
        <f t="shared" si="41"/>
        <v>64.510000000000616</v>
      </c>
      <c r="J649" s="2">
        <f t="shared" si="42"/>
        <v>64.510000000000616</v>
      </c>
    </row>
    <row r="650" spans="6:10" x14ac:dyDescent="0.25">
      <c r="F650" s="4">
        <f t="shared" si="43"/>
        <v>64.61000000000061</v>
      </c>
      <c r="G650" s="4">
        <f>cubspline(3,F650,Data!$B$36:$B$56,Data!$A$36:$A$56)</f>
        <v>0</v>
      </c>
      <c r="H650" s="4">
        <f t="shared" si="44"/>
        <v>1E-10</v>
      </c>
      <c r="I650" s="4">
        <f t="shared" si="41"/>
        <v>64.61000000000061</v>
      </c>
      <c r="J650" s="2">
        <f t="shared" si="42"/>
        <v>64.61000000000061</v>
      </c>
    </row>
    <row r="651" spans="6:10" x14ac:dyDescent="0.25">
      <c r="F651" s="4">
        <f t="shared" si="43"/>
        <v>64.710000000000605</v>
      </c>
      <c r="G651" s="4">
        <f>cubspline(3,F651,Data!$B$36:$B$56,Data!$A$36:$A$56)</f>
        <v>0</v>
      </c>
      <c r="H651" s="4">
        <f t="shared" si="44"/>
        <v>1E-10</v>
      </c>
      <c r="I651" s="4">
        <f t="shared" si="41"/>
        <v>64.710000000000605</v>
      </c>
      <c r="J651" s="2">
        <f t="shared" si="42"/>
        <v>64.710000000000605</v>
      </c>
    </row>
    <row r="652" spans="6:10" x14ac:dyDescent="0.25">
      <c r="F652" s="4">
        <f t="shared" si="43"/>
        <v>64.810000000000599</v>
      </c>
      <c r="G652" s="4">
        <f>cubspline(3,F652,Data!$B$36:$B$56,Data!$A$36:$A$56)</f>
        <v>0</v>
      </c>
      <c r="H652" s="4">
        <f t="shared" si="44"/>
        <v>1E-10</v>
      </c>
      <c r="I652" s="4">
        <f t="shared" si="41"/>
        <v>64.810000000000599</v>
      </c>
      <c r="J652" s="2">
        <f t="shared" si="42"/>
        <v>64.810000000000599</v>
      </c>
    </row>
    <row r="653" spans="6:10" x14ac:dyDescent="0.25">
      <c r="F653" s="4">
        <f t="shared" si="43"/>
        <v>64.910000000000593</v>
      </c>
      <c r="G653" s="4">
        <f>cubspline(3,F653,Data!$B$36:$B$56,Data!$A$36:$A$56)</f>
        <v>0</v>
      </c>
      <c r="H653" s="4">
        <f t="shared" si="44"/>
        <v>1E-10</v>
      </c>
      <c r="I653" s="4">
        <f t="shared" si="41"/>
        <v>64.910000000000593</v>
      </c>
      <c r="J653" s="2">
        <f t="shared" si="42"/>
        <v>64.910000000000593</v>
      </c>
    </row>
    <row r="654" spans="6:10" x14ac:dyDescent="0.25">
      <c r="F654" s="4">
        <f t="shared" si="43"/>
        <v>65.010000000000588</v>
      </c>
      <c r="G654" s="4">
        <f>cubspline(3,F654,Data!$B$36:$B$56,Data!$A$36:$A$56)</f>
        <v>0</v>
      </c>
      <c r="H654" s="4">
        <f t="shared" si="44"/>
        <v>1E-10</v>
      </c>
      <c r="I654" s="4">
        <f t="shared" si="41"/>
        <v>65.010000000000588</v>
      </c>
      <c r="J654" s="2">
        <f t="shared" si="42"/>
        <v>65.010000000000588</v>
      </c>
    </row>
    <row r="655" spans="6:10" x14ac:dyDescent="0.25">
      <c r="F655" s="4">
        <f t="shared" si="43"/>
        <v>65.110000000000582</v>
      </c>
      <c r="G655" s="4">
        <f>cubspline(3,F655,Data!$B$36:$B$56,Data!$A$36:$A$56)</f>
        <v>0</v>
      </c>
      <c r="H655" s="4">
        <f t="shared" si="44"/>
        <v>1E-10</v>
      </c>
      <c r="I655" s="4">
        <f t="shared" si="41"/>
        <v>65.110000000000582</v>
      </c>
      <c r="J655" s="2">
        <f t="shared" si="42"/>
        <v>65.110000000000582</v>
      </c>
    </row>
    <row r="656" spans="6:10" x14ac:dyDescent="0.25">
      <c r="F656" s="4">
        <f t="shared" si="43"/>
        <v>65.210000000000576</v>
      </c>
      <c r="G656" s="4">
        <f>cubspline(3,F656,Data!$B$36:$B$56,Data!$A$36:$A$56)</f>
        <v>0</v>
      </c>
      <c r="H656" s="4">
        <f t="shared" si="44"/>
        <v>1E-10</v>
      </c>
      <c r="I656" s="4">
        <f t="shared" si="41"/>
        <v>65.210000000000576</v>
      </c>
      <c r="J656" s="2">
        <f t="shared" si="42"/>
        <v>65.210000000000576</v>
      </c>
    </row>
    <row r="657" spans="6:10" x14ac:dyDescent="0.25">
      <c r="F657" s="4">
        <f t="shared" si="43"/>
        <v>65.310000000000571</v>
      </c>
      <c r="G657" s="4">
        <f>cubspline(3,F657,Data!$B$36:$B$56,Data!$A$36:$A$56)</f>
        <v>0</v>
      </c>
      <c r="H657" s="4">
        <f t="shared" si="44"/>
        <v>1E-10</v>
      </c>
      <c r="I657" s="4">
        <f t="shared" si="41"/>
        <v>65.310000000000571</v>
      </c>
      <c r="J657" s="2">
        <f t="shared" si="42"/>
        <v>65.310000000000571</v>
      </c>
    </row>
    <row r="658" spans="6:10" x14ac:dyDescent="0.25">
      <c r="F658" s="4">
        <f t="shared" si="43"/>
        <v>65.410000000000565</v>
      </c>
      <c r="G658" s="4">
        <f>cubspline(3,F658,Data!$B$36:$B$56,Data!$A$36:$A$56)</f>
        <v>0</v>
      </c>
      <c r="H658" s="4">
        <f t="shared" si="44"/>
        <v>1E-10</v>
      </c>
      <c r="I658" s="4">
        <f t="shared" si="41"/>
        <v>65.410000000000565</v>
      </c>
      <c r="J658" s="2">
        <f t="shared" si="42"/>
        <v>65.410000000000565</v>
      </c>
    </row>
    <row r="659" spans="6:10" x14ac:dyDescent="0.25">
      <c r="F659" s="4">
        <f t="shared" si="43"/>
        <v>65.510000000000559</v>
      </c>
      <c r="G659" s="4">
        <f>cubspline(3,F659,Data!$B$36:$B$56,Data!$A$36:$A$56)</f>
        <v>0</v>
      </c>
      <c r="H659" s="4">
        <f t="shared" si="44"/>
        <v>1E-10</v>
      </c>
      <c r="I659" s="4">
        <f t="shared" si="41"/>
        <v>65.510000000000559</v>
      </c>
      <c r="J659" s="2">
        <f t="shared" si="42"/>
        <v>65.510000000000559</v>
      </c>
    </row>
    <row r="660" spans="6:10" x14ac:dyDescent="0.25">
      <c r="F660" s="4">
        <f t="shared" si="43"/>
        <v>65.610000000000554</v>
      </c>
      <c r="G660" s="4">
        <f>cubspline(3,F660,Data!$B$36:$B$56,Data!$A$36:$A$56)</f>
        <v>0</v>
      </c>
      <c r="H660" s="4">
        <f t="shared" si="44"/>
        <v>1E-10</v>
      </c>
      <c r="I660" s="4">
        <f t="shared" si="41"/>
        <v>65.610000000000554</v>
      </c>
      <c r="J660" s="2">
        <f t="shared" si="42"/>
        <v>65.610000000000554</v>
      </c>
    </row>
    <row r="661" spans="6:10" x14ac:dyDescent="0.25">
      <c r="F661" s="4">
        <f t="shared" si="43"/>
        <v>65.710000000000548</v>
      </c>
      <c r="G661" s="4">
        <f>cubspline(3,F661,Data!$B$36:$B$56,Data!$A$36:$A$56)</f>
        <v>0</v>
      </c>
      <c r="H661" s="4">
        <f t="shared" si="44"/>
        <v>1E-10</v>
      </c>
      <c r="I661" s="4">
        <f t="shared" si="41"/>
        <v>65.710000000000548</v>
      </c>
      <c r="J661" s="2">
        <f t="shared" si="42"/>
        <v>65.710000000000548</v>
      </c>
    </row>
    <row r="662" spans="6:10" x14ac:dyDescent="0.25">
      <c r="F662" s="4">
        <f t="shared" si="43"/>
        <v>65.810000000000542</v>
      </c>
      <c r="G662" s="4">
        <f>cubspline(3,F662,Data!$B$36:$B$56,Data!$A$36:$A$56)</f>
        <v>0</v>
      </c>
      <c r="H662" s="4">
        <f t="shared" si="44"/>
        <v>1E-10</v>
      </c>
      <c r="I662" s="4">
        <f t="shared" si="41"/>
        <v>65.810000000000542</v>
      </c>
      <c r="J662" s="2">
        <f t="shared" si="42"/>
        <v>65.810000000000542</v>
      </c>
    </row>
    <row r="663" spans="6:10" x14ac:dyDescent="0.25">
      <c r="F663" s="4">
        <f t="shared" si="43"/>
        <v>65.910000000000537</v>
      </c>
      <c r="G663" s="4">
        <f>cubspline(3,F663,Data!$B$36:$B$56,Data!$A$36:$A$56)</f>
        <v>0</v>
      </c>
      <c r="H663" s="4">
        <f t="shared" si="44"/>
        <v>1E-10</v>
      </c>
      <c r="I663" s="4">
        <f t="shared" si="41"/>
        <v>65.910000000000537</v>
      </c>
      <c r="J663" s="2">
        <f t="shared" si="42"/>
        <v>65.910000000000537</v>
      </c>
    </row>
    <row r="664" spans="6:10" x14ac:dyDescent="0.25">
      <c r="F664" s="4">
        <f t="shared" si="43"/>
        <v>66.010000000000531</v>
      </c>
      <c r="G664" s="4">
        <f>cubspline(3,F664,Data!$B$36:$B$56,Data!$A$36:$A$56)</f>
        <v>0</v>
      </c>
      <c r="H664" s="4">
        <f t="shared" si="44"/>
        <v>1E-10</v>
      </c>
      <c r="I664" s="4">
        <f t="shared" si="41"/>
        <v>66.010000000000531</v>
      </c>
      <c r="J664" s="2">
        <f t="shared" si="42"/>
        <v>66.010000000000531</v>
      </c>
    </row>
    <row r="665" spans="6:10" x14ac:dyDescent="0.25">
      <c r="F665" s="4">
        <f t="shared" si="43"/>
        <v>66.110000000000525</v>
      </c>
      <c r="G665" s="4">
        <f>cubspline(3,F665,Data!$B$36:$B$56,Data!$A$36:$A$56)</f>
        <v>0</v>
      </c>
      <c r="H665" s="4">
        <f t="shared" si="44"/>
        <v>1E-10</v>
      </c>
      <c r="I665" s="4">
        <f t="shared" si="41"/>
        <v>66.110000000000525</v>
      </c>
      <c r="J665" s="2">
        <f t="shared" si="42"/>
        <v>66.110000000000525</v>
      </c>
    </row>
    <row r="666" spans="6:10" x14ac:dyDescent="0.25">
      <c r="F666" s="4">
        <f t="shared" si="43"/>
        <v>66.21000000000052</v>
      </c>
      <c r="G666" s="4">
        <f>cubspline(3,F666,Data!$B$36:$B$56,Data!$A$36:$A$56)</f>
        <v>0</v>
      </c>
      <c r="H666" s="4">
        <f t="shared" si="44"/>
        <v>1E-10</v>
      </c>
      <c r="I666" s="4">
        <f t="shared" si="41"/>
        <v>66.21000000000052</v>
      </c>
      <c r="J666" s="2">
        <f t="shared" si="42"/>
        <v>66.21000000000052</v>
      </c>
    </row>
    <row r="667" spans="6:10" x14ac:dyDescent="0.25">
      <c r="F667" s="4">
        <f t="shared" si="43"/>
        <v>66.310000000000514</v>
      </c>
      <c r="G667" s="4">
        <f>cubspline(3,F667,Data!$B$36:$B$56,Data!$A$36:$A$56)</f>
        <v>0</v>
      </c>
      <c r="H667" s="4">
        <f t="shared" si="44"/>
        <v>1E-10</v>
      </c>
      <c r="I667" s="4">
        <f t="shared" si="41"/>
        <v>66.310000000000514</v>
      </c>
      <c r="J667" s="2">
        <f t="shared" si="42"/>
        <v>66.310000000000514</v>
      </c>
    </row>
    <row r="668" spans="6:10" x14ac:dyDescent="0.25">
      <c r="F668" s="4">
        <f t="shared" si="43"/>
        <v>66.410000000000508</v>
      </c>
      <c r="G668" s="4">
        <f>cubspline(3,F668,Data!$B$36:$B$56,Data!$A$36:$A$56)</f>
        <v>0</v>
      </c>
      <c r="H668" s="4">
        <f t="shared" si="44"/>
        <v>1E-10</v>
      </c>
      <c r="I668" s="4">
        <f t="shared" si="41"/>
        <v>66.410000000000508</v>
      </c>
      <c r="J668" s="2">
        <f t="shared" si="42"/>
        <v>66.410000000000508</v>
      </c>
    </row>
    <row r="669" spans="6:10" x14ac:dyDescent="0.25">
      <c r="F669" s="4">
        <f t="shared" si="43"/>
        <v>66.510000000000502</v>
      </c>
      <c r="G669" s="4">
        <f>cubspline(3,F669,Data!$B$36:$B$56,Data!$A$36:$A$56)</f>
        <v>0</v>
      </c>
      <c r="H669" s="4">
        <f t="shared" si="44"/>
        <v>1E-10</v>
      </c>
      <c r="I669" s="4">
        <f t="shared" si="41"/>
        <v>66.510000000000502</v>
      </c>
      <c r="J669" s="2">
        <f t="shared" si="42"/>
        <v>66.510000000000502</v>
      </c>
    </row>
    <row r="670" spans="6:10" x14ac:dyDescent="0.25">
      <c r="F670" s="4">
        <f t="shared" si="43"/>
        <v>66.610000000000497</v>
      </c>
      <c r="G670" s="4">
        <f>cubspline(3,F670,Data!$B$36:$B$56,Data!$A$36:$A$56)</f>
        <v>0</v>
      </c>
      <c r="H670" s="4">
        <f t="shared" si="44"/>
        <v>1E-10</v>
      </c>
      <c r="I670" s="4">
        <f t="shared" si="41"/>
        <v>66.610000000000497</v>
      </c>
      <c r="J670" s="2">
        <f t="shared" si="42"/>
        <v>66.610000000000497</v>
      </c>
    </row>
    <row r="671" spans="6:10" x14ac:dyDescent="0.25">
      <c r="F671" s="4">
        <f t="shared" si="43"/>
        <v>66.710000000000491</v>
      </c>
      <c r="G671" s="4">
        <f>cubspline(3,F671,Data!$B$36:$B$56,Data!$A$36:$A$56)</f>
        <v>0</v>
      </c>
      <c r="H671" s="4">
        <f t="shared" si="44"/>
        <v>1E-10</v>
      </c>
      <c r="I671" s="4">
        <f t="shared" si="41"/>
        <v>66.710000000000491</v>
      </c>
      <c r="J671" s="2">
        <f t="shared" si="42"/>
        <v>66.710000000000491</v>
      </c>
    </row>
    <row r="672" spans="6:10" x14ac:dyDescent="0.25">
      <c r="F672" s="4">
        <f t="shared" si="43"/>
        <v>66.810000000000485</v>
      </c>
      <c r="G672" s="4">
        <f>cubspline(3,F672,Data!$B$36:$B$56,Data!$A$36:$A$56)</f>
        <v>0</v>
      </c>
      <c r="H672" s="4">
        <f t="shared" si="44"/>
        <v>1E-10</v>
      </c>
      <c r="I672" s="4">
        <f t="shared" si="41"/>
        <v>66.810000000000485</v>
      </c>
      <c r="J672" s="2">
        <f t="shared" si="42"/>
        <v>66.810000000000485</v>
      </c>
    </row>
    <row r="673" spans="6:10" x14ac:dyDescent="0.25">
      <c r="F673" s="4">
        <f t="shared" si="43"/>
        <v>66.91000000000048</v>
      </c>
      <c r="G673" s="4">
        <f>cubspline(3,F673,Data!$B$36:$B$56,Data!$A$36:$A$56)</f>
        <v>0</v>
      </c>
      <c r="H673" s="4">
        <f t="shared" si="44"/>
        <v>1E-10</v>
      </c>
      <c r="I673" s="4">
        <f t="shared" si="41"/>
        <v>66.91000000000048</v>
      </c>
      <c r="J673" s="2">
        <f t="shared" si="42"/>
        <v>66.91000000000048</v>
      </c>
    </row>
    <row r="674" spans="6:10" x14ac:dyDescent="0.25">
      <c r="F674" s="4">
        <f t="shared" si="43"/>
        <v>67.010000000000474</v>
      </c>
      <c r="G674" s="4">
        <f>cubspline(3,F674,Data!$B$36:$B$56,Data!$A$36:$A$56)</f>
        <v>0</v>
      </c>
      <c r="H674" s="4">
        <f t="shared" si="44"/>
        <v>1E-10</v>
      </c>
      <c r="I674" s="4">
        <f t="shared" si="41"/>
        <v>67.010000000000474</v>
      </c>
      <c r="J674" s="2">
        <f t="shared" si="42"/>
        <v>67.010000000000474</v>
      </c>
    </row>
    <row r="675" spans="6:10" x14ac:dyDescent="0.25">
      <c r="F675" s="4">
        <f t="shared" si="43"/>
        <v>67.110000000000468</v>
      </c>
      <c r="G675" s="4">
        <f>cubspline(3,F675,Data!$B$36:$B$56,Data!$A$36:$A$56)</f>
        <v>0</v>
      </c>
      <c r="H675" s="4">
        <f t="shared" si="44"/>
        <v>1E-10</v>
      </c>
      <c r="I675" s="4">
        <f t="shared" si="41"/>
        <v>67.110000000000468</v>
      </c>
      <c r="J675" s="2">
        <f t="shared" si="42"/>
        <v>67.110000000000468</v>
      </c>
    </row>
    <row r="676" spans="6:10" x14ac:dyDescent="0.25">
      <c r="F676" s="4">
        <f t="shared" si="43"/>
        <v>67.210000000000463</v>
      </c>
      <c r="G676" s="4">
        <f>cubspline(3,F676,Data!$B$36:$B$56,Data!$A$36:$A$56)</f>
        <v>0</v>
      </c>
      <c r="H676" s="4">
        <f t="shared" si="44"/>
        <v>1E-10</v>
      </c>
      <c r="I676" s="4">
        <f t="shared" si="41"/>
        <v>67.210000000000463</v>
      </c>
      <c r="J676" s="2">
        <f t="shared" si="42"/>
        <v>67.210000000000463</v>
      </c>
    </row>
    <row r="677" spans="6:10" x14ac:dyDescent="0.25">
      <c r="F677" s="4">
        <f t="shared" si="43"/>
        <v>67.310000000000457</v>
      </c>
      <c r="G677" s="4">
        <f>cubspline(3,F677,Data!$B$36:$B$56,Data!$A$36:$A$56)</f>
        <v>0</v>
      </c>
      <c r="H677" s="4">
        <f t="shared" si="44"/>
        <v>1E-10</v>
      </c>
      <c r="I677" s="4">
        <f t="shared" si="41"/>
        <v>67.310000000000457</v>
      </c>
      <c r="J677" s="2">
        <f t="shared" si="42"/>
        <v>67.310000000000457</v>
      </c>
    </row>
    <row r="678" spans="6:10" x14ac:dyDescent="0.25">
      <c r="F678" s="4">
        <f t="shared" si="43"/>
        <v>67.410000000000451</v>
      </c>
      <c r="G678" s="4">
        <f>cubspline(3,F678,Data!$B$36:$B$56,Data!$A$36:$A$56)</f>
        <v>0</v>
      </c>
      <c r="H678" s="4">
        <f t="shared" si="44"/>
        <v>1E-10</v>
      </c>
      <c r="I678" s="4">
        <f t="shared" si="41"/>
        <v>67.410000000000451</v>
      </c>
      <c r="J678" s="2">
        <f t="shared" si="42"/>
        <v>67.410000000000451</v>
      </c>
    </row>
    <row r="679" spans="6:10" x14ac:dyDescent="0.25">
      <c r="F679" s="4">
        <f t="shared" si="43"/>
        <v>67.510000000000446</v>
      </c>
      <c r="G679" s="4">
        <f>cubspline(3,F679,Data!$B$36:$B$56,Data!$A$36:$A$56)</f>
        <v>0</v>
      </c>
      <c r="H679" s="4">
        <f t="shared" si="44"/>
        <v>1E-10</v>
      </c>
      <c r="I679" s="4">
        <f t="shared" si="41"/>
        <v>67.510000000000446</v>
      </c>
      <c r="J679" s="2">
        <f t="shared" si="42"/>
        <v>67.510000000000446</v>
      </c>
    </row>
    <row r="680" spans="6:10" x14ac:dyDescent="0.25">
      <c r="F680" s="4">
        <f t="shared" si="43"/>
        <v>67.61000000000044</v>
      </c>
      <c r="G680" s="4">
        <f>cubspline(3,F680,Data!$B$36:$B$56,Data!$A$36:$A$56)</f>
        <v>0</v>
      </c>
      <c r="H680" s="4">
        <f t="shared" si="44"/>
        <v>1E-10</v>
      </c>
      <c r="I680" s="4">
        <f t="shared" si="41"/>
        <v>67.61000000000044</v>
      </c>
      <c r="J680" s="2">
        <f t="shared" si="42"/>
        <v>67.61000000000044</v>
      </c>
    </row>
    <row r="681" spans="6:10" x14ac:dyDescent="0.25">
      <c r="F681" s="4">
        <f t="shared" si="43"/>
        <v>67.710000000000434</v>
      </c>
      <c r="G681" s="4">
        <f>cubspline(3,F681,Data!$B$36:$B$56,Data!$A$36:$A$56)</f>
        <v>0</v>
      </c>
      <c r="H681" s="4">
        <f t="shared" si="44"/>
        <v>1E-10</v>
      </c>
      <c r="I681" s="4">
        <f t="shared" si="41"/>
        <v>67.710000000000434</v>
      </c>
      <c r="J681" s="2">
        <f t="shared" si="42"/>
        <v>67.710000000000434</v>
      </c>
    </row>
    <row r="682" spans="6:10" x14ac:dyDescent="0.25">
      <c r="F682" s="4">
        <f t="shared" si="43"/>
        <v>67.810000000000429</v>
      </c>
      <c r="G682" s="4">
        <f>cubspline(3,F682,Data!$B$36:$B$56,Data!$A$36:$A$56)</f>
        <v>0</v>
      </c>
      <c r="H682" s="4">
        <f t="shared" si="44"/>
        <v>1E-10</v>
      </c>
      <c r="I682" s="4">
        <f t="shared" si="41"/>
        <v>67.810000000000429</v>
      </c>
      <c r="J682" s="2">
        <f t="shared" si="42"/>
        <v>67.810000000000429</v>
      </c>
    </row>
    <row r="683" spans="6:10" x14ac:dyDescent="0.25">
      <c r="F683" s="4">
        <f t="shared" si="43"/>
        <v>67.910000000000423</v>
      </c>
      <c r="G683" s="4">
        <f>cubspline(3,F683,Data!$B$36:$B$56,Data!$A$36:$A$56)</f>
        <v>0</v>
      </c>
      <c r="H683" s="4">
        <f t="shared" si="44"/>
        <v>1E-10</v>
      </c>
      <c r="I683" s="4">
        <f t="shared" si="41"/>
        <v>67.910000000000423</v>
      </c>
      <c r="J683" s="2">
        <f t="shared" si="42"/>
        <v>67.910000000000423</v>
      </c>
    </row>
    <row r="684" spans="6:10" x14ac:dyDescent="0.25">
      <c r="F684" s="4">
        <f t="shared" si="43"/>
        <v>68.010000000000417</v>
      </c>
      <c r="G684" s="4">
        <f>cubspline(3,F684,Data!$B$36:$B$56,Data!$A$36:$A$56)</f>
        <v>0</v>
      </c>
      <c r="H684" s="4">
        <f t="shared" si="44"/>
        <v>1E-10</v>
      </c>
      <c r="I684" s="4">
        <f t="shared" si="41"/>
        <v>68.010000000000417</v>
      </c>
      <c r="J684" s="2">
        <f t="shared" si="42"/>
        <v>68.010000000000417</v>
      </c>
    </row>
    <row r="685" spans="6:10" x14ac:dyDescent="0.25">
      <c r="F685" s="4">
        <f t="shared" si="43"/>
        <v>68.110000000000412</v>
      </c>
      <c r="G685" s="4">
        <f>cubspline(3,F685,Data!$B$36:$B$56,Data!$A$36:$A$56)</f>
        <v>0</v>
      </c>
      <c r="H685" s="4">
        <f t="shared" si="44"/>
        <v>1E-10</v>
      </c>
      <c r="I685" s="4">
        <f t="shared" si="41"/>
        <v>68.110000000000412</v>
      </c>
      <c r="J685" s="2">
        <f t="shared" si="42"/>
        <v>68.110000000000412</v>
      </c>
    </row>
    <row r="686" spans="6:10" x14ac:dyDescent="0.25">
      <c r="F686" s="4">
        <f t="shared" si="43"/>
        <v>68.210000000000406</v>
      </c>
      <c r="G686" s="4">
        <f>cubspline(3,F686,Data!$B$36:$B$56,Data!$A$36:$A$56)</f>
        <v>0</v>
      </c>
      <c r="H686" s="4">
        <f t="shared" si="44"/>
        <v>1E-10</v>
      </c>
      <c r="I686" s="4">
        <f t="shared" si="41"/>
        <v>68.210000000000406</v>
      </c>
      <c r="J686" s="2">
        <f t="shared" si="42"/>
        <v>68.210000000000406</v>
      </c>
    </row>
    <row r="687" spans="6:10" x14ac:dyDescent="0.25">
      <c r="F687" s="4">
        <f t="shared" si="43"/>
        <v>68.3100000000004</v>
      </c>
      <c r="G687" s="4">
        <f>cubspline(3,F687,Data!$B$36:$B$56,Data!$A$36:$A$56)</f>
        <v>0</v>
      </c>
      <c r="H687" s="4">
        <f t="shared" si="44"/>
        <v>1E-10</v>
      </c>
      <c r="I687" s="4">
        <f t="shared" si="41"/>
        <v>68.3100000000004</v>
      </c>
      <c r="J687" s="2">
        <f t="shared" si="42"/>
        <v>68.3100000000004</v>
      </c>
    </row>
    <row r="688" spans="6:10" x14ac:dyDescent="0.25">
      <c r="F688" s="4">
        <f t="shared" si="43"/>
        <v>68.410000000000394</v>
      </c>
      <c r="G688" s="4">
        <f>cubspline(3,F688,Data!$B$36:$B$56,Data!$A$36:$A$56)</f>
        <v>0</v>
      </c>
      <c r="H688" s="4">
        <f t="shared" si="44"/>
        <v>1E-10</v>
      </c>
      <c r="I688" s="4">
        <f t="shared" si="41"/>
        <v>68.410000000000394</v>
      </c>
      <c r="J688" s="2">
        <f t="shared" si="42"/>
        <v>68.410000000000394</v>
      </c>
    </row>
    <row r="689" spans="6:10" x14ac:dyDescent="0.25">
      <c r="F689" s="4">
        <f t="shared" si="43"/>
        <v>68.510000000000389</v>
      </c>
      <c r="G689" s="4">
        <f>cubspline(3,F689,Data!$B$36:$B$56,Data!$A$36:$A$56)</f>
        <v>0</v>
      </c>
      <c r="H689" s="4">
        <f t="shared" si="44"/>
        <v>1E-10</v>
      </c>
      <c r="I689" s="4">
        <f t="shared" si="41"/>
        <v>68.510000000000389</v>
      </c>
      <c r="J689" s="2">
        <f t="shared" si="42"/>
        <v>68.510000000000389</v>
      </c>
    </row>
    <row r="690" spans="6:10" x14ac:dyDescent="0.25">
      <c r="F690" s="4">
        <f t="shared" si="43"/>
        <v>68.610000000000383</v>
      </c>
      <c r="G690" s="4">
        <f>cubspline(3,F690,Data!$B$36:$B$56,Data!$A$36:$A$56)</f>
        <v>0</v>
      </c>
      <c r="H690" s="4">
        <f t="shared" si="44"/>
        <v>1E-10</v>
      </c>
      <c r="I690" s="4">
        <f t="shared" si="41"/>
        <v>68.610000000000383</v>
      </c>
      <c r="J690" s="2">
        <f t="shared" si="42"/>
        <v>68.610000000000383</v>
      </c>
    </row>
    <row r="691" spans="6:10" x14ac:dyDescent="0.25">
      <c r="F691" s="4">
        <f t="shared" si="43"/>
        <v>68.710000000000377</v>
      </c>
      <c r="G691" s="4">
        <f>cubspline(3,F691,Data!$B$36:$B$56,Data!$A$36:$A$56)</f>
        <v>0</v>
      </c>
      <c r="H691" s="4">
        <f t="shared" si="44"/>
        <v>1E-10</v>
      </c>
      <c r="I691" s="4">
        <f t="shared" si="41"/>
        <v>68.710000000000377</v>
      </c>
      <c r="J691" s="2">
        <f t="shared" si="42"/>
        <v>68.710000000000377</v>
      </c>
    </row>
    <row r="692" spans="6:10" x14ac:dyDescent="0.25">
      <c r="F692" s="4">
        <f t="shared" si="43"/>
        <v>68.810000000000372</v>
      </c>
      <c r="G692" s="4">
        <f>cubspline(3,F692,Data!$B$36:$B$56,Data!$A$36:$A$56)</f>
        <v>0</v>
      </c>
      <c r="H692" s="4">
        <f t="shared" si="44"/>
        <v>1E-10</v>
      </c>
      <c r="I692" s="4">
        <f t="shared" si="41"/>
        <v>68.810000000000372</v>
      </c>
      <c r="J692" s="2">
        <f t="shared" si="42"/>
        <v>68.810000000000372</v>
      </c>
    </row>
    <row r="693" spans="6:10" x14ac:dyDescent="0.25">
      <c r="F693" s="4">
        <f t="shared" si="43"/>
        <v>68.910000000000366</v>
      </c>
      <c r="G693" s="4">
        <f>cubspline(3,F693,Data!$B$36:$B$56,Data!$A$36:$A$56)</f>
        <v>0</v>
      </c>
      <c r="H693" s="4">
        <f t="shared" si="44"/>
        <v>1E-10</v>
      </c>
      <c r="I693" s="4">
        <f t="shared" si="41"/>
        <v>68.910000000000366</v>
      </c>
      <c r="J693" s="2">
        <f t="shared" si="42"/>
        <v>68.910000000000366</v>
      </c>
    </row>
    <row r="694" spans="6:10" x14ac:dyDescent="0.25">
      <c r="F694" s="4">
        <f t="shared" si="43"/>
        <v>69.01000000000036</v>
      </c>
      <c r="G694" s="4">
        <f>cubspline(3,F694,Data!$B$36:$B$56,Data!$A$36:$A$56)</f>
        <v>0</v>
      </c>
      <c r="H694" s="4">
        <f t="shared" si="44"/>
        <v>1E-10</v>
      </c>
      <c r="I694" s="4">
        <f t="shared" si="41"/>
        <v>69.01000000000036</v>
      </c>
      <c r="J694" s="2">
        <f t="shared" si="42"/>
        <v>69.01000000000036</v>
      </c>
    </row>
    <row r="695" spans="6:10" x14ac:dyDescent="0.25">
      <c r="F695" s="4">
        <f t="shared" si="43"/>
        <v>69.110000000000355</v>
      </c>
      <c r="G695" s="4">
        <f>cubspline(3,F695,Data!$B$36:$B$56,Data!$A$36:$A$56)</f>
        <v>0</v>
      </c>
      <c r="H695" s="4">
        <f t="shared" si="44"/>
        <v>1E-10</v>
      </c>
      <c r="I695" s="4">
        <f t="shared" si="41"/>
        <v>69.110000000000355</v>
      </c>
      <c r="J695" s="2">
        <f t="shared" si="42"/>
        <v>69.110000000000355</v>
      </c>
    </row>
    <row r="696" spans="6:10" x14ac:dyDescent="0.25">
      <c r="F696" s="4">
        <f t="shared" si="43"/>
        <v>69.210000000000349</v>
      </c>
      <c r="G696" s="4">
        <f>cubspline(3,F696,Data!$B$36:$B$56,Data!$A$36:$A$56)</f>
        <v>0</v>
      </c>
      <c r="H696" s="4">
        <f t="shared" si="44"/>
        <v>1E-10</v>
      </c>
      <c r="I696" s="4">
        <f t="shared" si="41"/>
        <v>69.210000000000349</v>
      </c>
      <c r="J696" s="2">
        <f t="shared" si="42"/>
        <v>69.210000000000349</v>
      </c>
    </row>
    <row r="697" spans="6:10" x14ac:dyDescent="0.25">
      <c r="F697" s="4">
        <f t="shared" si="43"/>
        <v>69.310000000000343</v>
      </c>
      <c r="G697" s="4">
        <f>cubspline(3,F697,Data!$B$36:$B$56,Data!$A$36:$A$56)</f>
        <v>0</v>
      </c>
      <c r="H697" s="4">
        <f t="shared" si="44"/>
        <v>1E-10</v>
      </c>
      <c r="I697" s="4">
        <f t="shared" si="41"/>
        <v>69.310000000000343</v>
      </c>
      <c r="J697" s="2">
        <f t="shared" si="42"/>
        <v>69.310000000000343</v>
      </c>
    </row>
    <row r="698" spans="6:10" x14ac:dyDescent="0.25">
      <c r="F698" s="4">
        <f t="shared" si="43"/>
        <v>69.410000000000338</v>
      </c>
      <c r="G698" s="4">
        <f>cubspline(3,F698,Data!$B$36:$B$56,Data!$A$36:$A$56)</f>
        <v>0</v>
      </c>
      <c r="H698" s="4">
        <f t="shared" si="44"/>
        <v>1E-10</v>
      </c>
      <c r="I698" s="4">
        <f t="shared" si="41"/>
        <v>69.410000000000338</v>
      </c>
      <c r="J698" s="2">
        <f t="shared" si="42"/>
        <v>69.410000000000338</v>
      </c>
    </row>
    <row r="699" spans="6:10" x14ac:dyDescent="0.25">
      <c r="F699" s="4">
        <f t="shared" si="43"/>
        <v>69.510000000000332</v>
      </c>
      <c r="G699" s="4">
        <f>cubspline(3,F699,Data!$B$36:$B$56,Data!$A$36:$A$56)</f>
        <v>0</v>
      </c>
      <c r="H699" s="4">
        <f t="shared" si="44"/>
        <v>1E-10</v>
      </c>
      <c r="I699" s="4">
        <f t="shared" si="41"/>
        <v>69.510000000000332</v>
      </c>
      <c r="J699" s="2">
        <f t="shared" si="42"/>
        <v>69.510000000000332</v>
      </c>
    </row>
    <row r="700" spans="6:10" x14ac:dyDescent="0.25">
      <c r="F700" s="4">
        <f t="shared" si="43"/>
        <v>69.610000000000326</v>
      </c>
      <c r="G700" s="4">
        <f>cubspline(3,F700,Data!$B$36:$B$56,Data!$A$36:$A$56)</f>
        <v>0</v>
      </c>
      <c r="H700" s="4">
        <f t="shared" si="44"/>
        <v>1E-10</v>
      </c>
      <c r="I700" s="4">
        <f t="shared" si="41"/>
        <v>69.610000000000326</v>
      </c>
      <c r="J700" s="2">
        <f t="shared" si="42"/>
        <v>69.610000000000326</v>
      </c>
    </row>
    <row r="701" spans="6:10" x14ac:dyDescent="0.25">
      <c r="F701" s="4">
        <f t="shared" si="43"/>
        <v>69.710000000000321</v>
      </c>
      <c r="G701" s="4">
        <f>cubspline(3,F701,Data!$B$36:$B$56,Data!$A$36:$A$56)</f>
        <v>0</v>
      </c>
      <c r="H701" s="4">
        <f t="shared" si="44"/>
        <v>1E-10</v>
      </c>
      <c r="I701" s="4">
        <f t="shared" si="41"/>
        <v>69.710000000000321</v>
      </c>
      <c r="J701" s="2">
        <f t="shared" si="42"/>
        <v>69.710000000000321</v>
      </c>
    </row>
    <row r="702" spans="6:10" x14ac:dyDescent="0.25">
      <c r="F702" s="4">
        <f t="shared" si="43"/>
        <v>69.810000000000315</v>
      </c>
      <c r="G702" s="4">
        <f>cubspline(3,F702,Data!$B$36:$B$56,Data!$A$36:$A$56)</f>
        <v>0</v>
      </c>
      <c r="H702" s="4">
        <f t="shared" si="44"/>
        <v>1E-10</v>
      </c>
      <c r="I702" s="4">
        <f t="shared" si="41"/>
        <v>69.810000000000315</v>
      </c>
      <c r="J702" s="2">
        <f t="shared" si="42"/>
        <v>69.810000000000315</v>
      </c>
    </row>
    <row r="703" spans="6:10" x14ac:dyDescent="0.25">
      <c r="F703" s="4">
        <f t="shared" si="43"/>
        <v>69.910000000000309</v>
      </c>
      <c r="G703" s="4">
        <f>cubspline(3,F703,Data!$B$36:$B$56,Data!$A$36:$A$56)</f>
        <v>0</v>
      </c>
      <c r="H703" s="4">
        <f t="shared" si="44"/>
        <v>1E-10</v>
      </c>
      <c r="I703" s="4">
        <f t="shared" si="41"/>
        <v>69.910000000000309</v>
      </c>
      <c r="J703" s="2">
        <f t="shared" si="42"/>
        <v>69.910000000000309</v>
      </c>
    </row>
    <row r="704" spans="6:10" x14ac:dyDescent="0.25">
      <c r="F704" s="4">
        <f t="shared" si="43"/>
        <v>70.010000000000304</v>
      </c>
      <c r="G704" s="4">
        <f>cubspline(3,F704,Data!$B$36:$B$56,Data!$A$36:$A$56)</f>
        <v>0</v>
      </c>
      <c r="H704" s="4">
        <f t="shared" si="44"/>
        <v>1E-10</v>
      </c>
      <c r="I704" s="4">
        <f t="shared" si="41"/>
        <v>70.010000000000304</v>
      </c>
      <c r="J704" s="2">
        <f t="shared" si="42"/>
        <v>70.010000000000304</v>
      </c>
    </row>
    <row r="705" spans="6:10" x14ac:dyDescent="0.25">
      <c r="F705" s="4">
        <f t="shared" si="43"/>
        <v>70.110000000000298</v>
      </c>
      <c r="G705" s="4">
        <f>cubspline(3,F705,Data!$B$36:$B$56,Data!$A$36:$A$56)</f>
        <v>0</v>
      </c>
      <c r="H705" s="4">
        <f t="shared" si="44"/>
        <v>1E-10</v>
      </c>
      <c r="I705" s="4">
        <f t="shared" si="41"/>
        <v>70.110000000000298</v>
      </c>
      <c r="J705" s="2">
        <f t="shared" si="42"/>
        <v>70.110000000000298</v>
      </c>
    </row>
    <row r="706" spans="6:10" x14ac:dyDescent="0.25">
      <c r="F706" s="4">
        <f t="shared" si="43"/>
        <v>70.210000000000292</v>
      </c>
      <c r="G706" s="4">
        <f>cubspline(3,F706,Data!$B$36:$B$56,Data!$A$36:$A$56)</f>
        <v>0</v>
      </c>
      <c r="H706" s="4">
        <f t="shared" si="44"/>
        <v>1E-10</v>
      </c>
      <c r="I706" s="4">
        <f t="shared" si="41"/>
        <v>70.210000000000292</v>
      </c>
      <c r="J706" s="2">
        <f t="shared" si="42"/>
        <v>70.210000000000292</v>
      </c>
    </row>
    <row r="707" spans="6:10" x14ac:dyDescent="0.25">
      <c r="F707" s="4">
        <f t="shared" si="43"/>
        <v>70.310000000000286</v>
      </c>
      <c r="G707" s="4">
        <f>cubspline(3,F707,Data!$B$36:$B$56,Data!$A$36:$A$56)</f>
        <v>0</v>
      </c>
      <c r="H707" s="4">
        <f t="shared" si="44"/>
        <v>1E-10</v>
      </c>
      <c r="I707" s="4">
        <f t="shared" si="41"/>
        <v>70.310000000000286</v>
      </c>
      <c r="J707" s="2">
        <f t="shared" si="42"/>
        <v>70.310000000000286</v>
      </c>
    </row>
    <row r="708" spans="6:10" x14ac:dyDescent="0.25">
      <c r="F708" s="4">
        <f t="shared" si="43"/>
        <v>70.410000000000281</v>
      </c>
      <c r="G708" s="4">
        <f>cubspline(3,F708,Data!$B$36:$B$56,Data!$A$36:$A$56)</f>
        <v>0</v>
      </c>
      <c r="H708" s="4">
        <f t="shared" si="44"/>
        <v>1E-10</v>
      </c>
      <c r="I708" s="4">
        <f t="shared" si="41"/>
        <v>70.410000000000281</v>
      </c>
      <c r="J708" s="2">
        <f t="shared" si="42"/>
        <v>70.410000000000281</v>
      </c>
    </row>
    <row r="709" spans="6:10" x14ac:dyDescent="0.25">
      <c r="F709" s="4">
        <f t="shared" si="43"/>
        <v>70.510000000000275</v>
      </c>
      <c r="G709" s="4">
        <f>cubspline(3,F709,Data!$B$36:$B$56,Data!$A$36:$A$56)</f>
        <v>0</v>
      </c>
      <c r="H709" s="4">
        <f t="shared" si="44"/>
        <v>1E-10</v>
      </c>
      <c r="I709" s="4">
        <f t="shared" ref="I709:I772" si="45">IF(F709&gt;$D$47,F709,NA())</f>
        <v>70.510000000000275</v>
      </c>
      <c r="J709" s="2">
        <f t="shared" ref="J709:J772" si="46">IF(F709&gt;=$D$47,F709,($D$47-(0.3*($D$47-F709))))</f>
        <v>70.510000000000275</v>
      </c>
    </row>
    <row r="710" spans="6:10" x14ac:dyDescent="0.25">
      <c r="F710" s="4">
        <f t="shared" ref="F710:F773" si="47">F709+0.1</f>
        <v>70.610000000000269</v>
      </c>
      <c r="G710" s="4">
        <f>cubspline(3,F710,Data!$B$36:$B$56,Data!$A$36:$A$56)</f>
        <v>0</v>
      </c>
      <c r="H710" s="4">
        <f t="shared" ref="H710:H773" si="48">IF(G710&lt;=0,0.0000000001,G710)</f>
        <v>1E-10</v>
      </c>
      <c r="I710" s="4">
        <f t="shared" si="45"/>
        <v>70.610000000000269</v>
      </c>
      <c r="J710" s="2">
        <f t="shared" si="46"/>
        <v>70.610000000000269</v>
      </c>
    </row>
    <row r="711" spans="6:10" x14ac:dyDescent="0.25">
      <c r="F711" s="4">
        <f t="shared" si="47"/>
        <v>70.710000000000264</v>
      </c>
      <c r="G711" s="4">
        <f>cubspline(3,F711,Data!$B$36:$B$56,Data!$A$36:$A$56)</f>
        <v>0</v>
      </c>
      <c r="H711" s="4">
        <f t="shared" si="48"/>
        <v>1E-10</v>
      </c>
      <c r="I711" s="4">
        <f t="shared" si="45"/>
        <v>70.710000000000264</v>
      </c>
      <c r="J711" s="2">
        <f t="shared" si="46"/>
        <v>70.710000000000264</v>
      </c>
    </row>
    <row r="712" spans="6:10" x14ac:dyDescent="0.25">
      <c r="F712" s="4">
        <f t="shared" si="47"/>
        <v>70.810000000000258</v>
      </c>
      <c r="G712" s="4">
        <f>cubspline(3,F712,Data!$B$36:$B$56,Data!$A$36:$A$56)</f>
        <v>0</v>
      </c>
      <c r="H712" s="4">
        <f t="shared" si="48"/>
        <v>1E-10</v>
      </c>
      <c r="I712" s="4">
        <f t="shared" si="45"/>
        <v>70.810000000000258</v>
      </c>
      <c r="J712" s="2">
        <f t="shared" si="46"/>
        <v>70.810000000000258</v>
      </c>
    </row>
    <row r="713" spans="6:10" x14ac:dyDescent="0.25">
      <c r="F713" s="4">
        <f t="shared" si="47"/>
        <v>70.910000000000252</v>
      </c>
      <c r="G713" s="4">
        <f>cubspline(3,F713,Data!$B$36:$B$56,Data!$A$36:$A$56)</f>
        <v>0</v>
      </c>
      <c r="H713" s="4">
        <f t="shared" si="48"/>
        <v>1E-10</v>
      </c>
      <c r="I713" s="4">
        <f t="shared" si="45"/>
        <v>70.910000000000252</v>
      </c>
      <c r="J713" s="2">
        <f t="shared" si="46"/>
        <v>70.910000000000252</v>
      </c>
    </row>
    <row r="714" spans="6:10" x14ac:dyDescent="0.25">
      <c r="F714" s="4">
        <f t="shared" si="47"/>
        <v>71.010000000000247</v>
      </c>
      <c r="G714" s="4">
        <f>cubspline(3,F714,Data!$B$36:$B$56,Data!$A$36:$A$56)</f>
        <v>0</v>
      </c>
      <c r="H714" s="4">
        <f t="shared" si="48"/>
        <v>1E-10</v>
      </c>
      <c r="I714" s="4">
        <f t="shared" si="45"/>
        <v>71.010000000000247</v>
      </c>
      <c r="J714" s="2">
        <f t="shared" si="46"/>
        <v>71.010000000000247</v>
      </c>
    </row>
    <row r="715" spans="6:10" x14ac:dyDescent="0.25">
      <c r="F715" s="4">
        <f t="shared" si="47"/>
        <v>71.110000000000241</v>
      </c>
      <c r="G715" s="4">
        <f>cubspline(3,F715,Data!$B$36:$B$56,Data!$A$36:$A$56)</f>
        <v>0</v>
      </c>
      <c r="H715" s="4">
        <f t="shared" si="48"/>
        <v>1E-10</v>
      </c>
      <c r="I715" s="4">
        <f t="shared" si="45"/>
        <v>71.110000000000241</v>
      </c>
      <c r="J715" s="2">
        <f t="shared" si="46"/>
        <v>71.110000000000241</v>
      </c>
    </row>
    <row r="716" spans="6:10" x14ac:dyDescent="0.25">
      <c r="F716" s="4">
        <f t="shared" si="47"/>
        <v>71.210000000000235</v>
      </c>
      <c r="G716" s="4">
        <f>cubspline(3,F716,Data!$B$36:$B$56,Data!$A$36:$A$56)</f>
        <v>0</v>
      </c>
      <c r="H716" s="4">
        <f t="shared" si="48"/>
        <v>1E-10</v>
      </c>
      <c r="I716" s="4">
        <f t="shared" si="45"/>
        <v>71.210000000000235</v>
      </c>
      <c r="J716" s="2">
        <f t="shared" si="46"/>
        <v>71.210000000000235</v>
      </c>
    </row>
    <row r="717" spans="6:10" x14ac:dyDescent="0.25">
      <c r="F717" s="4">
        <f t="shared" si="47"/>
        <v>71.31000000000023</v>
      </c>
      <c r="G717" s="4">
        <f>cubspline(3,F717,Data!$B$36:$B$56,Data!$A$36:$A$56)</f>
        <v>0</v>
      </c>
      <c r="H717" s="4">
        <f t="shared" si="48"/>
        <v>1E-10</v>
      </c>
      <c r="I717" s="4">
        <f t="shared" si="45"/>
        <v>71.31000000000023</v>
      </c>
      <c r="J717" s="2">
        <f t="shared" si="46"/>
        <v>71.31000000000023</v>
      </c>
    </row>
    <row r="718" spans="6:10" x14ac:dyDescent="0.25">
      <c r="F718" s="4">
        <f t="shared" si="47"/>
        <v>71.410000000000224</v>
      </c>
      <c r="G718" s="4">
        <f>cubspline(3,F718,Data!$B$36:$B$56,Data!$A$36:$A$56)</f>
        <v>0</v>
      </c>
      <c r="H718" s="4">
        <f t="shared" si="48"/>
        <v>1E-10</v>
      </c>
      <c r="I718" s="4">
        <f t="shared" si="45"/>
        <v>71.410000000000224</v>
      </c>
      <c r="J718" s="2">
        <f t="shared" si="46"/>
        <v>71.410000000000224</v>
      </c>
    </row>
    <row r="719" spans="6:10" x14ac:dyDescent="0.25">
      <c r="F719" s="4">
        <f t="shared" si="47"/>
        <v>71.510000000000218</v>
      </c>
      <c r="G719" s="4">
        <f>cubspline(3,F719,Data!$B$36:$B$56,Data!$A$36:$A$56)</f>
        <v>0</v>
      </c>
      <c r="H719" s="4">
        <f t="shared" si="48"/>
        <v>1E-10</v>
      </c>
      <c r="I719" s="4">
        <f t="shared" si="45"/>
        <v>71.510000000000218</v>
      </c>
      <c r="J719" s="2">
        <f t="shared" si="46"/>
        <v>71.510000000000218</v>
      </c>
    </row>
    <row r="720" spans="6:10" x14ac:dyDescent="0.25">
      <c r="F720" s="4">
        <f t="shared" si="47"/>
        <v>71.610000000000213</v>
      </c>
      <c r="G720" s="4">
        <f>cubspline(3,F720,Data!$B$36:$B$56,Data!$A$36:$A$56)</f>
        <v>0</v>
      </c>
      <c r="H720" s="4">
        <f t="shared" si="48"/>
        <v>1E-10</v>
      </c>
      <c r="I720" s="4">
        <f t="shared" si="45"/>
        <v>71.610000000000213</v>
      </c>
      <c r="J720" s="2">
        <f t="shared" si="46"/>
        <v>71.610000000000213</v>
      </c>
    </row>
    <row r="721" spans="6:10" x14ac:dyDescent="0.25">
      <c r="F721" s="4">
        <f t="shared" si="47"/>
        <v>71.710000000000207</v>
      </c>
      <c r="G721" s="4">
        <f>cubspline(3,F721,Data!$B$36:$B$56,Data!$A$36:$A$56)</f>
        <v>0</v>
      </c>
      <c r="H721" s="4">
        <f t="shared" si="48"/>
        <v>1E-10</v>
      </c>
      <c r="I721" s="4">
        <f t="shared" si="45"/>
        <v>71.710000000000207</v>
      </c>
      <c r="J721" s="2">
        <f t="shared" si="46"/>
        <v>71.710000000000207</v>
      </c>
    </row>
    <row r="722" spans="6:10" x14ac:dyDescent="0.25">
      <c r="F722" s="4">
        <f t="shared" si="47"/>
        <v>71.810000000000201</v>
      </c>
      <c r="G722" s="4">
        <f>cubspline(3,F722,Data!$B$36:$B$56,Data!$A$36:$A$56)</f>
        <v>0</v>
      </c>
      <c r="H722" s="4">
        <f t="shared" si="48"/>
        <v>1E-10</v>
      </c>
      <c r="I722" s="4">
        <f t="shared" si="45"/>
        <v>71.810000000000201</v>
      </c>
      <c r="J722" s="2">
        <f t="shared" si="46"/>
        <v>71.810000000000201</v>
      </c>
    </row>
    <row r="723" spans="6:10" x14ac:dyDescent="0.25">
      <c r="F723" s="4">
        <f t="shared" si="47"/>
        <v>71.910000000000196</v>
      </c>
      <c r="G723" s="4">
        <f>cubspline(3,F723,Data!$B$36:$B$56,Data!$A$36:$A$56)</f>
        <v>0</v>
      </c>
      <c r="H723" s="4">
        <f t="shared" si="48"/>
        <v>1E-10</v>
      </c>
      <c r="I723" s="4">
        <f t="shared" si="45"/>
        <v>71.910000000000196</v>
      </c>
      <c r="J723" s="2">
        <f t="shared" si="46"/>
        <v>71.910000000000196</v>
      </c>
    </row>
    <row r="724" spans="6:10" x14ac:dyDescent="0.25">
      <c r="F724" s="4">
        <f t="shared" si="47"/>
        <v>72.01000000000019</v>
      </c>
      <c r="G724" s="4">
        <f>cubspline(3,F724,Data!$B$36:$B$56,Data!$A$36:$A$56)</f>
        <v>0</v>
      </c>
      <c r="H724" s="4">
        <f t="shared" si="48"/>
        <v>1E-10</v>
      </c>
      <c r="I724" s="4">
        <f t="shared" si="45"/>
        <v>72.01000000000019</v>
      </c>
      <c r="J724" s="2">
        <f t="shared" si="46"/>
        <v>72.01000000000019</v>
      </c>
    </row>
    <row r="725" spans="6:10" x14ac:dyDescent="0.25">
      <c r="F725" s="4">
        <f t="shared" si="47"/>
        <v>72.110000000000184</v>
      </c>
      <c r="G725" s="4">
        <f>cubspline(3,F725,Data!$B$36:$B$56,Data!$A$36:$A$56)</f>
        <v>0</v>
      </c>
      <c r="H725" s="4">
        <f t="shared" si="48"/>
        <v>1E-10</v>
      </c>
      <c r="I725" s="4">
        <f t="shared" si="45"/>
        <v>72.110000000000184</v>
      </c>
      <c r="J725" s="2">
        <f t="shared" si="46"/>
        <v>72.110000000000184</v>
      </c>
    </row>
    <row r="726" spans="6:10" x14ac:dyDescent="0.25">
      <c r="F726" s="4">
        <f t="shared" si="47"/>
        <v>72.210000000000178</v>
      </c>
      <c r="G726" s="4">
        <f>cubspline(3,F726,Data!$B$36:$B$56,Data!$A$36:$A$56)</f>
        <v>0</v>
      </c>
      <c r="H726" s="4">
        <f t="shared" si="48"/>
        <v>1E-10</v>
      </c>
      <c r="I726" s="4">
        <f t="shared" si="45"/>
        <v>72.210000000000178</v>
      </c>
      <c r="J726" s="2">
        <f t="shared" si="46"/>
        <v>72.210000000000178</v>
      </c>
    </row>
    <row r="727" spans="6:10" x14ac:dyDescent="0.25">
      <c r="F727" s="4">
        <f t="shared" si="47"/>
        <v>72.310000000000173</v>
      </c>
      <c r="G727" s="4">
        <f>cubspline(3,F727,Data!$B$36:$B$56,Data!$A$36:$A$56)</f>
        <v>0</v>
      </c>
      <c r="H727" s="4">
        <f t="shared" si="48"/>
        <v>1E-10</v>
      </c>
      <c r="I727" s="4">
        <f t="shared" si="45"/>
        <v>72.310000000000173</v>
      </c>
      <c r="J727" s="2">
        <f t="shared" si="46"/>
        <v>72.310000000000173</v>
      </c>
    </row>
    <row r="728" spans="6:10" x14ac:dyDescent="0.25">
      <c r="F728" s="4">
        <f t="shared" si="47"/>
        <v>72.410000000000167</v>
      </c>
      <c r="G728" s="4">
        <f>cubspline(3,F728,Data!$B$36:$B$56,Data!$A$36:$A$56)</f>
        <v>0</v>
      </c>
      <c r="H728" s="4">
        <f t="shared" si="48"/>
        <v>1E-10</v>
      </c>
      <c r="I728" s="4">
        <f t="shared" si="45"/>
        <v>72.410000000000167</v>
      </c>
      <c r="J728" s="2">
        <f t="shared" si="46"/>
        <v>72.410000000000167</v>
      </c>
    </row>
    <row r="729" spans="6:10" x14ac:dyDescent="0.25">
      <c r="F729" s="4">
        <f t="shared" si="47"/>
        <v>72.510000000000161</v>
      </c>
      <c r="G729" s="4">
        <f>cubspline(3,F729,Data!$B$36:$B$56,Data!$A$36:$A$56)</f>
        <v>0</v>
      </c>
      <c r="H729" s="4">
        <f t="shared" si="48"/>
        <v>1E-10</v>
      </c>
      <c r="I729" s="4">
        <f t="shared" si="45"/>
        <v>72.510000000000161</v>
      </c>
      <c r="J729" s="2">
        <f t="shared" si="46"/>
        <v>72.510000000000161</v>
      </c>
    </row>
    <row r="730" spans="6:10" x14ac:dyDescent="0.25">
      <c r="F730" s="4">
        <f t="shared" si="47"/>
        <v>72.610000000000156</v>
      </c>
      <c r="G730" s="4">
        <f>cubspline(3,F730,Data!$B$36:$B$56,Data!$A$36:$A$56)</f>
        <v>0</v>
      </c>
      <c r="H730" s="4">
        <f t="shared" si="48"/>
        <v>1E-10</v>
      </c>
      <c r="I730" s="4">
        <f t="shared" si="45"/>
        <v>72.610000000000156</v>
      </c>
      <c r="J730" s="2">
        <f t="shared" si="46"/>
        <v>72.610000000000156</v>
      </c>
    </row>
    <row r="731" spans="6:10" x14ac:dyDescent="0.25">
      <c r="F731" s="4">
        <f t="shared" si="47"/>
        <v>72.71000000000015</v>
      </c>
      <c r="G731" s="4">
        <f>cubspline(3,F731,Data!$B$36:$B$56,Data!$A$36:$A$56)</f>
        <v>0</v>
      </c>
      <c r="H731" s="4">
        <f t="shared" si="48"/>
        <v>1E-10</v>
      </c>
      <c r="I731" s="4">
        <f t="shared" si="45"/>
        <v>72.71000000000015</v>
      </c>
      <c r="J731" s="2">
        <f t="shared" si="46"/>
        <v>72.71000000000015</v>
      </c>
    </row>
    <row r="732" spans="6:10" x14ac:dyDescent="0.25">
      <c r="F732" s="4">
        <f t="shared" si="47"/>
        <v>72.810000000000144</v>
      </c>
      <c r="G732" s="4">
        <f>cubspline(3,F732,Data!$B$36:$B$56,Data!$A$36:$A$56)</f>
        <v>0</v>
      </c>
      <c r="H732" s="4">
        <f t="shared" si="48"/>
        <v>1E-10</v>
      </c>
      <c r="I732" s="4">
        <f t="shared" si="45"/>
        <v>72.810000000000144</v>
      </c>
      <c r="J732" s="2">
        <f t="shared" si="46"/>
        <v>72.810000000000144</v>
      </c>
    </row>
    <row r="733" spans="6:10" x14ac:dyDescent="0.25">
      <c r="F733" s="4">
        <f t="shared" si="47"/>
        <v>72.910000000000139</v>
      </c>
      <c r="G733" s="4">
        <f>cubspline(3,F733,Data!$B$36:$B$56,Data!$A$36:$A$56)</f>
        <v>0</v>
      </c>
      <c r="H733" s="4">
        <f t="shared" si="48"/>
        <v>1E-10</v>
      </c>
      <c r="I733" s="4">
        <f t="shared" si="45"/>
        <v>72.910000000000139</v>
      </c>
      <c r="J733" s="2">
        <f t="shared" si="46"/>
        <v>72.910000000000139</v>
      </c>
    </row>
    <row r="734" spans="6:10" x14ac:dyDescent="0.25">
      <c r="F734" s="4">
        <f t="shared" si="47"/>
        <v>73.010000000000133</v>
      </c>
      <c r="G734" s="4">
        <f>cubspline(3,F734,Data!$B$36:$B$56,Data!$A$36:$A$56)</f>
        <v>0</v>
      </c>
      <c r="H734" s="4">
        <f t="shared" si="48"/>
        <v>1E-10</v>
      </c>
      <c r="I734" s="4">
        <f t="shared" si="45"/>
        <v>73.010000000000133</v>
      </c>
      <c r="J734" s="2">
        <f t="shared" si="46"/>
        <v>73.010000000000133</v>
      </c>
    </row>
    <row r="735" spans="6:10" x14ac:dyDescent="0.25">
      <c r="F735" s="4">
        <f t="shared" si="47"/>
        <v>73.110000000000127</v>
      </c>
      <c r="G735" s="4">
        <f>cubspline(3,F735,Data!$B$36:$B$56,Data!$A$36:$A$56)</f>
        <v>0</v>
      </c>
      <c r="H735" s="4">
        <f t="shared" si="48"/>
        <v>1E-10</v>
      </c>
      <c r="I735" s="4">
        <f t="shared" si="45"/>
        <v>73.110000000000127</v>
      </c>
      <c r="J735" s="2">
        <f t="shared" si="46"/>
        <v>73.110000000000127</v>
      </c>
    </row>
    <row r="736" spans="6:10" x14ac:dyDescent="0.25">
      <c r="F736" s="4">
        <f t="shared" si="47"/>
        <v>73.210000000000122</v>
      </c>
      <c r="G736" s="4">
        <f>cubspline(3,F736,Data!$B$36:$B$56,Data!$A$36:$A$56)</f>
        <v>0</v>
      </c>
      <c r="H736" s="4">
        <f t="shared" si="48"/>
        <v>1E-10</v>
      </c>
      <c r="I736" s="4">
        <f t="shared" si="45"/>
        <v>73.210000000000122</v>
      </c>
      <c r="J736" s="2">
        <f t="shared" si="46"/>
        <v>73.210000000000122</v>
      </c>
    </row>
    <row r="737" spans="6:10" x14ac:dyDescent="0.25">
      <c r="F737" s="4">
        <f t="shared" si="47"/>
        <v>73.310000000000116</v>
      </c>
      <c r="G737" s="4">
        <f>cubspline(3,F737,Data!$B$36:$B$56,Data!$A$36:$A$56)</f>
        <v>0</v>
      </c>
      <c r="H737" s="4">
        <f t="shared" si="48"/>
        <v>1E-10</v>
      </c>
      <c r="I737" s="4">
        <f t="shared" si="45"/>
        <v>73.310000000000116</v>
      </c>
      <c r="J737" s="2">
        <f t="shared" si="46"/>
        <v>73.310000000000116</v>
      </c>
    </row>
    <row r="738" spans="6:10" x14ac:dyDescent="0.25">
      <c r="F738" s="4">
        <f t="shared" si="47"/>
        <v>73.41000000000011</v>
      </c>
      <c r="G738" s="4">
        <f>cubspline(3,F738,Data!$B$36:$B$56,Data!$A$36:$A$56)</f>
        <v>0</v>
      </c>
      <c r="H738" s="4">
        <f t="shared" si="48"/>
        <v>1E-10</v>
      </c>
      <c r="I738" s="4">
        <f t="shared" si="45"/>
        <v>73.41000000000011</v>
      </c>
      <c r="J738" s="2">
        <f t="shared" si="46"/>
        <v>73.41000000000011</v>
      </c>
    </row>
    <row r="739" spans="6:10" x14ac:dyDescent="0.25">
      <c r="F739" s="4">
        <f t="shared" si="47"/>
        <v>73.510000000000105</v>
      </c>
      <c r="G739" s="4">
        <f>cubspline(3,F739,Data!$B$36:$B$56,Data!$A$36:$A$56)</f>
        <v>0</v>
      </c>
      <c r="H739" s="4">
        <f t="shared" si="48"/>
        <v>1E-10</v>
      </c>
      <c r="I739" s="4">
        <f t="shared" si="45"/>
        <v>73.510000000000105</v>
      </c>
      <c r="J739" s="2">
        <f t="shared" si="46"/>
        <v>73.510000000000105</v>
      </c>
    </row>
    <row r="740" spans="6:10" x14ac:dyDescent="0.25">
      <c r="F740" s="4">
        <f t="shared" si="47"/>
        <v>73.610000000000099</v>
      </c>
      <c r="G740" s="4">
        <f>cubspline(3,F740,Data!$B$36:$B$56,Data!$A$36:$A$56)</f>
        <v>0</v>
      </c>
      <c r="H740" s="4">
        <f t="shared" si="48"/>
        <v>1E-10</v>
      </c>
      <c r="I740" s="4">
        <f t="shared" si="45"/>
        <v>73.610000000000099</v>
      </c>
      <c r="J740" s="2">
        <f t="shared" si="46"/>
        <v>73.610000000000099</v>
      </c>
    </row>
    <row r="741" spans="6:10" x14ac:dyDescent="0.25">
      <c r="F741" s="4">
        <f t="shared" si="47"/>
        <v>73.710000000000093</v>
      </c>
      <c r="G741" s="4">
        <f>cubspline(3,F741,Data!$B$36:$B$56,Data!$A$36:$A$56)</f>
        <v>0</v>
      </c>
      <c r="H741" s="4">
        <f t="shared" si="48"/>
        <v>1E-10</v>
      </c>
      <c r="I741" s="4">
        <f t="shared" si="45"/>
        <v>73.710000000000093</v>
      </c>
      <c r="J741" s="2">
        <f t="shared" si="46"/>
        <v>73.710000000000093</v>
      </c>
    </row>
    <row r="742" spans="6:10" x14ac:dyDescent="0.25">
      <c r="F742" s="4">
        <f t="shared" si="47"/>
        <v>73.810000000000088</v>
      </c>
      <c r="G742" s="4">
        <f>cubspline(3,F742,Data!$B$36:$B$56,Data!$A$36:$A$56)</f>
        <v>0</v>
      </c>
      <c r="H742" s="4">
        <f t="shared" si="48"/>
        <v>1E-10</v>
      </c>
      <c r="I742" s="4">
        <f t="shared" si="45"/>
        <v>73.810000000000088</v>
      </c>
      <c r="J742" s="2">
        <f t="shared" si="46"/>
        <v>73.810000000000088</v>
      </c>
    </row>
    <row r="743" spans="6:10" x14ac:dyDescent="0.25">
      <c r="F743" s="4">
        <f t="shared" si="47"/>
        <v>73.910000000000082</v>
      </c>
      <c r="G743" s="4">
        <f>cubspline(3,F743,Data!$B$36:$B$56,Data!$A$36:$A$56)</f>
        <v>0</v>
      </c>
      <c r="H743" s="4">
        <f t="shared" si="48"/>
        <v>1E-10</v>
      </c>
      <c r="I743" s="4">
        <f t="shared" si="45"/>
        <v>73.910000000000082</v>
      </c>
      <c r="J743" s="2">
        <f t="shared" si="46"/>
        <v>73.910000000000082</v>
      </c>
    </row>
    <row r="744" spans="6:10" x14ac:dyDescent="0.25">
      <c r="F744" s="4">
        <f t="shared" si="47"/>
        <v>74.010000000000076</v>
      </c>
      <c r="G744" s="4">
        <f>cubspline(3,F744,Data!$B$36:$B$56,Data!$A$36:$A$56)</f>
        <v>0</v>
      </c>
      <c r="H744" s="4">
        <f t="shared" si="48"/>
        <v>1E-10</v>
      </c>
      <c r="I744" s="4">
        <f t="shared" si="45"/>
        <v>74.010000000000076</v>
      </c>
      <c r="J744" s="2">
        <f t="shared" si="46"/>
        <v>74.010000000000076</v>
      </c>
    </row>
    <row r="745" spans="6:10" x14ac:dyDescent="0.25">
      <c r="F745" s="4">
        <f t="shared" si="47"/>
        <v>74.11000000000007</v>
      </c>
      <c r="G745" s="4">
        <f>cubspline(3,F745,Data!$B$36:$B$56,Data!$A$36:$A$56)</f>
        <v>0</v>
      </c>
      <c r="H745" s="4">
        <f t="shared" si="48"/>
        <v>1E-10</v>
      </c>
      <c r="I745" s="4">
        <f t="shared" si="45"/>
        <v>74.11000000000007</v>
      </c>
      <c r="J745" s="2">
        <f t="shared" si="46"/>
        <v>74.11000000000007</v>
      </c>
    </row>
    <row r="746" spans="6:10" x14ac:dyDescent="0.25">
      <c r="F746" s="4">
        <f t="shared" si="47"/>
        <v>74.210000000000065</v>
      </c>
      <c r="G746" s="4">
        <f>cubspline(3,F746,Data!$B$36:$B$56,Data!$A$36:$A$56)</f>
        <v>0</v>
      </c>
      <c r="H746" s="4">
        <f t="shared" si="48"/>
        <v>1E-10</v>
      </c>
      <c r="I746" s="4">
        <f t="shared" si="45"/>
        <v>74.210000000000065</v>
      </c>
      <c r="J746" s="2">
        <f t="shared" si="46"/>
        <v>74.210000000000065</v>
      </c>
    </row>
    <row r="747" spans="6:10" x14ac:dyDescent="0.25">
      <c r="F747" s="4">
        <f t="shared" si="47"/>
        <v>74.310000000000059</v>
      </c>
      <c r="G747" s="4">
        <f>cubspline(3,F747,Data!$B$36:$B$56,Data!$A$36:$A$56)</f>
        <v>0</v>
      </c>
      <c r="H747" s="4">
        <f t="shared" si="48"/>
        <v>1E-10</v>
      </c>
      <c r="I747" s="4">
        <f t="shared" si="45"/>
        <v>74.310000000000059</v>
      </c>
      <c r="J747" s="2">
        <f t="shared" si="46"/>
        <v>74.310000000000059</v>
      </c>
    </row>
    <row r="748" spans="6:10" x14ac:dyDescent="0.25">
      <c r="F748" s="4">
        <f t="shared" si="47"/>
        <v>74.410000000000053</v>
      </c>
      <c r="G748" s="4">
        <f>cubspline(3,F748,Data!$B$36:$B$56,Data!$A$36:$A$56)</f>
        <v>0</v>
      </c>
      <c r="H748" s="4">
        <f t="shared" si="48"/>
        <v>1E-10</v>
      </c>
      <c r="I748" s="4">
        <f t="shared" si="45"/>
        <v>74.410000000000053</v>
      </c>
      <c r="J748" s="2">
        <f t="shared" si="46"/>
        <v>74.410000000000053</v>
      </c>
    </row>
    <row r="749" spans="6:10" x14ac:dyDescent="0.25">
      <c r="F749" s="4">
        <f t="shared" si="47"/>
        <v>74.510000000000048</v>
      </c>
      <c r="G749" s="4">
        <f>cubspline(3,F749,Data!$B$36:$B$56,Data!$A$36:$A$56)</f>
        <v>0</v>
      </c>
      <c r="H749" s="4">
        <f t="shared" si="48"/>
        <v>1E-10</v>
      </c>
      <c r="I749" s="4">
        <f t="shared" si="45"/>
        <v>74.510000000000048</v>
      </c>
      <c r="J749" s="2">
        <f t="shared" si="46"/>
        <v>74.510000000000048</v>
      </c>
    </row>
    <row r="750" spans="6:10" x14ac:dyDescent="0.25">
      <c r="F750" s="4">
        <f t="shared" si="47"/>
        <v>74.610000000000042</v>
      </c>
      <c r="G750" s="4">
        <f>cubspline(3,F750,Data!$B$36:$B$56,Data!$A$36:$A$56)</f>
        <v>0</v>
      </c>
      <c r="H750" s="4">
        <f t="shared" si="48"/>
        <v>1E-10</v>
      </c>
      <c r="I750" s="4">
        <f t="shared" si="45"/>
        <v>74.610000000000042</v>
      </c>
      <c r="J750" s="2">
        <f t="shared" si="46"/>
        <v>74.610000000000042</v>
      </c>
    </row>
    <row r="751" spans="6:10" x14ac:dyDescent="0.25">
      <c r="F751" s="4">
        <f t="shared" si="47"/>
        <v>74.710000000000036</v>
      </c>
      <c r="G751" s="4">
        <f>cubspline(3,F751,Data!$B$36:$B$56,Data!$A$36:$A$56)</f>
        <v>0</v>
      </c>
      <c r="H751" s="4">
        <f t="shared" si="48"/>
        <v>1E-10</v>
      </c>
      <c r="I751" s="4">
        <f t="shared" si="45"/>
        <v>74.710000000000036</v>
      </c>
      <c r="J751" s="2">
        <f t="shared" si="46"/>
        <v>74.710000000000036</v>
      </c>
    </row>
    <row r="752" spans="6:10" x14ac:dyDescent="0.25">
      <c r="F752" s="4">
        <f t="shared" si="47"/>
        <v>74.810000000000031</v>
      </c>
      <c r="G752" s="4">
        <f>cubspline(3,F752,Data!$B$36:$B$56,Data!$A$36:$A$56)</f>
        <v>0</v>
      </c>
      <c r="H752" s="4">
        <f t="shared" si="48"/>
        <v>1E-10</v>
      </c>
      <c r="I752" s="4">
        <f t="shared" si="45"/>
        <v>74.810000000000031</v>
      </c>
      <c r="J752" s="2">
        <f t="shared" si="46"/>
        <v>74.810000000000031</v>
      </c>
    </row>
    <row r="753" spans="6:10" x14ac:dyDescent="0.25">
      <c r="F753" s="4">
        <f t="shared" si="47"/>
        <v>74.910000000000025</v>
      </c>
      <c r="G753" s="4">
        <f>cubspline(3,F753,Data!$B$36:$B$56,Data!$A$36:$A$56)</f>
        <v>0</v>
      </c>
      <c r="H753" s="4">
        <f t="shared" si="48"/>
        <v>1E-10</v>
      </c>
      <c r="I753" s="4">
        <f t="shared" si="45"/>
        <v>74.910000000000025</v>
      </c>
      <c r="J753" s="2">
        <f t="shared" si="46"/>
        <v>74.910000000000025</v>
      </c>
    </row>
    <row r="754" spans="6:10" x14ac:dyDescent="0.25">
      <c r="F754" s="4">
        <f t="shared" si="47"/>
        <v>75.010000000000019</v>
      </c>
      <c r="G754" s="4">
        <f>cubspline(3,F754,Data!$B$36:$B$56,Data!$A$36:$A$56)</f>
        <v>0</v>
      </c>
      <c r="H754" s="4">
        <f t="shared" si="48"/>
        <v>1E-10</v>
      </c>
      <c r="I754" s="4">
        <f t="shared" si="45"/>
        <v>75.010000000000019</v>
      </c>
      <c r="J754" s="2">
        <f t="shared" si="46"/>
        <v>75.010000000000019</v>
      </c>
    </row>
    <row r="755" spans="6:10" x14ac:dyDescent="0.25">
      <c r="F755" s="4">
        <f t="shared" si="47"/>
        <v>75.110000000000014</v>
      </c>
      <c r="G755" s="4">
        <f>cubspline(3,F755,Data!$B$36:$B$56,Data!$A$36:$A$56)</f>
        <v>0</v>
      </c>
      <c r="H755" s="4">
        <f t="shared" si="48"/>
        <v>1E-10</v>
      </c>
      <c r="I755" s="4">
        <f t="shared" si="45"/>
        <v>75.110000000000014</v>
      </c>
      <c r="J755" s="2">
        <f t="shared" si="46"/>
        <v>75.110000000000014</v>
      </c>
    </row>
    <row r="756" spans="6:10" x14ac:dyDescent="0.25">
      <c r="F756" s="4">
        <f t="shared" si="47"/>
        <v>75.210000000000008</v>
      </c>
      <c r="G756" s="4">
        <f>cubspline(3,F756,Data!$B$36:$B$56,Data!$A$36:$A$56)</f>
        <v>0</v>
      </c>
      <c r="H756" s="4">
        <f t="shared" si="48"/>
        <v>1E-10</v>
      </c>
      <c r="I756" s="4">
        <f t="shared" si="45"/>
        <v>75.210000000000008</v>
      </c>
      <c r="J756" s="2">
        <f t="shared" si="46"/>
        <v>75.210000000000008</v>
      </c>
    </row>
    <row r="757" spans="6:10" x14ac:dyDescent="0.25">
      <c r="F757" s="4">
        <f t="shared" si="47"/>
        <v>75.31</v>
      </c>
      <c r="G757" s="4">
        <f>cubspline(3,F757,Data!$B$36:$B$56,Data!$A$36:$A$56)</f>
        <v>0</v>
      </c>
      <c r="H757" s="4">
        <f t="shared" si="48"/>
        <v>1E-10</v>
      </c>
      <c r="I757" s="4">
        <f t="shared" si="45"/>
        <v>75.31</v>
      </c>
      <c r="J757" s="2">
        <f t="shared" si="46"/>
        <v>75.31</v>
      </c>
    </row>
    <row r="758" spans="6:10" x14ac:dyDescent="0.25">
      <c r="F758" s="4">
        <f t="shared" si="47"/>
        <v>75.41</v>
      </c>
      <c r="G758" s="4">
        <f>cubspline(3,F758,Data!$B$36:$B$56,Data!$A$36:$A$56)</f>
        <v>0</v>
      </c>
      <c r="H758" s="4">
        <f t="shared" si="48"/>
        <v>1E-10</v>
      </c>
      <c r="I758" s="4">
        <f t="shared" si="45"/>
        <v>75.41</v>
      </c>
      <c r="J758" s="2">
        <f t="shared" si="46"/>
        <v>75.41</v>
      </c>
    </row>
    <row r="759" spans="6:10" x14ac:dyDescent="0.25">
      <c r="F759" s="4">
        <f t="shared" si="47"/>
        <v>75.509999999999991</v>
      </c>
      <c r="G759" s="4">
        <f>cubspline(3,F759,Data!$B$36:$B$56,Data!$A$36:$A$56)</f>
        <v>0</v>
      </c>
      <c r="H759" s="4">
        <f t="shared" si="48"/>
        <v>1E-10</v>
      </c>
      <c r="I759" s="4">
        <f t="shared" si="45"/>
        <v>75.509999999999991</v>
      </c>
      <c r="J759" s="2">
        <f t="shared" si="46"/>
        <v>75.509999999999991</v>
      </c>
    </row>
    <row r="760" spans="6:10" x14ac:dyDescent="0.25">
      <c r="F760" s="4">
        <f t="shared" si="47"/>
        <v>75.609999999999985</v>
      </c>
      <c r="G760" s="4">
        <f>cubspline(3,F760,Data!$B$36:$B$56,Data!$A$36:$A$56)</f>
        <v>0</v>
      </c>
      <c r="H760" s="4">
        <f t="shared" si="48"/>
        <v>1E-10</v>
      </c>
      <c r="I760" s="4">
        <f t="shared" si="45"/>
        <v>75.609999999999985</v>
      </c>
      <c r="J760" s="2">
        <f t="shared" si="46"/>
        <v>75.609999999999985</v>
      </c>
    </row>
    <row r="761" spans="6:10" x14ac:dyDescent="0.25">
      <c r="F761" s="4">
        <f t="shared" si="47"/>
        <v>75.70999999999998</v>
      </c>
      <c r="G761" s="4">
        <f>cubspline(3,F761,Data!$B$36:$B$56,Data!$A$36:$A$56)</f>
        <v>0</v>
      </c>
      <c r="H761" s="4">
        <f t="shared" si="48"/>
        <v>1E-10</v>
      </c>
      <c r="I761" s="4">
        <f t="shared" si="45"/>
        <v>75.70999999999998</v>
      </c>
      <c r="J761" s="2">
        <f t="shared" si="46"/>
        <v>75.70999999999998</v>
      </c>
    </row>
    <row r="762" spans="6:10" x14ac:dyDescent="0.25">
      <c r="F762" s="4">
        <f t="shared" si="47"/>
        <v>75.809999999999974</v>
      </c>
      <c r="G762" s="4">
        <f>cubspline(3,F762,Data!$B$36:$B$56,Data!$A$36:$A$56)</f>
        <v>0</v>
      </c>
      <c r="H762" s="4">
        <f t="shared" si="48"/>
        <v>1E-10</v>
      </c>
      <c r="I762" s="4">
        <f t="shared" si="45"/>
        <v>75.809999999999974</v>
      </c>
      <c r="J762" s="2">
        <f t="shared" si="46"/>
        <v>75.809999999999974</v>
      </c>
    </row>
    <row r="763" spans="6:10" x14ac:dyDescent="0.25">
      <c r="F763" s="4">
        <f t="shared" si="47"/>
        <v>75.909999999999968</v>
      </c>
      <c r="G763" s="4">
        <f>cubspline(3,F763,Data!$B$36:$B$56,Data!$A$36:$A$56)</f>
        <v>0</v>
      </c>
      <c r="H763" s="4">
        <f t="shared" si="48"/>
        <v>1E-10</v>
      </c>
      <c r="I763" s="4">
        <f t="shared" si="45"/>
        <v>75.909999999999968</v>
      </c>
      <c r="J763" s="2">
        <f t="shared" si="46"/>
        <v>75.909999999999968</v>
      </c>
    </row>
    <row r="764" spans="6:10" x14ac:dyDescent="0.25">
      <c r="F764" s="4">
        <f t="shared" si="47"/>
        <v>76.009999999999962</v>
      </c>
      <c r="G764" s="4">
        <f>cubspline(3,F764,Data!$B$36:$B$56,Data!$A$36:$A$56)</f>
        <v>0</v>
      </c>
      <c r="H764" s="4">
        <f t="shared" si="48"/>
        <v>1E-10</v>
      </c>
      <c r="I764" s="4">
        <f t="shared" si="45"/>
        <v>76.009999999999962</v>
      </c>
      <c r="J764" s="2">
        <f t="shared" si="46"/>
        <v>76.009999999999962</v>
      </c>
    </row>
    <row r="765" spans="6:10" x14ac:dyDescent="0.25">
      <c r="F765" s="4">
        <f t="shared" si="47"/>
        <v>76.109999999999957</v>
      </c>
      <c r="G765" s="4">
        <f>cubspline(3,F765,Data!$B$36:$B$56,Data!$A$36:$A$56)</f>
        <v>0</v>
      </c>
      <c r="H765" s="4">
        <f t="shared" si="48"/>
        <v>1E-10</v>
      </c>
      <c r="I765" s="4">
        <f t="shared" si="45"/>
        <v>76.109999999999957</v>
      </c>
      <c r="J765" s="2">
        <f t="shared" si="46"/>
        <v>76.109999999999957</v>
      </c>
    </row>
    <row r="766" spans="6:10" x14ac:dyDescent="0.25">
      <c r="F766" s="4">
        <f t="shared" si="47"/>
        <v>76.209999999999951</v>
      </c>
      <c r="G766" s="4">
        <f>cubspline(3,F766,Data!$B$36:$B$56,Data!$A$36:$A$56)</f>
        <v>0</v>
      </c>
      <c r="H766" s="4">
        <f t="shared" si="48"/>
        <v>1E-10</v>
      </c>
      <c r="I766" s="4">
        <f t="shared" si="45"/>
        <v>76.209999999999951</v>
      </c>
      <c r="J766" s="2">
        <f t="shared" si="46"/>
        <v>76.209999999999951</v>
      </c>
    </row>
    <row r="767" spans="6:10" x14ac:dyDescent="0.25">
      <c r="F767" s="4">
        <f t="shared" si="47"/>
        <v>76.309999999999945</v>
      </c>
      <c r="G767" s="4">
        <f>cubspline(3,F767,Data!$B$36:$B$56,Data!$A$36:$A$56)</f>
        <v>0</v>
      </c>
      <c r="H767" s="4">
        <f t="shared" si="48"/>
        <v>1E-10</v>
      </c>
      <c r="I767" s="4">
        <f t="shared" si="45"/>
        <v>76.309999999999945</v>
      </c>
      <c r="J767" s="2">
        <f t="shared" si="46"/>
        <v>76.309999999999945</v>
      </c>
    </row>
    <row r="768" spans="6:10" x14ac:dyDescent="0.25">
      <c r="F768" s="4">
        <f t="shared" si="47"/>
        <v>76.40999999999994</v>
      </c>
      <c r="G768" s="4">
        <f>cubspline(3,F768,Data!$B$36:$B$56,Data!$A$36:$A$56)</f>
        <v>0</v>
      </c>
      <c r="H768" s="4">
        <f t="shared" si="48"/>
        <v>1E-10</v>
      </c>
      <c r="I768" s="4">
        <f t="shared" si="45"/>
        <v>76.40999999999994</v>
      </c>
      <c r="J768" s="2">
        <f t="shared" si="46"/>
        <v>76.40999999999994</v>
      </c>
    </row>
    <row r="769" spans="6:10" x14ac:dyDescent="0.25">
      <c r="F769" s="4">
        <f t="shared" si="47"/>
        <v>76.509999999999934</v>
      </c>
      <c r="G769" s="4">
        <f>cubspline(3,F769,Data!$B$36:$B$56,Data!$A$36:$A$56)</f>
        <v>0</v>
      </c>
      <c r="H769" s="4">
        <f t="shared" si="48"/>
        <v>1E-10</v>
      </c>
      <c r="I769" s="4">
        <f t="shared" si="45"/>
        <v>76.509999999999934</v>
      </c>
      <c r="J769" s="2">
        <f t="shared" si="46"/>
        <v>76.509999999999934</v>
      </c>
    </row>
    <row r="770" spans="6:10" x14ac:dyDescent="0.25">
      <c r="F770" s="4">
        <f t="shared" si="47"/>
        <v>76.609999999999928</v>
      </c>
      <c r="G770" s="4">
        <f>cubspline(3,F770,Data!$B$36:$B$56,Data!$A$36:$A$56)</f>
        <v>0</v>
      </c>
      <c r="H770" s="4">
        <f t="shared" si="48"/>
        <v>1E-10</v>
      </c>
      <c r="I770" s="4">
        <f t="shared" si="45"/>
        <v>76.609999999999928</v>
      </c>
      <c r="J770" s="2">
        <f t="shared" si="46"/>
        <v>76.609999999999928</v>
      </c>
    </row>
    <row r="771" spans="6:10" x14ac:dyDescent="0.25">
      <c r="F771" s="4">
        <f t="shared" si="47"/>
        <v>76.709999999999923</v>
      </c>
      <c r="G771" s="4">
        <f>cubspline(3,F771,Data!$B$36:$B$56,Data!$A$36:$A$56)</f>
        <v>0</v>
      </c>
      <c r="H771" s="4">
        <f t="shared" si="48"/>
        <v>1E-10</v>
      </c>
      <c r="I771" s="4">
        <f t="shared" si="45"/>
        <v>76.709999999999923</v>
      </c>
      <c r="J771" s="2">
        <f t="shared" si="46"/>
        <v>76.709999999999923</v>
      </c>
    </row>
    <row r="772" spans="6:10" x14ac:dyDescent="0.25">
      <c r="F772" s="4">
        <f t="shared" si="47"/>
        <v>76.809999999999917</v>
      </c>
      <c r="G772" s="4">
        <f>cubspline(3,F772,Data!$B$36:$B$56,Data!$A$36:$A$56)</f>
        <v>0</v>
      </c>
      <c r="H772" s="4">
        <f t="shared" si="48"/>
        <v>1E-10</v>
      </c>
      <c r="I772" s="4">
        <f t="shared" si="45"/>
        <v>76.809999999999917</v>
      </c>
      <c r="J772" s="2">
        <f t="shared" si="46"/>
        <v>76.809999999999917</v>
      </c>
    </row>
    <row r="773" spans="6:10" x14ac:dyDescent="0.25">
      <c r="F773" s="4">
        <f t="shared" si="47"/>
        <v>76.909999999999911</v>
      </c>
      <c r="G773" s="4">
        <f>cubspline(3,F773,Data!$B$36:$B$56,Data!$A$36:$A$56)</f>
        <v>0</v>
      </c>
      <c r="H773" s="4">
        <f t="shared" si="48"/>
        <v>1E-10</v>
      </c>
      <c r="I773" s="4">
        <f t="shared" ref="I773:I836" si="49">IF(F773&gt;$D$47,F773,NA())</f>
        <v>76.909999999999911</v>
      </c>
      <c r="J773" s="2">
        <f t="shared" ref="J773:J836" si="50">IF(F773&gt;=$D$47,F773,($D$47-(0.3*($D$47-F773))))</f>
        <v>76.909999999999911</v>
      </c>
    </row>
    <row r="774" spans="6:10" x14ac:dyDescent="0.25">
      <c r="F774" s="4">
        <f t="shared" ref="F774:F837" si="51">F773+0.1</f>
        <v>77.009999999999906</v>
      </c>
      <c r="G774" s="4">
        <f>cubspline(3,F774,Data!$B$36:$B$56,Data!$A$36:$A$56)</f>
        <v>0</v>
      </c>
      <c r="H774" s="4">
        <f t="shared" ref="H774:H837" si="52">IF(G774&lt;=0,0.0000000001,G774)</f>
        <v>1E-10</v>
      </c>
      <c r="I774" s="4">
        <f t="shared" si="49"/>
        <v>77.009999999999906</v>
      </c>
      <c r="J774" s="2">
        <f t="shared" si="50"/>
        <v>77.009999999999906</v>
      </c>
    </row>
    <row r="775" spans="6:10" x14ac:dyDescent="0.25">
      <c r="F775" s="4">
        <f t="shared" si="51"/>
        <v>77.1099999999999</v>
      </c>
      <c r="G775" s="4">
        <f>cubspline(3,F775,Data!$B$36:$B$56,Data!$A$36:$A$56)</f>
        <v>0</v>
      </c>
      <c r="H775" s="4">
        <f t="shared" si="52"/>
        <v>1E-10</v>
      </c>
      <c r="I775" s="4">
        <f t="shared" si="49"/>
        <v>77.1099999999999</v>
      </c>
      <c r="J775" s="2">
        <f t="shared" si="50"/>
        <v>77.1099999999999</v>
      </c>
    </row>
    <row r="776" spans="6:10" x14ac:dyDescent="0.25">
      <c r="F776" s="4">
        <f t="shared" si="51"/>
        <v>77.209999999999894</v>
      </c>
      <c r="G776" s="4">
        <f>cubspline(3,F776,Data!$B$36:$B$56,Data!$A$36:$A$56)</f>
        <v>0</v>
      </c>
      <c r="H776" s="4">
        <f t="shared" si="52"/>
        <v>1E-10</v>
      </c>
      <c r="I776" s="4">
        <f t="shared" si="49"/>
        <v>77.209999999999894</v>
      </c>
      <c r="J776" s="2">
        <f t="shared" si="50"/>
        <v>77.209999999999894</v>
      </c>
    </row>
    <row r="777" spans="6:10" x14ac:dyDescent="0.25">
      <c r="F777" s="4">
        <f t="shared" si="51"/>
        <v>77.309999999999889</v>
      </c>
      <c r="G777" s="4">
        <f>cubspline(3,F777,Data!$B$36:$B$56,Data!$A$36:$A$56)</f>
        <v>0</v>
      </c>
      <c r="H777" s="4">
        <f t="shared" si="52"/>
        <v>1E-10</v>
      </c>
      <c r="I777" s="4">
        <f t="shared" si="49"/>
        <v>77.309999999999889</v>
      </c>
      <c r="J777" s="2">
        <f t="shared" si="50"/>
        <v>77.309999999999889</v>
      </c>
    </row>
    <row r="778" spans="6:10" x14ac:dyDescent="0.25">
      <c r="F778" s="4">
        <f t="shared" si="51"/>
        <v>77.409999999999883</v>
      </c>
      <c r="G778" s="4">
        <f>cubspline(3,F778,Data!$B$36:$B$56,Data!$A$36:$A$56)</f>
        <v>0</v>
      </c>
      <c r="H778" s="4">
        <f t="shared" si="52"/>
        <v>1E-10</v>
      </c>
      <c r="I778" s="4">
        <f t="shared" si="49"/>
        <v>77.409999999999883</v>
      </c>
      <c r="J778" s="2">
        <f t="shared" si="50"/>
        <v>77.409999999999883</v>
      </c>
    </row>
    <row r="779" spans="6:10" x14ac:dyDescent="0.25">
      <c r="F779" s="4">
        <f t="shared" si="51"/>
        <v>77.509999999999877</v>
      </c>
      <c r="G779" s="4">
        <f>cubspline(3,F779,Data!$B$36:$B$56,Data!$A$36:$A$56)</f>
        <v>0</v>
      </c>
      <c r="H779" s="4">
        <f t="shared" si="52"/>
        <v>1E-10</v>
      </c>
      <c r="I779" s="4">
        <f t="shared" si="49"/>
        <v>77.509999999999877</v>
      </c>
      <c r="J779" s="2">
        <f t="shared" si="50"/>
        <v>77.509999999999877</v>
      </c>
    </row>
    <row r="780" spans="6:10" x14ac:dyDescent="0.25">
      <c r="F780" s="4">
        <f t="shared" si="51"/>
        <v>77.609999999999872</v>
      </c>
      <c r="G780" s="4">
        <f>cubspline(3,F780,Data!$B$36:$B$56,Data!$A$36:$A$56)</f>
        <v>0</v>
      </c>
      <c r="H780" s="4">
        <f t="shared" si="52"/>
        <v>1E-10</v>
      </c>
      <c r="I780" s="4">
        <f t="shared" si="49"/>
        <v>77.609999999999872</v>
      </c>
      <c r="J780" s="2">
        <f t="shared" si="50"/>
        <v>77.609999999999872</v>
      </c>
    </row>
    <row r="781" spans="6:10" x14ac:dyDescent="0.25">
      <c r="F781" s="4">
        <f t="shared" si="51"/>
        <v>77.709999999999866</v>
      </c>
      <c r="G781" s="4">
        <f>cubspline(3,F781,Data!$B$36:$B$56,Data!$A$36:$A$56)</f>
        <v>0</v>
      </c>
      <c r="H781" s="4">
        <f t="shared" si="52"/>
        <v>1E-10</v>
      </c>
      <c r="I781" s="4">
        <f t="shared" si="49"/>
        <v>77.709999999999866</v>
      </c>
      <c r="J781" s="2">
        <f t="shared" si="50"/>
        <v>77.709999999999866</v>
      </c>
    </row>
    <row r="782" spans="6:10" x14ac:dyDescent="0.25">
      <c r="F782" s="4">
        <f t="shared" si="51"/>
        <v>77.80999999999986</v>
      </c>
      <c r="G782" s="4">
        <f>cubspline(3,F782,Data!$B$36:$B$56,Data!$A$36:$A$56)</f>
        <v>0</v>
      </c>
      <c r="H782" s="4">
        <f t="shared" si="52"/>
        <v>1E-10</v>
      </c>
      <c r="I782" s="4">
        <f t="shared" si="49"/>
        <v>77.80999999999986</v>
      </c>
      <c r="J782" s="2">
        <f t="shared" si="50"/>
        <v>77.80999999999986</v>
      </c>
    </row>
    <row r="783" spans="6:10" x14ac:dyDescent="0.25">
      <c r="F783" s="4">
        <f t="shared" si="51"/>
        <v>77.909999999999854</v>
      </c>
      <c r="G783" s="4">
        <f>cubspline(3,F783,Data!$B$36:$B$56,Data!$A$36:$A$56)</f>
        <v>0</v>
      </c>
      <c r="H783" s="4">
        <f t="shared" si="52"/>
        <v>1E-10</v>
      </c>
      <c r="I783" s="4">
        <f t="shared" si="49"/>
        <v>77.909999999999854</v>
      </c>
      <c r="J783" s="2">
        <f t="shared" si="50"/>
        <v>77.909999999999854</v>
      </c>
    </row>
    <row r="784" spans="6:10" x14ac:dyDescent="0.25">
      <c r="F784" s="4">
        <f t="shared" si="51"/>
        <v>78.009999999999849</v>
      </c>
      <c r="G784" s="4">
        <f>cubspline(3,F784,Data!$B$36:$B$56,Data!$A$36:$A$56)</f>
        <v>0</v>
      </c>
      <c r="H784" s="4">
        <f t="shared" si="52"/>
        <v>1E-10</v>
      </c>
      <c r="I784" s="4">
        <f t="shared" si="49"/>
        <v>78.009999999999849</v>
      </c>
      <c r="J784" s="2">
        <f t="shared" si="50"/>
        <v>78.009999999999849</v>
      </c>
    </row>
    <row r="785" spans="6:10" x14ac:dyDescent="0.25">
      <c r="F785" s="4">
        <f t="shared" si="51"/>
        <v>78.109999999999843</v>
      </c>
      <c r="G785" s="4">
        <f>cubspline(3,F785,Data!$B$36:$B$56,Data!$A$36:$A$56)</f>
        <v>0</v>
      </c>
      <c r="H785" s="4">
        <f t="shared" si="52"/>
        <v>1E-10</v>
      </c>
      <c r="I785" s="4">
        <f t="shared" si="49"/>
        <v>78.109999999999843</v>
      </c>
      <c r="J785" s="2">
        <f t="shared" si="50"/>
        <v>78.109999999999843</v>
      </c>
    </row>
    <row r="786" spans="6:10" x14ac:dyDescent="0.25">
      <c r="F786" s="4">
        <f t="shared" si="51"/>
        <v>78.209999999999837</v>
      </c>
      <c r="G786" s="4">
        <f>cubspline(3,F786,Data!$B$36:$B$56,Data!$A$36:$A$56)</f>
        <v>0</v>
      </c>
      <c r="H786" s="4">
        <f t="shared" si="52"/>
        <v>1E-10</v>
      </c>
      <c r="I786" s="4">
        <f t="shared" si="49"/>
        <v>78.209999999999837</v>
      </c>
      <c r="J786" s="2">
        <f t="shared" si="50"/>
        <v>78.209999999999837</v>
      </c>
    </row>
    <row r="787" spans="6:10" x14ac:dyDescent="0.25">
      <c r="F787" s="4">
        <f t="shared" si="51"/>
        <v>78.309999999999832</v>
      </c>
      <c r="G787" s="4">
        <f>cubspline(3,F787,Data!$B$36:$B$56,Data!$A$36:$A$56)</f>
        <v>0</v>
      </c>
      <c r="H787" s="4">
        <f t="shared" si="52"/>
        <v>1E-10</v>
      </c>
      <c r="I787" s="4">
        <f t="shared" si="49"/>
        <v>78.309999999999832</v>
      </c>
      <c r="J787" s="2">
        <f t="shared" si="50"/>
        <v>78.309999999999832</v>
      </c>
    </row>
    <row r="788" spans="6:10" x14ac:dyDescent="0.25">
      <c r="F788" s="4">
        <f t="shared" si="51"/>
        <v>78.409999999999826</v>
      </c>
      <c r="G788" s="4">
        <f>cubspline(3,F788,Data!$B$36:$B$56,Data!$A$36:$A$56)</f>
        <v>0</v>
      </c>
      <c r="H788" s="4">
        <f t="shared" si="52"/>
        <v>1E-10</v>
      </c>
      <c r="I788" s="4">
        <f t="shared" si="49"/>
        <v>78.409999999999826</v>
      </c>
      <c r="J788" s="2">
        <f t="shared" si="50"/>
        <v>78.409999999999826</v>
      </c>
    </row>
    <row r="789" spans="6:10" x14ac:dyDescent="0.25">
      <c r="F789" s="4">
        <f t="shared" si="51"/>
        <v>78.50999999999982</v>
      </c>
      <c r="G789" s="4">
        <f>cubspline(3,F789,Data!$B$36:$B$56,Data!$A$36:$A$56)</f>
        <v>0</v>
      </c>
      <c r="H789" s="4">
        <f t="shared" si="52"/>
        <v>1E-10</v>
      </c>
      <c r="I789" s="4">
        <f t="shared" si="49"/>
        <v>78.50999999999982</v>
      </c>
      <c r="J789" s="2">
        <f t="shared" si="50"/>
        <v>78.50999999999982</v>
      </c>
    </row>
    <row r="790" spans="6:10" x14ac:dyDescent="0.25">
      <c r="F790" s="4">
        <f t="shared" si="51"/>
        <v>78.609999999999815</v>
      </c>
      <c r="G790" s="4">
        <f>cubspline(3,F790,Data!$B$36:$B$56,Data!$A$36:$A$56)</f>
        <v>0</v>
      </c>
      <c r="H790" s="4">
        <f t="shared" si="52"/>
        <v>1E-10</v>
      </c>
      <c r="I790" s="4">
        <f t="shared" si="49"/>
        <v>78.609999999999815</v>
      </c>
      <c r="J790" s="2">
        <f t="shared" si="50"/>
        <v>78.609999999999815</v>
      </c>
    </row>
    <row r="791" spans="6:10" x14ac:dyDescent="0.25">
      <c r="F791" s="4">
        <f t="shared" si="51"/>
        <v>78.709999999999809</v>
      </c>
      <c r="G791" s="4">
        <f>cubspline(3,F791,Data!$B$36:$B$56,Data!$A$36:$A$56)</f>
        <v>0</v>
      </c>
      <c r="H791" s="4">
        <f t="shared" si="52"/>
        <v>1E-10</v>
      </c>
      <c r="I791" s="4">
        <f t="shared" si="49"/>
        <v>78.709999999999809</v>
      </c>
      <c r="J791" s="2">
        <f t="shared" si="50"/>
        <v>78.709999999999809</v>
      </c>
    </row>
    <row r="792" spans="6:10" x14ac:dyDescent="0.25">
      <c r="F792" s="4">
        <f t="shared" si="51"/>
        <v>78.809999999999803</v>
      </c>
      <c r="G792" s="4">
        <f>cubspline(3,F792,Data!$B$36:$B$56,Data!$A$36:$A$56)</f>
        <v>0</v>
      </c>
      <c r="H792" s="4">
        <f t="shared" si="52"/>
        <v>1E-10</v>
      </c>
      <c r="I792" s="4">
        <f t="shared" si="49"/>
        <v>78.809999999999803</v>
      </c>
      <c r="J792" s="2">
        <f t="shared" si="50"/>
        <v>78.809999999999803</v>
      </c>
    </row>
    <row r="793" spans="6:10" x14ac:dyDescent="0.25">
      <c r="F793" s="4">
        <f t="shared" si="51"/>
        <v>78.909999999999798</v>
      </c>
      <c r="G793" s="4">
        <f>cubspline(3,F793,Data!$B$36:$B$56,Data!$A$36:$A$56)</f>
        <v>0</v>
      </c>
      <c r="H793" s="4">
        <f t="shared" si="52"/>
        <v>1E-10</v>
      </c>
      <c r="I793" s="4">
        <f t="shared" si="49"/>
        <v>78.909999999999798</v>
      </c>
      <c r="J793" s="2">
        <f t="shared" si="50"/>
        <v>78.909999999999798</v>
      </c>
    </row>
    <row r="794" spans="6:10" x14ac:dyDescent="0.25">
      <c r="F794" s="4">
        <f t="shared" si="51"/>
        <v>79.009999999999792</v>
      </c>
      <c r="G794" s="4">
        <f>cubspline(3,F794,Data!$B$36:$B$56,Data!$A$36:$A$56)</f>
        <v>0</v>
      </c>
      <c r="H794" s="4">
        <f t="shared" si="52"/>
        <v>1E-10</v>
      </c>
      <c r="I794" s="4">
        <f t="shared" si="49"/>
        <v>79.009999999999792</v>
      </c>
      <c r="J794" s="2">
        <f t="shared" si="50"/>
        <v>79.009999999999792</v>
      </c>
    </row>
    <row r="795" spans="6:10" x14ac:dyDescent="0.25">
      <c r="F795" s="4">
        <f t="shared" si="51"/>
        <v>79.109999999999786</v>
      </c>
      <c r="G795" s="4">
        <f>cubspline(3,F795,Data!$B$36:$B$56,Data!$A$36:$A$56)</f>
        <v>0</v>
      </c>
      <c r="H795" s="4">
        <f t="shared" si="52"/>
        <v>1E-10</v>
      </c>
      <c r="I795" s="4">
        <f t="shared" si="49"/>
        <v>79.109999999999786</v>
      </c>
      <c r="J795" s="2">
        <f t="shared" si="50"/>
        <v>79.109999999999786</v>
      </c>
    </row>
    <row r="796" spans="6:10" x14ac:dyDescent="0.25">
      <c r="F796" s="4">
        <f t="shared" si="51"/>
        <v>79.209999999999781</v>
      </c>
      <c r="G796" s="4">
        <f>cubspline(3,F796,Data!$B$36:$B$56,Data!$A$36:$A$56)</f>
        <v>0</v>
      </c>
      <c r="H796" s="4">
        <f t="shared" si="52"/>
        <v>1E-10</v>
      </c>
      <c r="I796" s="4">
        <f t="shared" si="49"/>
        <v>79.209999999999781</v>
      </c>
      <c r="J796" s="2">
        <f t="shared" si="50"/>
        <v>79.209999999999781</v>
      </c>
    </row>
    <row r="797" spans="6:10" x14ac:dyDescent="0.25">
      <c r="F797" s="4">
        <f t="shared" si="51"/>
        <v>79.309999999999775</v>
      </c>
      <c r="G797" s="4">
        <f>cubspline(3,F797,Data!$B$36:$B$56,Data!$A$36:$A$56)</f>
        <v>0</v>
      </c>
      <c r="H797" s="4">
        <f t="shared" si="52"/>
        <v>1E-10</v>
      </c>
      <c r="I797" s="4">
        <f t="shared" si="49"/>
        <v>79.309999999999775</v>
      </c>
      <c r="J797" s="2">
        <f t="shared" si="50"/>
        <v>79.309999999999775</v>
      </c>
    </row>
    <row r="798" spans="6:10" x14ac:dyDescent="0.25">
      <c r="F798" s="4">
        <f t="shared" si="51"/>
        <v>79.409999999999769</v>
      </c>
      <c r="G798" s="4">
        <f>cubspline(3,F798,Data!$B$36:$B$56,Data!$A$36:$A$56)</f>
        <v>0</v>
      </c>
      <c r="H798" s="4">
        <f t="shared" si="52"/>
        <v>1E-10</v>
      </c>
      <c r="I798" s="4">
        <f t="shared" si="49"/>
        <v>79.409999999999769</v>
      </c>
      <c r="J798" s="2">
        <f t="shared" si="50"/>
        <v>79.409999999999769</v>
      </c>
    </row>
    <row r="799" spans="6:10" x14ac:dyDescent="0.25">
      <c r="F799" s="4">
        <f t="shared" si="51"/>
        <v>79.509999999999764</v>
      </c>
      <c r="G799" s="4">
        <f>cubspline(3,F799,Data!$B$36:$B$56,Data!$A$36:$A$56)</f>
        <v>0</v>
      </c>
      <c r="H799" s="4">
        <f t="shared" si="52"/>
        <v>1E-10</v>
      </c>
      <c r="I799" s="4">
        <f t="shared" si="49"/>
        <v>79.509999999999764</v>
      </c>
      <c r="J799" s="2">
        <f t="shared" si="50"/>
        <v>79.509999999999764</v>
      </c>
    </row>
    <row r="800" spans="6:10" x14ac:dyDescent="0.25">
      <c r="F800" s="4">
        <f t="shared" si="51"/>
        <v>79.609999999999758</v>
      </c>
      <c r="G800" s="4">
        <f>cubspline(3,F800,Data!$B$36:$B$56,Data!$A$36:$A$56)</f>
        <v>0</v>
      </c>
      <c r="H800" s="4">
        <f t="shared" si="52"/>
        <v>1E-10</v>
      </c>
      <c r="I800" s="4">
        <f t="shared" si="49"/>
        <v>79.609999999999758</v>
      </c>
      <c r="J800" s="2">
        <f t="shared" si="50"/>
        <v>79.609999999999758</v>
      </c>
    </row>
    <row r="801" spans="6:10" x14ac:dyDescent="0.25">
      <c r="F801" s="4">
        <f t="shared" si="51"/>
        <v>79.709999999999752</v>
      </c>
      <c r="G801" s="4">
        <f>cubspline(3,F801,Data!$B$36:$B$56,Data!$A$36:$A$56)</f>
        <v>0</v>
      </c>
      <c r="H801" s="4">
        <f t="shared" si="52"/>
        <v>1E-10</v>
      </c>
      <c r="I801" s="4">
        <f t="shared" si="49"/>
        <v>79.709999999999752</v>
      </c>
      <c r="J801" s="2">
        <f t="shared" si="50"/>
        <v>79.709999999999752</v>
      </c>
    </row>
    <row r="802" spans="6:10" x14ac:dyDescent="0.25">
      <c r="F802" s="4">
        <f t="shared" si="51"/>
        <v>79.809999999999746</v>
      </c>
      <c r="G802" s="4">
        <f>cubspline(3,F802,Data!$B$36:$B$56,Data!$A$36:$A$56)</f>
        <v>0</v>
      </c>
      <c r="H802" s="4">
        <f t="shared" si="52"/>
        <v>1E-10</v>
      </c>
      <c r="I802" s="4">
        <f t="shared" si="49"/>
        <v>79.809999999999746</v>
      </c>
      <c r="J802" s="2">
        <f t="shared" si="50"/>
        <v>79.809999999999746</v>
      </c>
    </row>
    <row r="803" spans="6:10" x14ac:dyDescent="0.25">
      <c r="F803" s="4">
        <f t="shared" si="51"/>
        <v>79.909999999999741</v>
      </c>
      <c r="G803" s="4">
        <f>cubspline(3,F803,Data!$B$36:$B$56,Data!$A$36:$A$56)</f>
        <v>0</v>
      </c>
      <c r="H803" s="4">
        <f t="shared" si="52"/>
        <v>1E-10</v>
      </c>
      <c r="I803" s="4">
        <f t="shared" si="49"/>
        <v>79.909999999999741</v>
      </c>
      <c r="J803" s="2">
        <f t="shared" si="50"/>
        <v>79.909999999999741</v>
      </c>
    </row>
    <row r="804" spans="6:10" x14ac:dyDescent="0.25">
      <c r="F804" s="4">
        <f t="shared" si="51"/>
        <v>80.009999999999735</v>
      </c>
      <c r="G804" s="4">
        <f>cubspline(3,F804,Data!$B$36:$B$56,Data!$A$36:$A$56)</f>
        <v>0</v>
      </c>
      <c r="H804" s="4">
        <f t="shared" si="52"/>
        <v>1E-10</v>
      </c>
      <c r="I804" s="4">
        <f t="shared" si="49"/>
        <v>80.009999999999735</v>
      </c>
      <c r="J804" s="2">
        <f t="shared" si="50"/>
        <v>80.009999999999735</v>
      </c>
    </row>
    <row r="805" spans="6:10" x14ac:dyDescent="0.25">
      <c r="F805" s="4">
        <f t="shared" si="51"/>
        <v>80.109999999999729</v>
      </c>
      <c r="G805" s="4">
        <f>cubspline(3,F805,Data!$B$36:$B$56,Data!$A$36:$A$56)</f>
        <v>0</v>
      </c>
      <c r="H805" s="4">
        <f t="shared" si="52"/>
        <v>1E-10</v>
      </c>
      <c r="I805" s="4">
        <f t="shared" si="49"/>
        <v>80.109999999999729</v>
      </c>
      <c r="J805" s="2">
        <f t="shared" si="50"/>
        <v>80.109999999999729</v>
      </c>
    </row>
    <row r="806" spans="6:10" x14ac:dyDescent="0.25">
      <c r="F806" s="4">
        <f t="shared" si="51"/>
        <v>80.209999999999724</v>
      </c>
      <c r="G806" s="4">
        <f>cubspline(3,F806,Data!$B$36:$B$56,Data!$A$36:$A$56)</f>
        <v>0</v>
      </c>
      <c r="H806" s="4">
        <f t="shared" si="52"/>
        <v>1E-10</v>
      </c>
      <c r="I806" s="4">
        <f t="shared" si="49"/>
        <v>80.209999999999724</v>
      </c>
      <c r="J806" s="2">
        <f t="shared" si="50"/>
        <v>80.209999999999724</v>
      </c>
    </row>
    <row r="807" spans="6:10" x14ac:dyDescent="0.25">
      <c r="F807" s="4">
        <f t="shared" si="51"/>
        <v>80.309999999999718</v>
      </c>
      <c r="G807" s="4">
        <f>cubspline(3,F807,Data!$B$36:$B$56,Data!$A$36:$A$56)</f>
        <v>0</v>
      </c>
      <c r="H807" s="4">
        <f t="shared" si="52"/>
        <v>1E-10</v>
      </c>
      <c r="I807" s="4">
        <f t="shared" si="49"/>
        <v>80.309999999999718</v>
      </c>
      <c r="J807" s="2">
        <f t="shared" si="50"/>
        <v>80.309999999999718</v>
      </c>
    </row>
    <row r="808" spans="6:10" x14ac:dyDescent="0.25">
      <c r="F808" s="4">
        <f t="shared" si="51"/>
        <v>80.409999999999712</v>
      </c>
      <c r="G808" s="4">
        <f>cubspline(3,F808,Data!$B$36:$B$56,Data!$A$36:$A$56)</f>
        <v>0</v>
      </c>
      <c r="H808" s="4">
        <f t="shared" si="52"/>
        <v>1E-10</v>
      </c>
      <c r="I808" s="4">
        <f t="shared" si="49"/>
        <v>80.409999999999712</v>
      </c>
      <c r="J808" s="2">
        <f t="shared" si="50"/>
        <v>80.409999999999712</v>
      </c>
    </row>
    <row r="809" spans="6:10" x14ac:dyDescent="0.25">
      <c r="F809" s="4">
        <f t="shared" si="51"/>
        <v>80.509999999999707</v>
      </c>
      <c r="G809" s="4">
        <f>cubspline(3,F809,Data!$B$36:$B$56,Data!$A$36:$A$56)</f>
        <v>0</v>
      </c>
      <c r="H809" s="4">
        <f t="shared" si="52"/>
        <v>1E-10</v>
      </c>
      <c r="I809" s="4">
        <f t="shared" si="49"/>
        <v>80.509999999999707</v>
      </c>
      <c r="J809" s="2">
        <f t="shared" si="50"/>
        <v>80.509999999999707</v>
      </c>
    </row>
    <row r="810" spans="6:10" x14ac:dyDescent="0.25">
      <c r="F810" s="4">
        <f t="shared" si="51"/>
        <v>80.609999999999701</v>
      </c>
      <c r="G810" s="4">
        <f>cubspline(3,F810,Data!$B$36:$B$56,Data!$A$36:$A$56)</f>
        <v>0</v>
      </c>
      <c r="H810" s="4">
        <f t="shared" si="52"/>
        <v>1E-10</v>
      </c>
      <c r="I810" s="4">
        <f t="shared" si="49"/>
        <v>80.609999999999701</v>
      </c>
      <c r="J810" s="2">
        <f t="shared" si="50"/>
        <v>80.609999999999701</v>
      </c>
    </row>
    <row r="811" spans="6:10" x14ac:dyDescent="0.25">
      <c r="F811" s="4">
        <f t="shared" si="51"/>
        <v>80.709999999999695</v>
      </c>
      <c r="G811" s="4">
        <f>cubspline(3,F811,Data!$B$36:$B$56,Data!$A$36:$A$56)</f>
        <v>0</v>
      </c>
      <c r="H811" s="4">
        <f t="shared" si="52"/>
        <v>1E-10</v>
      </c>
      <c r="I811" s="4">
        <f t="shared" si="49"/>
        <v>80.709999999999695</v>
      </c>
      <c r="J811" s="2">
        <f t="shared" si="50"/>
        <v>80.709999999999695</v>
      </c>
    </row>
    <row r="812" spans="6:10" x14ac:dyDescent="0.25">
      <c r="F812" s="4">
        <f t="shared" si="51"/>
        <v>80.80999999999969</v>
      </c>
      <c r="G812" s="4">
        <f>cubspline(3,F812,Data!$B$36:$B$56,Data!$A$36:$A$56)</f>
        <v>0</v>
      </c>
      <c r="H812" s="4">
        <f t="shared" si="52"/>
        <v>1E-10</v>
      </c>
      <c r="I812" s="4">
        <f t="shared" si="49"/>
        <v>80.80999999999969</v>
      </c>
      <c r="J812" s="2">
        <f t="shared" si="50"/>
        <v>80.80999999999969</v>
      </c>
    </row>
    <row r="813" spans="6:10" x14ac:dyDescent="0.25">
      <c r="F813" s="4">
        <f t="shared" si="51"/>
        <v>80.909999999999684</v>
      </c>
      <c r="G813" s="4">
        <f>cubspline(3,F813,Data!$B$36:$B$56,Data!$A$36:$A$56)</f>
        <v>0</v>
      </c>
      <c r="H813" s="4">
        <f t="shared" si="52"/>
        <v>1E-10</v>
      </c>
      <c r="I813" s="4">
        <f t="shared" si="49"/>
        <v>80.909999999999684</v>
      </c>
      <c r="J813" s="2">
        <f t="shared" si="50"/>
        <v>80.909999999999684</v>
      </c>
    </row>
    <row r="814" spans="6:10" x14ac:dyDescent="0.25">
      <c r="F814" s="4">
        <f t="shared" si="51"/>
        <v>81.009999999999678</v>
      </c>
      <c r="G814" s="4">
        <f>cubspline(3,F814,Data!$B$36:$B$56,Data!$A$36:$A$56)</f>
        <v>0</v>
      </c>
      <c r="H814" s="4">
        <f t="shared" si="52"/>
        <v>1E-10</v>
      </c>
      <c r="I814" s="4">
        <f t="shared" si="49"/>
        <v>81.009999999999678</v>
      </c>
      <c r="J814" s="2">
        <f t="shared" si="50"/>
        <v>81.009999999999678</v>
      </c>
    </row>
    <row r="815" spans="6:10" x14ac:dyDescent="0.25">
      <c r="F815" s="4">
        <f t="shared" si="51"/>
        <v>81.109999999999673</v>
      </c>
      <c r="G815" s="4">
        <f>cubspline(3,F815,Data!$B$36:$B$56,Data!$A$36:$A$56)</f>
        <v>0</v>
      </c>
      <c r="H815" s="4">
        <f t="shared" si="52"/>
        <v>1E-10</v>
      </c>
      <c r="I815" s="4">
        <f t="shared" si="49"/>
        <v>81.109999999999673</v>
      </c>
      <c r="J815" s="2">
        <f t="shared" si="50"/>
        <v>81.109999999999673</v>
      </c>
    </row>
    <row r="816" spans="6:10" x14ac:dyDescent="0.25">
      <c r="F816" s="4">
        <f t="shared" si="51"/>
        <v>81.209999999999667</v>
      </c>
      <c r="G816" s="4">
        <f>cubspline(3,F816,Data!$B$36:$B$56,Data!$A$36:$A$56)</f>
        <v>0</v>
      </c>
      <c r="H816" s="4">
        <f t="shared" si="52"/>
        <v>1E-10</v>
      </c>
      <c r="I816" s="4">
        <f t="shared" si="49"/>
        <v>81.209999999999667</v>
      </c>
      <c r="J816" s="2">
        <f t="shared" si="50"/>
        <v>81.209999999999667</v>
      </c>
    </row>
    <row r="817" spans="6:10" x14ac:dyDescent="0.25">
      <c r="F817" s="4">
        <f t="shared" si="51"/>
        <v>81.309999999999661</v>
      </c>
      <c r="G817" s="4">
        <f>cubspline(3,F817,Data!$B$36:$B$56,Data!$A$36:$A$56)</f>
        <v>0</v>
      </c>
      <c r="H817" s="4">
        <f t="shared" si="52"/>
        <v>1E-10</v>
      </c>
      <c r="I817" s="4">
        <f t="shared" si="49"/>
        <v>81.309999999999661</v>
      </c>
      <c r="J817" s="2">
        <f t="shared" si="50"/>
        <v>81.309999999999661</v>
      </c>
    </row>
    <row r="818" spans="6:10" x14ac:dyDescent="0.25">
      <c r="F818" s="4">
        <f t="shared" si="51"/>
        <v>81.409999999999656</v>
      </c>
      <c r="G818" s="4">
        <f>cubspline(3,F818,Data!$B$36:$B$56,Data!$A$36:$A$56)</f>
        <v>0</v>
      </c>
      <c r="H818" s="4">
        <f t="shared" si="52"/>
        <v>1E-10</v>
      </c>
      <c r="I818" s="4">
        <f t="shared" si="49"/>
        <v>81.409999999999656</v>
      </c>
      <c r="J818" s="2">
        <f t="shared" si="50"/>
        <v>81.409999999999656</v>
      </c>
    </row>
    <row r="819" spans="6:10" x14ac:dyDescent="0.25">
      <c r="F819" s="4">
        <f t="shared" si="51"/>
        <v>81.50999999999965</v>
      </c>
      <c r="G819" s="4">
        <f>cubspline(3,F819,Data!$B$36:$B$56,Data!$A$36:$A$56)</f>
        <v>0</v>
      </c>
      <c r="H819" s="4">
        <f t="shared" si="52"/>
        <v>1E-10</v>
      </c>
      <c r="I819" s="4">
        <f t="shared" si="49"/>
        <v>81.50999999999965</v>
      </c>
      <c r="J819" s="2">
        <f t="shared" si="50"/>
        <v>81.50999999999965</v>
      </c>
    </row>
    <row r="820" spans="6:10" x14ac:dyDescent="0.25">
      <c r="F820" s="4">
        <f t="shared" si="51"/>
        <v>81.609999999999644</v>
      </c>
      <c r="G820" s="4">
        <f>cubspline(3,F820,Data!$B$36:$B$56,Data!$A$36:$A$56)</f>
        <v>0</v>
      </c>
      <c r="H820" s="4">
        <f t="shared" si="52"/>
        <v>1E-10</v>
      </c>
      <c r="I820" s="4">
        <f t="shared" si="49"/>
        <v>81.609999999999644</v>
      </c>
      <c r="J820" s="2">
        <f t="shared" si="50"/>
        <v>81.609999999999644</v>
      </c>
    </row>
    <row r="821" spans="6:10" x14ac:dyDescent="0.25">
      <c r="F821" s="4">
        <f t="shared" si="51"/>
        <v>81.709999999999638</v>
      </c>
      <c r="G821" s="4">
        <f>cubspline(3,F821,Data!$B$36:$B$56,Data!$A$36:$A$56)</f>
        <v>0</v>
      </c>
      <c r="H821" s="4">
        <f t="shared" si="52"/>
        <v>1E-10</v>
      </c>
      <c r="I821" s="4">
        <f t="shared" si="49"/>
        <v>81.709999999999638</v>
      </c>
      <c r="J821" s="2">
        <f t="shared" si="50"/>
        <v>81.709999999999638</v>
      </c>
    </row>
    <row r="822" spans="6:10" x14ac:dyDescent="0.25">
      <c r="F822" s="4">
        <f t="shared" si="51"/>
        <v>81.809999999999633</v>
      </c>
      <c r="G822" s="4">
        <f>cubspline(3,F822,Data!$B$36:$B$56,Data!$A$36:$A$56)</f>
        <v>0</v>
      </c>
      <c r="H822" s="4">
        <f t="shared" si="52"/>
        <v>1E-10</v>
      </c>
      <c r="I822" s="4">
        <f t="shared" si="49"/>
        <v>81.809999999999633</v>
      </c>
      <c r="J822" s="2">
        <f t="shared" si="50"/>
        <v>81.809999999999633</v>
      </c>
    </row>
    <row r="823" spans="6:10" x14ac:dyDescent="0.25">
      <c r="F823" s="4">
        <f t="shared" si="51"/>
        <v>81.909999999999627</v>
      </c>
      <c r="G823" s="4">
        <f>cubspline(3,F823,Data!$B$36:$B$56,Data!$A$36:$A$56)</f>
        <v>0</v>
      </c>
      <c r="H823" s="4">
        <f t="shared" si="52"/>
        <v>1E-10</v>
      </c>
      <c r="I823" s="4">
        <f t="shared" si="49"/>
        <v>81.909999999999627</v>
      </c>
      <c r="J823" s="2">
        <f t="shared" si="50"/>
        <v>81.909999999999627</v>
      </c>
    </row>
    <row r="824" spans="6:10" x14ac:dyDescent="0.25">
      <c r="F824" s="4">
        <f t="shared" si="51"/>
        <v>82.009999999999621</v>
      </c>
      <c r="G824" s="4">
        <f>cubspline(3,F824,Data!$B$36:$B$56,Data!$A$36:$A$56)</f>
        <v>0</v>
      </c>
      <c r="H824" s="4">
        <f t="shared" si="52"/>
        <v>1E-10</v>
      </c>
      <c r="I824" s="4">
        <f t="shared" si="49"/>
        <v>82.009999999999621</v>
      </c>
      <c r="J824" s="2">
        <f t="shared" si="50"/>
        <v>82.009999999999621</v>
      </c>
    </row>
    <row r="825" spans="6:10" x14ac:dyDescent="0.25">
      <c r="F825" s="4">
        <f t="shared" si="51"/>
        <v>82.109999999999616</v>
      </c>
      <c r="G825" s="4">
        <f>cubspline(3,F825,Data!$B$36:$B$56,Data!$A$36:$A$56)</f>
        <v>0</v>
      </c>
      <c r="H825" s="4">
        <f t="shared" si="52"/>
        <v>1E-10</v>
      </c>
      <c r="I825" s="4">
        <f t="shared" si="49"/>
        <v>82.109999999999616</v>
      </c>
      <c r="J825" s="2">
        <f t="shared" si="50"/>
        <v>82.109999999999616</v>
      </c>
    </row>
    <row r="826" spans="6:10" x14ac:dyDescent="0.25">
      <c r="F826" s="4">
        <f t="shared" si="51"/>
        <v>82.20999999999961</v>
      </c>
      <c r="G826" s="4">
        <f>cubspline(3,F826,Data!$B$36:$B$56,Data!$A$36:$A$56)</f>
        <v>0</v>
      </c>
      <c r="H826" s="4">
        <f t="shared" si="52"/>
        <v>1E-10</v>
      </c>
      <c r="I826" s="4">
        <f t="shared" si="49"/>
        <v>82.20999999999961</v>
      </c>
      <c r="J826" s="2">
        <f t="shared" si="50"/>
        <v>82.20999999999961</v>
      </c>
    </row>
    <row r="827" spans="6:10" x14ac:dyDescent="0.25">
      <c r="F827" s="4">
        <f t="shared" si="51"/>
        <v>82.309999999999604</v>
      </c>
      <c r="G827" s="4">
        <f>cubspline(3,F827,Data!$B$36:$B$56,Data!$A$36:$A$56)</f>
        <v>0</v>
      </c>
      <c r="H827" s="4">
        <f t="shared" si="52"/>
        <v>1E-10</v>
      </c>
      <c r="I827" s="4">
        <f t="shared" si="49"/>
        <v>82.309999999999604</v>
      </c>
      <c r="J827" s="2">
        <f t="shared" si="50"/>
        <v>82.309999999999604</v>
      </c>
    </row>
    <row r="828" spans="6:10" x14ac:dyDescent="0.25">
      <c r="F828" s="4">
        <f t="shared" si="51"/>
        <v>82.409999999999599</v>
      </c>
      <c r="G828" s="4">
        <f>cubspline(3,F828,Data!$B$36:$B$56,Data!$A$36:$A$56)</f>
        <v>0</v>
      </c>
      <c r="H828" s="4">
        <f t="shared" si="52"/>
        <v>1E-10</v>
      </c>
      <c r="I828" s="4">
        <f t="shared" si="49"/>
        <v>82.409999999999599</v>
      </c>
      <c r="J828" s="2">
        <f t="shared" si="50"/>
        <v>82.409999999999599</v>
      </c>
    </row>
    <row r="829" spans="6:10" x14ac:dyDescent="0.25">
      <c r="F829" s="4">
        <f t="shared" si="51"/>
        <v>82.509999999999593</v>
      </c>
      <c r="G829" s="4">
        <f>cubspline(3,F829,Data!$B$36:$B$56,Data!$A$36:$A$56)</f>
        <v>0</v>
      </c>
      <c r="H829" s="4">
        <f t="shared" si="52"/>
        <v>1E-10</v>
      </c>
      <c r="I829" s="4">
        <f t="shared" si="49"/>
        <v>82.509999999999593</v>
      </c>
      <c r="J829" s="2">
        <f t="shared" si="50"/>
        <v>82.509999999999593</v>
      </c>
    </row>
    <row r="830" spans="6:10" x14ac:dyDescent="0.25">
      <c r="F830" s="4">
        <f t="shared" si="51"/>
        <v>82.609999999999587</v>
      </c>
      <c r="G830" s="4">
        <f>cubspline(3,F830,Data!$B$36:$B$56,Data!$A$36:$A$56)</f>
        <v>0</v>
      </c>
      <c r="H830" s="4">
        <f t="shared" si="52"/>
        <v>1E-10</v>
      </c>
      <c r="I830" s="4">
        <f t="shared" si="49"/>
        <v>82.609999999999587</v>
      </c>
      <c r="J830" s="2">
        <f t="shared" si="50"/>
        <v>82.609999999999587</v>
      </c>
    </row>
    <row r="831" spans="6:10" x14ac:dyDescent="0.25">
      <c r="F831" s="4">
        <f t="shared" si="51"/>
        <v>82.709999999999582</v>
      </c>
      <c r="G831" s="4">
        <f>cubspline(3,F831,Data!$B$36:$B$56,Data!$A$36:$A$56)</f>
        <v>0</v>
      </c>
      <c r="H831" s="4">
        <f t="shared" si="52"/>
        <v>1E-10</v>
      </c>
      <c r="I831" s="4">
        <f t="shared" si="49"/>
        <v>82.709999999999582</v>
      </c>
      <c r="J831" s="2">
        <f t="shared" si="50"/>
        <v>82.709999999999582</v>
      </c>
    </row>
    <row r="832" spans="6:10" x14ac:dyDescent="0.25">
      <c r="F832" s="4">
        <f t="shared" si="51"/>
        <v>82.809999999999576</v>
      </c>
      <c r="G832" s="4">
        <f>cubspline(3,F832,Data!$B$36:$B$56,Data!$A$36:$A$56)</f>
        <v>0</v>
      </c>
      <c r="H832" s="4">
        <f t="shared" si="52"/>
        <v>1E-10</v>
      </c>
      <c r="I832" s="4">
        <f t="shared" si="49"/>
        <v>82.809999999999576</v>
      </c>
      <c r="J832" s="2">
        <f t="shared" si="50"/>
        <v>82.809999999999576</v>
      </c>
    </row>
    <row r="833" spans="6:10" x14ac:dyDescent="0.25">
      <c r="F833" s="4">
        <f t="shared" si="51"/>
        <v>82.90999999999957</v>
      </c>
      <c r="G833" s="4">
        <f>cubspline(3,F833,Data!$B$36:$B$56,Data!$A$36:$A$56)</f>
        <v>0</v>
      </c>
      <c r="H833" s="4">
        <f t="shared" si="52"/>
        <v>1E-10</v>
      </c>
      <c r="I833" s="4">
        <f t="shared" si="49"/>
        <v>82.90999999999957</v>
      </c>
      <c r="J833" s="2">
        <f t="shared" si="50"/>
        <v>82.90999999999957</v>
      </c>
    </row>
    <row r="834" spans="6:10" x14ac:dyDescent="0.25">
      <c r="F834" s="4">
        <f t="shared" si="51"/>
        <v>83.009999999999565</v>
      </c>
      <c r="G834" s="4">
        <f>cubspline(3,F834,Data!$B$36:$B$56,Data!$A$36:$A$56)</f>
        <v>0</v>
      </c>
      <c r="H834" s="4">
        <f t="shared" si="52"/>
        <v>1E-10</v>
      </c>
      <c r="I834" s="4">
        <f t="shared" si="49"/>
        <v>83.009999999999565</v>
      </c>
      <c r="J834" s="2">
        <f t="shared" si="50"/>
        <v>83.009999999999565</v>
      </c>
    </row>
    <row r="835" spans="6:10" x14ac:dyDescent="0.25">
      <c r="F835" s="4">
        <f t="shared" si="51"/>
        <v>83.109999999999559</v>
      </c>
      <c r="G835" s="4">
        <f>cubspline(3,F835,Data!$B$36:$B$56,Data!$A$36:$A$56)</f>
        <v>0</v>
      </c>
      <c r="H835" s="4">
        <f t="shared" si="52"/>
        <v>1E-10</v>
      </c>
      <c r="I835" s="4">
        <f t="shared" si="49"/>
        <v>83.109999999999559</v>
      </c>
      <c r="J835" s="2">
        <f t="shared" si="50"/>
        <v>83.109999999999559</v>
      </c>
    </row>
    <row r="836" spans="6:10" x14ac:dyDescent="0.25">
      <c r="F836" s="4">
        <f t="shared" si="51"/>
        <v>83.209999999999553</v>
      </c>
      <c r="G836" s="4">
        <f>cubspline(3,F836,Data!$B$36:$B$56,Data!$A$36:$A$56)</f>
        <v>0</v>
      </c>
      <c r="H836" s="4">
        <f t="shared" si="52"/>
        <v>1E-10</v>
      </c>
      <c r="I836" s="4">
        <f t="shared" si="49"/>
        <v>83.209999999999553</v>
      </c>
      <c r="J836" s="2">
        <f t="shared" si="50"/>
        <v>83.209999999999553</v>
      </c>
    </row>
    <row r="837" spans="6:10" x14ac:dyDescent="0.25">
      <c r="F837" s="4">
        <f t="shared" si="51"/>
        <v>83.309999999999548</v>
      </c>
      <c r="G837" s="4">
        <f>cubspline(3,F837,Data!$B$36:$B$56,Data!$A$36:$A$56)</f>
        <v>0</v>
      </c>
      <c r="H837" s="4">
        <f t="shared" si="52"/>
        <v>1E-10</v>
      </c>
      <c r="I837" s="4">
        <f t="shared" ref="I837:I900" si="53">IF(F837&gt;$D$47,F837,NA())</f>
        <v>83.309999999999548</v>
      </c>
      <c r="J837" s="2">
        <f t="shared" ref="J837:J900" si="54">IF(F837&gt;=$D$47,F837,($D$47-(0.3*($D$47-F837))))</f>
        <v>83.309999999999548</v>
      </c>
    </row>
    <row r="838" spans="6:10" x14ac:dyDescent="0.25">
      <c r="F838" s="4">
        <f t="shared" ref="F838:F901" si="55">F837+0.1</f>
        <v>83.409999999999542</v>
      </c>
      <c r="G838" s="4">
        <f>cubspline(3,F838,Data!$B$36:$B$56,Data!$A$36:$A$56)</f>
        <v>0</v>
      </c>
      <c r="H838" s="4">
        <f t="shared" ref="H838:H901" si="56">IF(G838&lt;=0,0.0000000001,G838)</f>
        <v>1E-10</v>
      </c>
      <c r="I838" s="4">
        <f t="shared" si="53"/>
        <v>83.409999999999542</v>
      </c>
      <c r="J838" s="2">
        <f t="shared" si="54"/>
        <v>83.409999999999542</v>
      </c>
    </row>
    <row r="839" spans="6:10" x14ac:dyDescent="0.25">
      <c r="F839" s="4">
        <f t="shared" si="55"/>
        <v>83.509999999999536</v>
      </c>
      <c r="G839" s="4">
        <f>cubspline(3,F839,Data!$B$36:$B$56,Data!$A$36:$A$56)</f>
        <v>0</v>
      </c>
      <c r="H839" s="4">
        <f t="shared" si="56"/>
        <v>1E-10</v>
      </c>
      <c r="I839" s="4">
        <f t="shared" si="53"/>
        <v>83.509999999999536</v>
      </c>
      <c r="J839" s="2">
        <f t="shared" si="54"/>
        <v>83.509999999999536</v>
      </c>
    </row>
    <row r="840" spans="6:10" x14ac:dyDescent="0.25">
      <c r="F840" s="4">
        <f t="shared" si="55"/>
        <v>83.60999999999953</v>
      </c>
      <c r="G840" s="4">
        <f>cubspline(3,F840,Data!$B$36:$B$56,Data!$A$36:$A$56)</f>
        <v>0</v>
      </c>
      <c r="H840" s="4">
        <f t="shared" si="56"/>
        <v>1E-10</v>
      </c>
      <c r="I840" s="4">
        <f t="shared" si="53"/>
        <v>83.60999999999953</v>
      </c>
      <c r="J840" s="2">
        <f t="shared" si="54"/>
        <v>83.60999999999953</v>
      </c>
    </row>
    <row r="841" spans="6:10" x14ac:dyDescent="0.25">
      <c r="F841" s="4">
        <f t="shared" si="55"/>
        <v>83.709999999999525</v>
      </c>
      <c r="G841" s="4">
        <f>cubspline(3,F841,Data!$B$36:$B$56,Data!$A$36:$A$56)</f>
        <v>0</v>
      </c>
      <c r="H841" s="4">
        <f t="shared" si="56"/>
        <v>1E-10</v>
      </c>
      <c r="I841" s="4">
        <f t="shared" si="53"/>
        <v>83.709999999999525</v>
      </c>
      <c r="J841" s="2">
        <f t="shared" si="54"/>
        <v>83.709999999999525</v>
      </c>
    </row>
    <row r="842" spans="6:10" x14ac:dyDescent="0.25">
      <c r="F842" s="4">
        <f t="shared" si="55"/>
        <v>83.809999999999519</v>
      </c>
      <c r="G842" s="4">
        <f>cubspline(3,F842,Data!$B$36:$B$56,Data!$A$36:$A$56)</f>
        <v>0</v>
      </c>
      <c r="H842" s="4">
        <f t="shared" si="56"/>
        <v>1E-10</v>
      </c>
      <c r="I842" s="4">
        <f t="shared" si="53"/>
        <v>83.809999999999519</v>
      </c>
      <c r="J842" s="2">
        <f t="shared" si="54"/>
        <v>83.809999999999519</v>
      </c>
    </row>
    <row r="843" spans="6:10" x14ac:dyDescent="0.25">
      <c r="F843" s="4">
        <f t="shared" si="55"/>
        <v>83.909999999999513</v>
      </c>
      <c r="G843" s="4">
        <f>cubspline(3,F843,Data!$B$36:$B$56,Data!$A$36:$A$56)</f>
        <v>0</v>
      </c>
      <c r="H843" s="4">
        <f t="shared" si="56"/>
        <v>1E-10</v>
      </c>
      <c r="I843" s="4">
        <f t="shared" si="53"/>
        <v>83.909999999999513</v>
      </c>
      <c r="J843" s="2">
        <f t="shared" si="54"/>
        <v>83.909999999999513</v>
      </c>
    </row>
    <row r="844" spans="6:10" x14ac:dyDescent="0.25">
      <c r="F844" s="4">
        <f t="shared" si="55"/>
        <v>84.009999999999508</v>
      </c>
      <c r="G844" s="4">
        <f>cubspline(3,F844,Data!$B$36:$B$56,Data!$A$36:$A$56)</f>
        <v>0</v>
      </c>
      <c r="H844" s="4">
        <f t="shared" si="56"/>
        <v>1E-10</v>
      </c>
      <c r="I844" s="4">
        <f t="shared" si="53"/>
        <v>84.009999999999508</v>
      </c>
      <c r="J844" s="2">
        <f t="shared" si="54"/>
        <v>84.009999999999508</v>
      </c>
    </row>
    <row r="845" spans="6:10" x14ac:dyDescent="0.25">
      <c r="F845" s="4">
        <f t="shared" si="55"/>
        <v>84.109999999999502</v>
      </c>
      <c r="G845" s="4">
        <f>cubspline(3,F845,Data!$B$36:$B$56,Data!$A$36:$A$56)</f>
        <v>0</v>
      </c>
      <c r="H845" s="4">
        <f t="shared" si="56"/>
        <v>1E-10</v>
      </c>
      <c r="I845" s="4">
        <f t="shared" si="53"/>
        <v>84.109999999999502</v>
      </c>
      <c r="J845" s="2">
        <f t="shared" si="54"/>
        <v>84.109999999999502</v>
      </c>
    </row>
    <row r="846" spans="6:10" x14ac:dyDescent="0.25">
      <c r="F846" s="4">
        <f t="shared" si="55"/>
        <v>84.209999999999496</v>
      </c>
      <c r="G846" s="4">
        <f>cubspline(3,F846,Data!$B$36:$B$56,Data!$A$36:$A$56)</f>
        <v>0</v>
      </c>
      <c r="H846" s="4">
        <f t="shared" si="56"/>
        <v>1E-10</v>
      </c>
      <c r="I846" s="4">
        <f t="shared" si="53"/>
        <v>84.209999999999496</v>
      </c>
      <c r="J846" s="2">
        <f t="shared" si="54"/>
        <v>84.209999999999496</v>
      </c>
    </row>
    <row r="847" spans="6:10" x14ac:dyDescent="0.25">
      <c r="F847" s="4">
        <f t="shared" si="55"/>
        <v>84.309999999999491</v>
      </c>
      <c r="G847" s="4">
        <f>cubspline(3,F847,Data!$B$36:$B$56,Data!$A$36:$A$56)</f>
        <v>0</v>
      </c>
      <c r="H847" s="4">
        <f t="shared" si="56"/>
        <v>1E-10</v>
      </c>
      <c r="I847" s="4">
        <f t="shared" si="53"/>
        <v>84.309999999999491</v>
      </c>
      <c r="J847" s="2">
        <f t="shared" si="54"/>
        <v>84.309999999999491</v>
      </c>
    </row>
    <row r="848" spans="6:10" x14ac:dyDescent="0.25">
      <c r="F848" s="4">
        <f t="shared" si="55"/>
        <v>84.409999999999485</v>
      </c>
      <c r="G848" s="4">
        <f>cubspline(3,F848,Data!$B$36:$B$56,Data!$A$36:$A$56)</f>
        <v>0</v>
      </c>
      <c r="H848" s="4">
        <f t="shared" si="56"/>
        <v>1E-10</v>
      </c>
      <c r="I848" s="4">
        <f t="shared" si="53"/>
        <v>84.409999999999485</v>
      </c>
      <c r="J848" s="2">
        <f t="shared" si="54"/>
        <v>84.409999999999485</v>
      </c>
    </row>
    <row r="849" spans="6:10" x14ac:dyDescent="0.25">
      <c r="F849" s="4">
        <f t="shared" si="55"/>
        <v>84.509999999999479</v>
      </c>
      <c r="G849" s="4">
        <f>cubspline(3,F849,Data!$B$36:$B$56,Data!$A$36:$A$56)</f>
        <v>0</v>
      </c>
      <c r="H849" s="4">
        <f t="shared" si="56"/>
        <v>1E-10</v>
      </c>
      <c r="I849" s="4">
        <f t="shared" si="53"/>
        <v>84.509999999999479</v>
      </c>
      <c r="J849" s="2">
        <f t="shared" si="54"/>
        <v>84.509999999999479</v>
      </c>
    </row>
    <row r="850" spans="6:10" x14ac:dyDescent="0.25">
      <c r="F850" s="4">
        <f t="shared" si="55"/>
        <v>84.609999999999474</v>
      </c>
      <c r="G850" s="4">
        <f>cubspline(3,F850,Data!$B$36:$B$56,Data!$A$36:$A$56)</f>
        <v>0</v>
      </c>
      <c r="H850" s="4">
        <f t="shared" si="56"/>
        <v>1E-10</v>
      </c>
      <c r="I850" s="4">
        <f t="shared" si="53"/>
        <v>84.609999999999474</v>
      </c>
      <c r="J850" s="2">
        <f t="shared" si="54"/>
        <v>84.609999999999474</v>
      </c>
    </row>
    <row r="851" spans="6:10" x14ac:dyDescent="0.25">
      <c r="F851" s="4">
        <f t="shared" si="55"/>
        <v>84.709999999999468</v>
      </c>
      <c r="G851" s="4">
        <f>cubspline(3,F851,Data!$B$36:$B$56,Data!$A$36:$A$56)</f>
        <v>0</v>
      </c>
      <c r="H851" s="4">
        <f t="shared" si="56"/>
        <v>1E-10</v>
      </c>
      <c r="I851" s="4">
        <f t="shared" si="53"/>
        <v>84.709999999999468</v>
      </c>
      <c r="J851" s="2">
        <f t="shared" si="54"/>
        <v>84.709999999999468</v>
      </c>
    </row>
    <row r="852" spans="6:10" x14ac:dyDescent="0.25">
      <c r="F852" s="4">
        <f t="shared" si="55"/>
        <v>84.809999999999462</v>
      </c>
      <c r="G852" s="4">
        <f>cubspline(3,F852,Data!$B$36:$B$56,Data!$A$36:$A$56)</f>
        <v>0</v>
      </c>
      <c r="H852" s="4">
        <f t="shared" si="56"/>
        <v>1E-10</v>
      </c>
      <c r="I852" s="4">
        <f t="shared" si="53"/>
        <v>84.809999999999462</v>
      </c>
      <c r="J852" s="2">
        <f t="shared" si="54"/>
        <v>84.809999999999462</v>
      </c>
    </row>
    <row r="853" spans="6:10" x14ac:dyDescent="0.25">
      <c r="F853" s="4">
        <f t="shared" si="55"/>
        <v>84.909999999999457</v>
      </c>
      <c r="G853" s="4">
        <f>cubspline(3,F853,Data!$B$36:$B$56,Data!$A$36:$A$56)</f>
        <v>0</v>
      </c>
      <c r="H853" s="4">
        <f t="shared" si="56"/>
        <v>1E-10</v>
      </c>
      <c r="I853" s="4">
        <f t="shared" si="53"/>
        <v>84.909999999999457</v>
      </c>
      <c r="J853" s="2">
        <f t="shared" si="54"/>
        <v>84.909999999999457</v>
      </c>
    </row>
    <row r="854" spans="6:10" x14ac:dyDescent="0.25">
      <c r="F854" s="4">
        <f t="shared" si="55"/>
        <v>85.009999999999451</v>
      </c>
      <c r="G854" s="4">
        <f>cubspline(3,F854,Data!$B$36:$B$56,Data!$A$36:$A$56)</f>
        <v>0</v>
      </c>
      <c r="H854" s="4">
        <f t="shared" si="56"/>
        <v>1E-10</v>
      </c>
      <c r="I854" s="4">
        <f t="shared" si="53"/>
        <v>85.009999999999451</v>
      </c>
      <c r="J854" s="2">
        <f t="shared" si="54"/>
        <v>85.009999999999451</v>
      </c>
    </row>
    <row r="855" spans="6:10" x14ac:dyDescent="0.25">
      <c r="F855" s="4">
        <f t="shared" si="55"/>
        <v>85.109999999999445</v>
      </c>
      <c r="G855" s="4">
        <f>cubspline(3,F855,Data!$B$36:$B$56,Data!$A$36:$A$56)</f>
        <v>0</v>
      </c>
      <c r="H855" s="4">
        <f t="shared" si="56"/>
        <v>1E-10</v>
      </c>
      <c r="I855" s="4">
        <f t="shared" si="53"/>
        <v>85.109999999999445</v>
      </c>
      <c r="J855" s="2">
        <f t="shared" si="54"/>
        <v>85.109999999999445</v>
      </c>
    </row>
    <row r="856" spans="6:10" x14ac:dyDescent="0.25">
      <c r="F856" s="4">
        <f t="shared" si="55"/>
        <v>85.20999999999944</v>
      </c>
      <c r="G856" s="4">
        <f>cubspline(3,F856,Data!$B$36:$B$56,Data!$A$36:$A$56)</f>
        <v>0</v>
      </c>
      <c r="H856" s="4">
        <f t="shared" si="56"/>
        <v>1E-10</v>
      </c>
      <c r="I856" s="4">
        <f t="shared" si="53"/>
        <v>85.20999999999944</v>
      </c>
      <c r="J856" s="2">
        <f t="shared" si="54"/>
        <v>85.20999999999944</v>
      </c>
    </row>
    <row r="857" spans="6:10" x14ac:dyDescent="0.25">
      <c r="F857" s="4">
        <f t="shared" si="55"/>
        <v>85.309999999999434</v>
      </c>
      <c r="G857" s="4">
        <f>cubspline(3,F857,Data!$B$36:$B$56,Data!$A$36:$A$56)</f>
        <v>0</v>
      </c>
      <c r="H857" s="4">
        <f t="shared" si="56"/>
        <v>1E-10</v>
      </c>
      <c r="I857" s="4">
        <f t="shared" si="53"/>
        <v>85.309999999999434</v>
      </c>
      <c r="J857" s="2">
        <f t="shared" si="54"/>
        <v>85.309999999999434</v>
      </c>
    </row>
    <row r="858" spans="6:10" x14ac:dyDescent="0.25">
      <c r="F858" s="4">
        <f t="shared" si="55"/>
        <v>85.409999999999428</v>
      </c>
      <c r="G858" s="4">
        <f>cubspline(3,F858,Data!$B$36:$B$56,Data!$A$36:$A$56)</f>
        <v>0</v>
      </c>
      <c r="H858" s="4">
        <f t="shared" si="56"/>
        <v>1E-10</v>
      </c>
      <c r="I858" s="4">
        <f t="shared" si="53"/>
        <v>85.409999999999428</v>
      </c>
      <c r="J858" s="2">
        <f t="shared" si="54"/>
        <v>85.409999999999428</v>
      </c>
    </row>
    <row r="859" spans="6:10" x14ac:dyDescent="0.25">
      <c r="F859" s="4">
        <f t="shared" si="55"/>
        <v>85.509999999999422</v>
      </c>
      <c r="G859" s="4">
        <f>cubspline(3,F859,Data!$B$36:$B$56,Data!$A$36:$A$56)</f>
        <v>0</v>
      </c>
      <c r="H859" s="4">
        <f t="shared" si="56"/>
        <v>1E-10</v>
      </c>
      <c r="I859" s="4">
        <f t="shared" si="53"/>
        <v>85.509999999999422</v>
      </c>
      <c r="J859" s="2">
        <f t="shared" si="54"/>
        <v>85.509999999999422</v>
      </c>
    </row>
    <row r="860" spans="6:10" x14ac:dyDescent="0.25">
      <c r="F860" s="4">
        <f t="shared" si="55"/>
        <v>85.609999999999417</v>
      </c>
      <c r="G860" s="4">
        <f>cubspline(3,F860,Data!$B$36:$B$56,Data!$A$36:$A$56)</f>
        <v>0</v>
      </c>
      <c r="H860" s="4">
        <f t="shared" si="56"/>
        <v>1E-10</v>
      </c>
      <c r="I860" s="4">
        <f t="shared" si="53"/>
        <v>85.609999999999417</v>
      </c>
      <c r="J860" s="2">
        <f t="shared" si="54"/>
        <v>85.609999999999417</v>
      </c>
    </row>
    <row r="861" spans="6:10" x14ac:dyDescent="0.25">
      <c r="F861" s="4">
        <f t="shared" si="55"/>
        <v>85.709999999999411</v>
      </c>
      <c r="G861" s="4">
        <f>cubspline(3,F861,Data!$B$36:$B$56,Data!$A$36:$A$56)</f>
        <v>0</v>
      </c>
      <c r="H861" s="4">
        <f t="shared" si="56"/>
        <v>1E-10</v>
      </c>
      <c r="I861" s="4">
        <f t="shared" si="53"/>
        <v>85.709999999999411</v>
      </c>
      <c r="J861" s="2">
        <f t="shared" si="54"/>
        <v>85.709999999999411</v>
      </c>
    </row>
    <row r="862" spans="6:10" x14ac:dyDescent="0.25">
      <c r="F862" s="4">
        <f t="shared" si="55"/>
        <v>85.809999999999405</v>
      </c>
      <c r="G862" s="4">
        <f>cubspline(3,F862,Data!$B$36:$B$56,Data!$A$36:$A$56)</f>
        <v>0</v>
      </c>
      <c r="H862" s="4">
        <f t="shared" si="56"/>
        <v>1E-10</v>
      </c>
      <c r="I862" s="4">
        <f t="shared" si="53"/>
        <v>85.809999999999405</v>
      </c>
      <c r="J862" s="2">
        <f t="shared" si="54"/>
        <v>85.809999999999405</v>
      </c>
    </row>
    <row r="863" spans="6:10" x14ac:dyDescent="0.25">
      <c r="F863" s="4">
        <f t="shared" si="55"/>
        <v>85.9099999999994</v>
      </c>
      <c r="G863" s="4">
        <f>cubspline(3,F863,Data!$B$36:$B$56,Data!$A$36:$A$56)</f>
        <v>0</v>
      </c>
      <c r="H863" s="4">
        <f t="shared" si="56"/>
        <v>1E-10</v>
      </c>
      <c r="I863" s="4">
        <f t="shared" si="53"/>
        <v>85.9099999999994</v>
      </c>
      <c r="J863" s="2">
        <f t="shared" si="54"/>
        <v>85.9099999999994</v>
      </c>
    </row>
    <row r="864" spans="6:10" x14ac:dyDescent="0.25">
      <c r="F864" s="4">
        <f t="shared" si="55"/>
        <v>86.009999999999394</v>
      </c>
      <c r="G864" s="4">
        <f>cubspline(3,F864,Data!$B$36:$B$56,Data!$A$36:$A$56)</f>
        <v>0</v>
      </c>
      <c r="H864" s="4">
        <f t="shared" si="56"/>
        <v>1E-10</v>
      </c>
      <c r="I864" s="4">
        <f t="shared" si="53"/>
        <v>86.009999999999394</v>
      </c>
      <c r="J864" s="2">
        <f t="shared" si="54"/>
        <v>86.009999999999394</v>
      </c>
    </row>
    <row r="865" spans="6:10" x14ac:dyDescent="0.25">
      <c r="F865" s="4">
        <f t="shared" si="55"/>
        <v>86.109999999999388</v>
      </c>
      <c r="G865" s="4">
        <f>cubspline(3,F865,Data!$B$36:$B$56,Data!$A$36:$A$56)</f>
        <v>0</v>
      </c>
      <c r="H865" s="4">
        <f t="shared" si="56"/>
        <v>1E-10</v>
      </c>
      <c r="I865" s="4">
        <f t="shared" si="53"/>
        <v>86.109999999999388</v>
      </c>
      <c r="J865" s="2">
        <f t="shared" si="54"/>
        <v>86.109999999999388</v>
      </c>
    </row>
    <row r="866" spans="6:10" x14ac:dyDescent="0.25">
      <c r="F866" s="4">
        <f t="shared" si="55"/>
        <v>86.209999999999383</v>
      </c>
      <c r="G866" s="4">
        <f>cubspline(3,F866,Data!$B$36:$B$56,Data!$A$36:$A$56)</f>
        <v>0</v>
      </c>
      <c r="H866" s="4">
        <f t="shared" si="56"/>
        <v>1E-10</v>
      </c>
      <c r="I866" s="4">
        <f t="shared" si="53"/>
        <v>86.209999999999383</v>
      </c>
      <c r="J866" s="2">
        <f t="shared" si="54"/>
        <v>86.209999999999383</v>
      </c>
    </row>
    <row r="867" spans="6:10" x14ac:dyDescent="0.25">
      <c r="F867" s="4">
        <f t="shared" si="55"/>
        <v>86.309999999999377</v>
      </c>
      <c r="G867" s="4">
        <f>cubspline(3,F867,Data!$B$36:$B$56,Data!$A$36:$A$56)</f>
        <v>0</v>
      </c>
      <c r="H867" s="4">
        <f t="shared" si="56"/>
        <v>1E-10</v>
      </c>
      <c r="I867" s="4">
        <f t="shared" si="53"/>
        <v>86.309999999999377</v>
      </c>
      <c r="J867" s="2">
        <f t="shared" si="54"/>
        <v>86.309999999999377</v>
      </c>
    </row>
    <row r="868" spans="6:10" x14ac:dyDescent="0.25">
      <c r="F868" s="4">
        <f t="shared" si="55"/>
        <v>86.409999999999371</v>
      </c>
      <c r="G868" s="4">
        <f>cubspline(3,F868,Data!$B$36:$B$56,Data!$A$36:$A$56)</f>
        <v>0</v>
      </c>
      <c r="H868" s="4">
        <f t="shared" si="56"/>
        <v>1E-10</v>
      </c>
      <c r="I868" s="4">
        <f t="shared" si="53"/>
        <v>86.409999999999371</v>
      </c>
      <c r="J868" s="2">
        <f t="shared" si="54"/>
        <v>86.409999999999371</v>
      </c>
    </row>
    <row r="869" spans="6:10" x14ac:dyDescent="0.25">
      <c r="F869" s="4">
        <f t="shared" si="55"/>
        <v>86.509999999999366</v>
      </c>
      <c r="G869" s="4">
        <f>cubspline(3,F869,Data!$B$36:$B$56,Data!$A$36:$A$56)</f>
        <v>0</v>
      </c>
      <c r="H869" s="4">
        <f t="shared" si="56"/>
        <v>1E-10</v>
      </c>
      <c r="I869" s="4">
        <f t="shared" si="53"/>
        <v>86.509999999999366</v>
      </c>
      <c r="J869" s="2">
        <f t="shared" si="54"/>
        <v>86.509999999999366</v>
      </c>
    </row>
    <row r="870" spans="6:10" x14ac:dyDescent="0.25">
      <c r="F870" s="4">
        <f t="shared" si="55"/>
        <v>86.60999999999936</v>
      </c>
      <c r="G870" s="4">
        <f>cubspline(3,F870,Data!$B$36:$B$56,Data!$A$36:$A$56)</f>
        <v>0</v>
      </c>
      <c r="H870" s="4">
        <f t="shared" si="56"/>
        <v>1E-10</v>
      </c>
      <c r="I870" s="4">
        <f t="shared" si="53"/>
        <v>86.60999999999936</v>
      </c>
      <c r="J870" s="2">
        <f t="shared" si="54"/>
        <v>86.60999999999936</v>
      </c>
    </row>
    <row r="871" spans="6:10" x14ac:dyDescent="0.25">
      <c r="F871" s="4">
        <f t="shared" si="55"/>
        <v>86.709999999999354</v>
      </c>
      <c r="G871" s="4">
        <f>cubspline(3,F871,Data!$B$36:$B$56,Data!$A$36:$A$56)</f>
        <v>0</v>
      </c>
      <c r="H871" s="4">
        <f t="shared" si="56"/>
        <v>1E-10</v>
      </c>
      <c r="I871" s="4">
        <f t="shared" si="53"/>
        <v>86.709999999999354</v>
      </c>
      <c r="J871" s="2">
        <f t="shared" si="54"/>
        <v>86.709999999999354</v>
      </c>
    </row>
    <row r="872" spans="6:10" x14ac:dyDescent="0.25">
      <c r="F872" s="4">
        <f t="shared" si="55"/>
        <v>86.809999999999349</v>
      </c>
      <c r="G872" s="4">
        <f>cubspline(3,F872,Data!$B$36:$B$56,Data!$A$36:$A$56)</f>
        <v>0</v>
      </c>
      <c r="H872" s="4">
        <f t="shared" si="56"/>
        <v>1E-10</v>
      </c>
      <c r="I872" s="4">
        <f t="shared" si="53"/>
        <v>86.809999999999349</v>
      </c>
      <c r="J872" s="2">
        <f t="shared" si="54"/>
        <v>86.809999999999349</v>
      </c>
    </row>
    <row r="873" spans="6:10" x14ac:dyDescent="0.25">
      <c r="F873" s="4">
        <f t="shared" si="55"/>
        <v>86.909999999999343</v>
      </c>
      <c r="G873" s="4">
        <f>cubspline(3,F873,Data!$B$36:$B$56,Data!$A$36:$A$56)</f>
        <v>0</v>
      </c>
      <c r="H873" s="4">
        <f t="shared" si="56"/>
        <v>1E-10</v>
      </c>
      <c r="I873" s="4">
        <f t="shared" si="53"/>
        <v>86.909999999999343</v>
      </c>
      <c r="J873" s="2">
        <f t="shared" si="54"/>
        <v>86.909999999999343</v>
      </c>
    </row>
    <row r="874" spans="6:10" x14ac:dyDescent="0.25">
      <c r="F874" s="4">
        <f t="shared" si="55"/>
        <v>87.009999999999337</v>
      </c>
      <c r="G874" s="4">
        <f>cubspline(3,F874,Data!$B$36:$B$56,Data!$A$36:$A$56)</f>
        <v>0</v>
      </c>
      <c r="H874" s="4">
        <f t="shared" si="56"/>
        <v>1E-10</v>
      </c>
      <c r="I874" s="4">
        <f t="shared" si="53"/>
        <v>87.009999999999337</v>
      </c>
      <c r="J874" s="2">
        <f t="shared" si="54"/>
        <v>87.009999999999337</v>
      </c>
    </row>
    <row r="875" spans="6:10" x14ac:dyDescent="0.25">
      <c r="F875" s="4">
        <f t="shared" si="55"/>
        <v>87.109999999999332</v>
      </c>
      <c r="G875" s="4">
        <f>cubspline(3,F875,Data!$B$36:$B$56,Data!$A$36:$A$56)</f>
        <v>0</v>
      </c>
      <c r="H875" s="4">
        <f t="shared" si="56"/>
        <v>1E-10</v>
      </c>
      <c r="I875" s="4">
        <f t="shared" si="53"/>
        <v>87.109999999999332</v>
      </c>
      <c r="J875" s="2">
        <f t="shared" si="54"/>
        <v>87.109999999999332</v>
      </c>
    </row>
    <row r="876" spans="6:10" x14ac:dyDescent="0.25">
      <c r="F876" s="4">
        <f t="shared" si="55"/>
        <v>87.209999999999326</v>
      </c>
      <c r="G876" s="4">
        <f>cubspline(3,F876,Data!$B$36:$B$56,Data!$A$36:$A$56)</f>
        <v>0</v>
      </c>
      <c r="H876" s="4">
        <f t="shared" si="56"/>
        <v>1E-10</v>
      </c>
      <c r="I876" s="4">
        <f t="shared" si="53"/>
        <v>87.209999999999326</v>
      </c>
      <c r="J876" s="2">
        <f t="shared" si="54"/>
        <v>87.209999999999326</v>
      </c>
    </row>
    <row r="877" spans="6:10" x14ac:dyDescent="0.25">
      <c r="F877" s="4">
        <f t="shared" si="55"/>
        <v>87.30999999999932</v>
      </c>
      <c r="G877" s="4">
        <f>cubspline(3,F877,Data!$B$36:$B$56,Data!$A$36:$A$56)</f>
        <v>0</v>
      </c>
      <c r="H877" s="4">
        <f t="shared" si="56"/>
        <v>1E-10</v>
      </c>
      <c r="I877" s="4">
        <f t="shared" si="53"/>
        <v>87.30999999999932</v>
      </c>
      <c r="J877" s="2">
        <f t="shared" si="54"/>
        <v>87.30999999999932</v>
      </c>
    </row>
    <row r="878" spans="6:10" x14ac:dyDescent="0.25">
      <c r="F878" s="4">
        <f t="shared" si="55"/>
        <v>87.409999999999314</v>
      </c>
      <c r="G878" s="4">
        <f>cubspline(3,F878,Data!$B$36:$B$56,Data!$A$36:$A$56)</f>
        <v>0</v>
      </c>
      <c r="H878" s="4">
        <f t="shared" si="56"/>
        <v>1E-10</v>
      </c>
      <c r="I878" s="4">
        <f t="shared" si="53"/>
        <v>87.409999999999314</v>
      </c>
      <c r="J878" s="2">
        <f t="shared" si="54"/>
        <v>87.409999999999314</v>
      </c>
    </row>
    <row r="879" spans="6:10" x14ac:dyDescent="0.25">
      <c r="F879" s="4">
        <f t="shared" si="55"/>
        <v>87.509999999999309</v>
      </c>
      <c r="G879" s="4">
        <f>cubspline(3,F879,Data!$B$36:$B$56,Data!$A$36:$A$56)</f>
        <v>0</v>
      </c>
      <c r="H879" s="4">
        <f t="shared" si="56"/>
        <v>1E-10</v>
      </c>
      <c r="I879" s="4">
        <f t="shared" si="53"/>
        <v>87.509999999999309</v>
      </c>
      <c r="J879" s="2">
        <f t="shared" si="54"/>
        <v>87.509999999999309</v>
      </c>
    </row>
    <row r="880" spans="6:10" x14ac:dyDescent="0.25">
      <c r="F880" s="4">
        <f t="shared" si="55"/>
        <v>87.609999999999303</v>
      </c>
      <c r="G880" s="4">
        <f>cubspline(3,F880,Data!$B$36:$B$56,Data!$A$36:$A$56)</f>
        <v>0</v>
      </c>
      <c r="H880" s="4">
        <f t="shared" si="56"/>
        <v>1E-10</v>
      </c>
      <c r="I880" s="4">
        <f t="shared" si="53"/>
        <v>87.609999999999303</v>
      </c>
      <c r="J880" s="2">
        <f t="shared" si="54"/>
        <v>87.609999999999303</v>
      </c>
    </row>
    <row r="881" spans="6:10" x14ac:dyDescent="0.25">
      <c r="F881" s="4">
        <f t="shared" si="55"/>
        <v>87.709999999999297</v>
      </c>
      <c r="G881" s="4">
        <f>cubspline(3,F881,Data!$B$36:$B$56,Data!$A$36:$A$56)</f>
        <v>0</v>
      </c>
      <c r="H881" s="4">
        <f t="shared" si="56"/>
        <v>1E-10</v>
      </c>
      <c r="I881" s="4">
        <f t="shared" si="53"/>
        <v>87.709999999999297</v>
      </c>
      <c r="J881" s="2">
        <f t="shared" si="54"/>
        <v>87.709999999999297</v>
      </c>
    </row>
    <row r="882" spans="6:10" x14ac:dyDescent="0.25">
      <c r="F882" s="4">
        <f t="shared" si="55"/>
        <v>87.809999999999292</v>
      </c>
      <c r="G882" s="4">
        <f>cubspline(3,F882,Data!$B$36:$B$56,Data!$A$36:$A$56)</f>
        <v>0</v>
      </c>
      <c r="H882" s="4">
        <f t="shared" si="56"/>
        <v>1E-10</v>
      </c>
      <c r="I882" s="4">
        <f t="shared" si="53"/>
        <v>87.809999999999292</v>
      </c>
      <c r="J882" s="2">
        <f t="shared" si="54"/>
        <v>87.809999999999292</v>
      </c>
    </row>
    <row r="883" spans="6:10" x14ac:dyDescent="0.25">
      <c r="F883" s="4">
        <f t="shared" si="55"/>
        <v>87.909999999999286</v>
      </c>
      <c r="G883" s="4">
        <f>cubspline(3,F883,Data!$B$36:$B$56,Data!$A$36:$A$56)</f>
        <v>0</v>
      </c>
      <c r="H883" s="4">
        <f t="shared" si="56"/>
        <v>1E-10</v>
      </c>
      <c r="I883" s="4">
        <f t="shared" si="53"/>
        <v>87.909999999999286</v>
      </c>
      <c r="J883" s="2">
        <f t="shared" si="54"/>
        <v>87.909999999999286</v>
      </c>
    </row>
    <row r="884" spans="6:10" x14ac:dyDescent="0.25">
      <c r="F884" s="4">
        <f t="shared" si="55"/>
        <v>88.00999999999928</v>
      </c>
      <c r="G884" s="4">
        <f>cubspline(3,F884,Data!$B$36:$B$56,Data!$A$36:$A$56)</f>
        <v>0</v>
      </c>
      <c r="H884" s="4">
        <f t="shared" si="56"/>
        <v>1E-10</v>
      </c>
      <c r="I884" s="4">
        <f t="shared" si="53"/>
        <v>88.00999999999928</v>
      </c>
      <c r="J884" s="2">
        <f t="shared" si="54"/>
        <v>88.00999999999928</v>
      </c>
    </row>
    <row r="885" spans="6:10" x14ac:dyDescent="0.25">
      <c r="F885" s="4">
        <f t="shared" si="55"/>
        <v>88.109999999999275</v>
      </c>
      <c r="G885" s="4">
        <f>cubspline(3,F885,Data!$B$36:$B$56,Data!$A$36:$A$56)</f>
        <v>0</v>
      </c>
      <c r="H885" s="4">
        <f t="shared" si="56"/>
        <v>1E-10</v>
      </c>
      <c r="I885" s="4">
        <f t="shared" si="53"/>
        <v>88.109999999999275</v>
      </c>
      <c r="J885" s="2">
        <f t="shared" si="54"/>
        <v>88.109999999999275</v>
      </c>
    </row>
    <row r="886" spans="6:10" x14ac:dyDescent="0.25">
      <c r="F886" s="4">
        <f t="shared" si="55"/>
        <v>88.209999999999269</v>
      </c>
      <c r="G886" s="4">
        <f>cubspline(3,F886,Data!$B$36:$B$56,Data!$A$36:$A$56)</f>
        <v>0</v>
      </c>
      <c r="H886" s="4">
        <f t="shared" si="56"/>
        <v>1E-10</v>
      </c>
      <c r="I886" s="4">
        <f t="shared" si="53"/>
        <v>88.209999999999269</v>
      </c>
      <c r="J886" s="2">
        <f t="shared" si="54"/>
        <v>88.209999999999269</v>
      </c>
    </row>
    <row r="887" spans="6:10" x14ac:dyDescent="0.25">
      <c r="F887" s="4">
        <f t="shared" si="55"/>
        <v>88.309999999999263</v>
      </c>
      <c r="G887" s="4">
        <f>cubspline(3,F887,Data!$B$36:$B$56,Data!$A$36:$A$56)</f>
        <v>0</v>
      </c>
      <c r="H887" s="4">
        <f t="shared" si="56"/>
        <v>1E-10</v>
      </c>
      <c r="I887" s="4">
        <f t="shared" si="53"/>
        <v>88.309999999999263</v>
      </c>
      <c r="J887" s="2">
        <f t="shared" si="54"/>
        <v>88.309999999999263</v>
      </c>
    </row>
    <row r="888" spans="6:10" x14ac:dyDescent="0.25">
      <c r="F888" s="4">
        <f t="shared" si="55"/>
        <v>88.409999999999258</v>
      </c>
      <c r="G888" s="4">
        <f>cubspline(3,F888,Data!$B$36:$B$56,Data!$A$36:$A$56)</f>
        <v>0</v>
      </c>
      <c r="H888" s="4">
        <f t="shared" si="56"/>
        <v>1E-10</v>
      </c>
      <c r="I888" s="4">
        <f t="shared" si="53"/>
        <v>88.409999999999258</v>
      </c>
      <c r="J888" s="2">
        <f t="shared" si="54"/>
        <v>88.409999999999258</v>
      </c>
    </row>
    <row r="889" spans="6:10" x14ac:dyDescent="0.25">
      <c r="F889" s="4">
        <f t="shared" si="55"/>
        <v>88.509999999999252</v>
      </c>
      <c r="G889" s="4">
        <f>cubspline(3,F889,Data!$B$36:$B$56,Data!$A$36:$A$56)</f>
        <v>0</v>
      </c>
      <c r="H889" s="4">
        <f t="shared" si="56"/>
        <v>1E-10</v>
      </c>
      <c r="I889" s="4">
        <f t="shared" si="53"/>
        <v>88.509999999999252</v>
      </c>
      <c r="J889" s="2">
        <f t="shared" si="54"/>
        <v>88.509999999999252</v>
      </c>
    </row>
    <row r="890" spans="6:10" x14ac:dyDescent="0.25">
      <c r="F890" s="4">
        <f t="shared" si="55"/>
        <v>88.609999999999246</v>
      </c>
      <c r="G890" s="4">
        <f>cubspline(3,F890,Data!$B$36:$B$56,Data!$A$36:$A$56)</f>
        <v>0</v>
      </c>
      <c r="H890" s="4">
        <f t="shared" si="56"/>
        <v>1E-10</v>
      </c>
      <c r="I890" s="4">
        <f t="shared" si="53"/>
        <v>88.609999999999246</v>
      </c>
      <c r="J890" s="2">
        <f t="shared" si="54"/>
        <v>88.609999999999246</v>
      </c>
    </row>
    <row r="891" spans="6:10" x14ac:dyDescent="0.25">
      <c r="F891" s="4">
        <f t="shared" si="55"/>
        <v>88.709999999999241</v>
      </c>
      <c r="G891" s="4">
        <f>cubspline(3,F891,Data!$B$36:$B$56,Data!$A$36:$A$56)</f>
        <v>0</v>
      </c>
      <c r="H891" s="4">
        <f t="shared" si="56"/>
        <v>1E-10</v>
      </c>
      <c r="I891" s="4">
        <f t="shared" si="53"/>
        <v>88.709999999999241</v>
      </c>
      <c r="J891" s="2">
        <f t="shared" si="54"/>
        <v>88.709999999999241</v>
      </c>
    </row>
    <row r="892" spans="6:10" x14ac:dyDescent="0.25">
      <c r="F892" s="4">
        <f t="shared" si="55"/>
        <v>88.809999999999235</v>
      </c>
      <c r="G892" s="4">
        <f>cubspline(3,F892,Data!$B$36:$B$56,Data!$A$36:$A$56)</f>
        <v>0</v>
      </c>
      <c r="H892" s="4">
        <f t="shared" si="56"/>
        <v>1E-10</v>
      </c>
      <c r="I892" s="4">
        <f t="shared" si="53"/>
        <v>88.809999999999235</v>
      </c>
      <c r="J892" s="2">
        <f t="shared" si="54"/>
        <v>88.809999999999235</v>
      </c>
    </row>
    <row r="893" spans="6:10" x14ac:dyDescent="0.25">
      <c r="F893" s="4">
        <f t="shared" si="55"/>
        <v>88.909999999999229</v>
      </c>
      <c r="G893" s="4">
        <f>cubspline(3,F893,Data!$B$36:$B$56,Data!$A$36:$A$56)</f>
        <v>0</v>
      </c>
      <c r="H893" s="4">
        <f t="shared" si="56"/>
        <v>1E-10</v>
      </c>
      <c r="I893" s="4">
        <f t="shared" si="53"/>
        <v>88.909999999999229</v>
      </c>
      <c r="J893" s="2">
        <f t="shared" si="54"/>
        <v>88.909999999999229</v>
      </c>
    </row>
    <row r="894" spans="6:10" x14ac:dyDescent="0.25">
      <c r="F894" s="4">
        <f t="shared" si="55"/>
        <v>89.009999999999224</v>
      </c>
      <c r="G894" s="4">
        <f>cubspline(3,F894,Data!$B$36:$B$56,Data!$A$36:$A$56)</f>
        <v>0</v>
      </c>
      <c r="H894" s="4">
        <f t="shared" si="56"/>
        <v>1E-10</v>
      </c>
      <c r="I894" s="4">
        <f t="shared" si="53"/>
        <v>89.009999999999224</v>
      </c>
      <c r="J894" s="2">
        <f t="shared" si="54"/>
        <v>89.009999999999224</v>
      </c>
    </row>
    <row r="895" spans="6:10" x14ac:dyDescent="0.25">
      <c r="F895" s="4">
        <f t="shared" si="55"/>
        <v>89.109999999999218</v>
      </c>
      <c r="G895" s="4">
        <f>cubspline(3,F895,Data!$B$36:$B$56,Data!$A$36:$A$56)</f>
        <v>0</v>
      </c>
      <c r="H895" s="4">
        <f t="shared" si="56"/>
        <v>1E-10</v>
      </c>
      <c r="I895" s="4">
        <f t="shared" si="53"/>
        <v>89.109999999999218</v>
      </c>
      <c r="J895" s="2">
        <f t="shared" si="54"/>
        <v>89.109999999999218</v>
      </c>
    </row>
    <row r="896" spans="6:10" x14ac:dyDescent="0.25">
      <c r="F896" s="4">
        <f t="shared" si="55"/>
        <v>89.209999999999212</v>
      </c>
      <c r="G896" s="4">
        <f>cubspline(3,F896,Data!$B$36:$B$56,Data!$A$36:$A$56)</f>
        <v>0</v>
      </c>
      <c r="H896" s="4">
        <f t="shared" si="56"/>
        <v>1E-10</v>
      </c>
      <c r="I896" s="4">
        <f t="shared" si="53"/>
        <v>89.209999999999212</v>
      </c>
      <c r="J896" s="2">
        <f t="shared" si="54"/>
        <v>89.209999999999212</v>
      </c>
    </row>
    <row r="897" spans="6:10" x14ac:dyDescent="0.25">
      <c r="F897" s="4">
        <f t="shared" si="55"/>
        <v>89.309999999999206</v>
      </c>
      <c r="G897" s="4">
        <f>cubspline(3,F897,Data!$B$36:$B$56,Data!$A$36:$A$56)</f>
        <v>0</v>
      </c>
      <c r="H897" s="4">
        <f t="shared" si="56"/>
        <v>1E-10</v>
      </c>
      <c r="I897" s="4">
        <f t="shared" si="53"/>
        <v>89.309999999999206</v>
      </c>
      <c r="J897" s="2">
        <f t="shared" si="54"/>
        <v>89.309999999999206</v>
      </c>
    </row>
    <row r="898" spans="6:10" x14ac:dyDescent="0.25">
      <c r="F898" s="4">
        <f t="shared" si="55"/>
        <v>89.409999999999201</v>
      </c>
      <c r="G898" s="4">
        <f>cubspline(3,F898,Data!$B$36:$B$56,Data!$A$36:$A$56)</f>
        <v>0</v>
      </c>
      <c r="H898" s="4">
        <f t="shared" si="56"/>
        <v>1E-10</v>
      </c>
      <c r="I898" s="4">
        <f t="shared" si="53"/>
        <v>89.409999999999201</v>
      </c>
      <c r="J898" s="2">
        <f t="shared" si="54"/>
        <v>89.409999999999201</v>
      </c>
    </row>
    <row r="899" spans="6:10" x14ac:dyDescent="0.25">
      <c r="F899" s="4">
        <f t="shared" si="55"/>
        <v>89.509999999999195</v>
      </c>
      <c r="G899" s="4">
        <f>cubspline(3,F899,Data!$B$36:$B$56,Data!$A$36:$A$56)</f>
        <v>0</v>
      </c>
      <c r="H899" s="4">
        <f t="shared" si="56"/>
        <v>1E-10</v>
      </c>
      <c r="I899" s="4">
        <f t="shared" si="53"/>
        <v>89.509999999999195</v>
      </c>
      <c r="J899" s="2">
        <f t="shared" si="54"/>
        <v>89.509999999999195</v>
      </c>
    </row>
    <row r="900" spans="6:10" x14ac:dyDescent="0.25">
      <c r="F900" s="4">
        <f t="shared" si="55"/>
        <v>89.609999999999189</v>
      </c>
      <c r="G900" s="4">
        <f>cubspline(3,F900,Data!$B$36:$B$56,Data!$A$36:$A$56)</f>
        <v>0</v>
      </c>
      <c r="H900" s="4">
        <f t="shared" si="56"/>
        <v>1E-10</v>
      </c>
      <c r="I900" s="4">
        <f t="shared" si="53"/>
        <v>89.609999999999189</v>
      </c>
      <c r="J900" s="2">
        <f t="shared" si="54"/>
        <v>89.609999999999189</v>
      </c>
    </row>
    <row r="901" spans="6:10" x14ac:dyDescent="0.25">
      <c r="F901" s="4">
        <f t="shared" si="55"/>
        <v>89.709999999999184</v>
      </c>
      <c r="G901" s="4">
        <f>cubspline(3,F901,Data!$B$36:$B$56,Data!$A$36:$A$56)</f>
        <v>0</v>
      </c>
      <c r="H901" s="4">
        <f t="shared" si="56"/>
        <v>1E-10</v>
      </c>
      <c r="I901" s="4">
        <f t="shared" ref="I901:I964" si="57">IF(F901&gt;$D$47,F901,NA())</f>
        <v>89.709999999999184</v>
      </c>
      <c r="J901" s="2">
        <f t="shared" ref="J901:J964" si="58">IF(F901&gt;=$D$47,F901,($D$47-(0.3*($D$47-F901))))</f>
        <v>89.709999999999184</v>
      </c>
    </row>
    <row r="902" spans="6:10" x14ac:dyDescent="0.25">
      <c r="F902" s="4">
        <f t="shared" ref="F902:F965" si="59">F901+0.1</f>
        <v>89.809999999999178</v>
      </c>
      <c r="G902" s="4">
        <f>cubspline(3,F902,Data!$B$36:$B$56,Data!$A$36:$A$56)</f>
        <v>0</v>
      </c>
      <c r="H902" s="4">
        <f t="shared" ref="H902:H965" si="60">IF(G902&lt;=0,0.0000000001,G902)</f>
        <v>1E-10</v>
      </c>
      <c r="I902" s="4">
        <f t="shared" si="57"/>
        <v>89.809999999999178</v>
      </c>
      <c r="J902" s="2">
        <f t="shared" si="58"/>
        <v>89.809999999999178</v>
      </c>
    </row>
    <row r="903" spans="6:10" x14ac:dyDescent="0.25">
      <c r="F903" s="4">
        <f t="shared" si="59"/>
        <v>89.909999999999172</v>
      </c>
      <c r="G903" s="4">
        <f>cubspline(3,F903,Data!$B$36:$B$56,Data!$A$36:$A$56)</f>
        <v>0</v>
      </c>
      <c r="H903" s="4">
        <f t="shared" si="60"/>
        <v>1E-10</v>
      </c>
      <c r="I903" s="4">
        <f t="shared" si="57"/>
        <v>89.909999999999172</v>
      </c>
      <c r="J903" s="2">
        <f t="shared" si="58"/>
        <v>89.909999999999172</v>
      </c>
    </row>
    <row r="904" spans="6:10" x14ac:dyDescent="0.25">
      <c r="F904" s="4">
        <f t="shared" si="59"/>
        <v>90.009999999999167</v>
      </c>
      <c r="G904" s="4">
        <f>cubspline(3,F904,Data!$B$36:$B$56,Data!$A$36:$A$56)</f>
        <v>0</v>
      </c>
      <c r="H904" s="4">
        <f t="shared" si="60"/>
        <v>1E-10</v>
      </c>
      <c r="I904" s="4">
        <f t="shared" si="57"/>
        <v>90.009999999999167</v>
      </c>
      <c r="J904" s="2">
        <f t="shared" si="58"/>
        <v>90.009999999999167</v>
      </c>
    </row>
    <row r="905" spans="6:10" x14ac:dyDescent="0.25">
      <c r="F905" s="4">
        <f t="shared" si="59"/>
        <v>90.109999999999161</v>
      </c>
      <c r="G905" s="4">
        <f>cubspline(3,F905,Data!$B$36:$B$56,Data!$A$36:$A$56)</f>
        <v>0</v>
      </c>
      <c r="H905" s="4">
        <f t="shared" si="60"/>
        <v>1E-10</v>
      </c>
      <c r="I905" s="4">
        <f t="shared" si="57"/>
        <v>90.109999999999161</v>
      </c>
      <c r="J905" s="2">
        <f t="shared" si="58"/>
        <v>90.109999999999161</v>
      </c>
    </row>
    <row r="906" spans="6:10" x14ac:dyDescent="0.25">
      <c r="F906" s="4">
        <f t="shared" si="59"/>
        <v>90.209999999999155</v>
      </c>
      <c r="G906" s="4">
        <f>cubspline(3,F906,Data!$B$36:$B$56,Data!$A$36:$A$56)</f>
        <v>0</v>
      </c>
      <c r="H906" s="4">
        <f t="shared" si="60"/>
        <v>1E-10</v>
      </c>
      <c r="I906" s="4">
        <f t="shared" si="57"/>
        <v>90.209999999999155</v>
      </c>
      <c r="J906" s="2">
        <f t="shared" si="58"/>
        <v>90.209999999999155</v>
      </c>
    </row>
    <row r="907" spans="6:10" x14ac:dyDescent="0.25">
      <c r="F907" s="4">
        <f t="shared" si="59"/>
        <v>90.30999999999915</v>
      </c>
      <c r="G907" s="4">
        <f>cubspline(3,F907,Data!$B$36:$B$56,Data!$A$36:$A$56)</f>
        <v>0</v>
      </c>
      <c r="H907" s="4">
        <f t="shared" si="60"/>
        <v>1E-10</v>
      </c>
      <c r="I907" s="4">
        <f t="shared" si="57"/>
        <v>90.30999999999915</v>
      </c>
      <c r="J907" s="2">
        <f t="shared" si="58"/>
        <v>90.30999999999915</v>
      </c>
    </row>
    <row r="908" spans="6:10" x14ac:dyDescent="0.25">
      <c r="F908" s="4">
        <f t="shared" si="59"/>
        <v>90.409999999999144</v>
      </c>
      <c r="G908" s="4">
        <f>cubspline(3,F908,Data!$B$36:$B$56,Data!$A$36:$A$56)</f>
        <v>0</v>
      </c>
      <c r="H908" s="4">
        <f t="shared" si="60"/>
        <v>1E-10</v>
      </c>
      <c r="I908" s="4">
        <f t="shared" si="57"/>
        <v>90.409999999999144</v>
      </c>
      <c r="J908" s="2">
        <f t="shared" si="58"/>
        <v>90.409999999999144</v>
      </c>
    </row>
    <row r="909" spans="6:10" x14ac:dyDescent="0.25">
      <c r="F909" s="4">
        <f t="shared" si="59"/>
        <v>90.509999999999138</v>
      </c>
      <c r="G909" s="4">
        <f>cubspline(3,F909,Data!$B$36:$B$56,Data!$A$36:$A$56)</f>
        <v>0</v>
      </c>
      <c r="H909" s="4">
        <f t="shared" si="60"/>
        <v>1E-10</v>
      </c>
      <c r="I909" s="4">
        <f t="shared" si="57"/>
        <v>90.509999999999138</v>
      </c>
      <c r="J909" s="2">
        <f t="shared" si="58"/>
        <v>90.509999999999138</v>
      </c>
    </row>
    <row r="910" spans="6:10" x14ac:dyDescent="0.25">
      <c r="F910" s="4">
        <f t="shared" si="59"/>
        <v>90.609999999999133</v>
      </c>
      <c r="G910" s="4">
        <f>cubspline(3,F910,Data!$B$36:$B$56,Data!$A$36:$A$56)</f>
        <v>0</v>
      </c>
      <c r="H910" s="4">
        <f t="shared" si="60"/>
        <v>1E-10</v>
      </c>
      <c r="I910" s="4">
        <f t="shared" si="57"/>
        <v>90.609999999999133</v>
      </c>
      <c r="J910" s="2">
        <f t="shared" si="58"/>
        <v>90.609999999999133</v>
      </c>
    </row>
    <row r="911" spans="6:10" x14ac:dyDescent="0.25">
      <c r="F911" s="4">
        <f t="shared" si="59"/>
        <v>90.709999999999127</v>
      </c>
      <c r="G911" s="4">
        <f>cubspline(3,F911,Data!$B$36:$B$56,Data!$A$36:$A$56)</f>
        <v>0</v>
      </c>
      <c r="H911" s="4">
        <f t="shared" si="60"/>
        <v>1E-10</v>
      </c>
      <c r="I911" s="4">
        <f t="shared" si="57"/>
        <v>90.709999999999127</v>
      </c>
      <c r="J911" s="2">
        <f t="shared" si="58"/>
        <v>90.709999999999127</v>
      </c>
    </row>
    <row r="912" spans="6:10" x14ac:dyDescent="0.25">
      <c r="F912" s="4">
        <f t="shared" si="59"/>
        <v>90.809999999999121</v>
      </c>
      <c r="G912" s="4">
        <f>cubspline(3,F912,Data!$B$36:$B$56,Data!$A$36:$A$56)</f>
        <v>0</v>
      </c>
      <c r="H912" s="4">
        <f t="shared" si="60"/>
        <v>1E-10</v>
      </c>
      <c r="I912" s="4">
        <f t="shared" si="57"/>
        <v>90.809999999999121</v>
      </c>
      <c r="J912" s="2">
        <f t="shared" si="58"/>
        <v>90.809999999999121</v>
      </c>
    </row>
    <row r="913" spans="6:10" x14ac:dyDescent="0.25">
      <c r="F913" s="4">
        <f t="shared" si="59"/>
        <v>90.909999999999116</v>
      </c>
      <c r="G913" s="4">
        <f>cubspline(3,F913,Data!$B$36:$B$56,Data!$A$36:$A$56)</f>
        <v>0</v>
      </c>
      <c r="H913" s="4">
        <f t="shared" si="60"/>
        <v>1E-10</v>
      </c>
      <c r="I913" s="4">
        <f t="shared" si="57"/>
        <v>90.909999999999116</v>
      </c>
      <c r="J913" s="2">
        <f t="shared" si="58"/>
        <v>90.909999999999116</v>
      </c>
    </row>
    <row r="914" spans="6:10" x14ac:dyDescent="0.25">
      <c r="F914" s="4">
        <f t="shared" si="59"/>
        <v>91.00999999999911</v>
      </c>
      <c r="G914" s="4">
        <f>cubspline(3,F914,Data!$B$36:$B$56,Data!$A$36:$A$56)</f>
        <v>0</v>
      </c>
      <c r="H914" s="4">
        <f t="shared" si="60"/>
        <v>1E-10</v>
      </c>
      <c r="I914" s="4">
        <f t="shared" si="57"/>
        <v>91.00999999999911</v>
      </c>
      <c r="J914" s="2">
        <f t="shared" si="58"/>
        <v>91.00999999999911</v>
      </c>
    </row>
    <row r="915" spans="6:10" x14ac:dyDescent="0.25">
      <c r="F915" s="4">
        <f t="shared" si="59"/>
        <v>91.109999999999104</v>
      </c>
      <c r="G915" s="4">
        <f>cubspline(3,F915,Data!$B$36:$B$56,Data!$A$36:$A$56)</f>
        <v>0</v>
      </c>
      <c r="H915" s="4">
        <f t="shared" si="60"/>
        <v>1E-10</v>
      </c>
      <c r="I915" s="4">
        <f t="shared" si="57"/>
        <v>91.109999999999104</v>
      </c>
      <c r="J915" s="2">
        <f t="shared" si="58"/>
        <v>91.109999999999104</v>
      </c>
    </row>
    <row r="916" spans="6:10" x14ac:dyDescent="0.25">
      <c r="F916" s="4">
        <f t="shared" si="59"/>
        <v>91.209999999999098</v>
      </c>
      <c r="G916" s="4">
        <f>cubspline(3,F916,Data!$B$36:$B$56,Data!$A$36:$A$56)</f>
        <v>0</v>
      </c>
      <c r="H916" s="4">
        <f t="shared" si="60"/>
        <v>1E-10</v>
      </c>
      <c r="I916" s="4">
        <f t="shared" si="57"/>
        <v>91.209999999999098</v>
      </c>
      <c r="J916" s="2">
        <f t="shared" si="58"/>
        <v>91.209999999999098</v>
      </c>
    </row>
    <row r="917" spans="6:10" x14ac:dyDescent="0.25">
      <c r="F917" s="4">
        <f t="shared" si="59"/>
        <v>91.309999999999093</v>
      </c>
      <c r="G917" s="4">
        <f>cubspline(3,F917,Data!$B$36:$B$56,Data!$A$36:$A$56)</f>
        <v>0</v>
      </c>
      <c r="H917" s="4">
        <f t="shared" si="60"/>
        <v>1E-10</v>
      </c>
      <c r="I917" s="4">
        <f t="shared" si="57"/>
        <v>91.309999999999093</v>
      </c>
      <c r="J917" s="2">
        <f t="shared" si="58"/>
        <v>91.309999999999093</v>
      </c>
    </row>
    <row r="918" spans="6:10" x14ac:dyDescent="0.25">
      <c r="F918" s="4">
        <f t="shared" si="59"/>
        <v>91.409999999999087</v>
      </c>
      <c r="G918" s="4">
        <f>cubspline(3,F918,Data!$B$36:$B$56,Data!$A$36:$A$56)</f>
        <v>0</v>
      </c>
      <c r="H918" s="4">
        <f t="shared" si="60"/>
        <v>1E-10</v>
      </c>
      <c r="I918" s="4">
        <f t="shared" si="57"/>
        <v>91.409999999999087</v>
      </c>
      <c r="J918" s="2">
        <f t="shared" si="58"/>
        <v>91.409999999999087</v>
      </c>
    </row>
    <row r="919" spans="6:10" x14ac:dyDescent="0.25">
      <c r="F919" s="4">
        <f t="shared" si="59"/>
        <v>91.509999999999081</v>
      </c>
      <c r="G919" s="4">
        <f>cubspline(3,F919,Data!$B$36:$B$56,Data!$A$36:$A$56)</f>
        <v>0</v>
      </c>
      <c r="H919" s="4">
        <f t="shared" si="60"/>
        <v>1E-10</v>
      </c>
      <c r="I919" s="4">
        <f t="shared" si="57"/>
        <v>91.509999999999081</v>
      </c>
      <c r="J919" s="2">
        <f t="shared" si="58"/>
        <v>91.509999999999081</v>
      </c>
    </row>
    <row r="920" spans="6:10" x14ac:dyDescent="0.25">
      <c r="F920" s="4">
        <f t="shared" si="59"/>
        <v>91.609999999999076</v>
      </c>
      <c r="G920" s="4">
        <f>cubspline(3,F920,Data!$B$36:$B$56,Data!$A$36:$A$56)</f>
        <v>0</v>
      </c>
      <c r="H920" s="4">
        <f t="shared" si="60"/>
        <v>1E-10</v>
      </c>
      <c r="I920" s="4">
        <f t="shared" si="57"/>
        <v>91.609999999999076</v>
      </c>
      <c r="J920" s="2">
        <f t="shared" si="58"/>
        <v>91.609999999999076</v>
      </c>
    </row>
    <row r="921" spans="6:10" x14ac:dyDescent="0.25">
      <c r="F921" s="4">
        <f t="shared" si="59"/>
        <v>91.70999999999907</v>
      </c>
      <c r="G921" s="4">
        <f>cubspline(3,F921,Data!$B$36:$B$56,Data!$A$36:$A$56)</f>
        <v>0</v>
      </c>
      <c r="H921" s="4">
        <f t="shared" si="60"/>
        <v>1E-10</v>
      </c>
      <c r="I921" s="4">
        <f t="shared" si="57"/>
        <v>91.70999999999907</v>
      </c>
      <c r="J921" s="2">
        <f t="shared" si="58"/>
        <v>91.70999999999907</v>
      </c>
    </row>
    <row r="922" spans="6:10" x14ac:dyDescent="0.25">
      <c r="F922" s="4">
        <f t="shared" si="59"/>
        <v>91.809999999999064</v>
      </c>
      <c r="G922" s="4">
        <f>cubspline(3,F922,Data!$B$36:$B$56,Data!$A$36:$A$56)</f>
        <v>0</v>
      </c>
      <c r="H922" s="4">
        <f t="shared" si="60"/>
        <v>1E-10</v>
      </c>
      <c r="I922" s="4">
        <f t="shared" si="57"/>
        <v>91.809999999999064</v>
      </c>
      <c r="J922" s="2">
        <f t="shared" si="58"/>
        <v>91.809999999999064</v>
      </c>
    </row>
    <row r="923" spans="6:10" x14ac:dyDescent="0.25">
      <c r="F923" s="4">
        <f t="shared" si="59"/>
        <v>91.909999999999059</v>
      </c>
      <c r="G923" s="4">
        <f>cubspline(3,F923,Data!$B$36:$B$56,Data!$A$36:$A$56)</f>
        <v>0</v>
      </c>
      <c r="H923" s="4">
        <f t="shared" si="60"/>
        <v>1E-10</v>
      </c>
      <c r="I923" s="4">
        <f t="shared" si="57"/>
        <v>91.909999999999059</v>
      </c>
      <c r="J923" s="2">
        <f t="shared" si="58"/>
        <v>91.909999999999059</v>
      </c>
    </row>
    <row r="924" spans="6:10" x14ac:dyDescent="0.25">
      <c r="F924" s="4">
        <f t="shared" si="59"/>
        <v>92.009999999999053</v>
      </c>
      <c r="G924" s="4">
        <f>cubspline(3,F924,Data!$B$36:$B$56,Data!$A$36:$A$56)</f>
        <v>0</v>
      </c>
      <c r="H924" s="4">
        <f t="shared" si="60"/>
        <v>1E-10</v>
      </c>
      <c r="I924" s="4">
        <f t="shared" si="57"/>
        <v>92.009999999999053</v>
      </c>
      <c r="J924" s="2">
        <f t="shared" si="58"/>
        <v>92.009999999999053</v>
      </c>
    </row>
    <row r="925" spans="6:10" x14ac:dyDescent="0.25">
      <c r="F925" s="4">
        <f t="shared" si="59"/>
        <v>92.109999999999047</v>
      </c>
      <c r="G925" s="4">
        <f>cubspline(3,F925,Data!$B$36:$B$56,Data!$A$36:$A$56)</f>
        <v>0</v>
      </c>
      <c r="H925" s="4">
        <f t="shared" si="60"/>
        <v>1E-10</v>
      </c>
      <c r="I925" s="4">
        <f t="shared" si="57"/>
        <v>92.109999999999047</v>
      </c>
      <c r="J925" s="2">
        <f t="shared" si="58"/>
        <v>92.109999999999047</v>
      </c>
    </row>
    <row r="926" spans="6:10" x14ac:dyDescent="0.25">
      <c r="F926" s="4">
        <f t="shared" si="59"/>
        <v>92.209999999999042</v>
      </c>
      <c r="G926" s="4">
        <f>cubspline(3,F926,Data!$B$36:$B$56,Data!$A$36:$A$56)</f>
        <v>0</v>
      </c>
      <c r="H926" s="4">
        <f t="shared" si="60"/>
        <v>1E-10</v>
      </c>
      <c r="I926" s="4">
        <f t="shared" si="57"/>
        <v>92.209999999999042</v>
      </c>
      <c r="J926" s="2">
        <f t="shared" si="58"/>
        <v>92.209999999999042</v>
      </c>
    </row>
    <row r="927" spans="6:10" x14ac:dyDescent="0.25">
      <c r="F927" s="4">
        <f t="shared" si="59"/>
        <v>92.309999999999036</v>
      </c>
      <c r="G927" s="4">
        <f>cubspline(3,F927,Data!$B$36:$B$56,Data!$A$36:$A$56)</f>
        <v>0</v>
      </c>
      <c r="H927" s="4">
        <f t="shared" si="60"/>
        <v>1E-10</v>
      </c>
      <c r="I927" s="4">
        <f t="shared" si="57"/>
        <v>92.309999999999036</v>
      </c>
      <c r="J927" s="2">
        <f t="shared" si="58"/>
        <v>92.309999999999036</v>
      </c>
    </row>
    <row r="928" spans="6:10" x14ac:dyDescent="0.25">
      <c r="F928" s="4">
        <f t="shared" si="59"/>
        <v>92.40999999999903</v>
      </c>
      <c r="G928" s="4">
        <f>cubspline(3,F928,Data!$B$36:$B$56,Data!$A$36:$A$56)</f>
        <v>0</v>
      </c>
      <c r="H928" s="4">
        <f t="shared" si="60"/>
        <v>1E-10</v>
      </c>
      <c r="I928" s="4">
        <f t="shared" si="57"/>
        <v>92.40999999999903</v>
      </c>
      <c r="J928" s="2">
        <f t="shared" si="58"/>
        <v>92.40999999999903</v>
      </c>
    </row>
    <row r="929" spans="6:10" x14ac:dyDescent="0.25">
      <c r="F929" s="4">
        <f t="shared" si="59"/>
        <v>92.509999999999025</v>
      </c>
      <c r="G929" s="4">
        <f>cubspline(3,F929,Data!$B$36:$B$56,Data!$A$36:$A$56)</f>
        <v>0</v>
      </c>
      <c r="H929" s="4">
        <f t="shared" si="60"/>
        <v>1E-10</v>
      </c>
      <c r="I929" s="4">
        <f t="shared" si="57"/>
        <v>92.509999999999025</v>
      </c>
      <c r="J929" s="2">
        <f t="shared" si="58"/>
        <v>92.509999999999025</v>
      </c>
    </row>
    <row r="930" spans="6:10" x14ac:dyDescent="0.25">
      <c r="F930" s="4">
        <f t="shared" si="59"/>
        <v>92.609999999999019</v>
      </c>
      <c r="G930" s="4">
        <f>cubspline(3,F930,Data!$B$36:$B$56,Data!$A$36:$A$56)</f>
        <v>0</v>
      </c>
      <c r="H930" s="4">
        <f t="shared" si="60"/>
        <v>1E-10</v>
      </c>
      <c r="I930" s="4">
        <f t="shared" si="57"/>
        <v>92.609999999999019</v>
      </c>
      <c r="J930" s="2">
        <f t="shared" si="58"/>
        <v>92.609999999999019</v>
      </c>
    </row>
    <row r="931" spans="6:10" x14ac:dyDescent="0.25">
      <c r="F931" s="4">
        <f t="shared" si="59"/>
        <v>92.709999999999013</v>
      </c>
      <c r="G931" s="4">
        <f>cubspline(3,F931,Data!$B$36:$B$56,Data!$A$36:$A$56)</f>
        <v>0</v>
      </c>
      <c r="H931" s="4">
        <f t="shared" si="60"/>
        <v>1E-10</v>
      </c>
      <c r="I931" s="4">
        <f t="shared" si="57"/>
        <v>92.709999999999013</v>
      </c>
      <c r="J931" s="2">
        <f t="shared" si="58"/>
        <v>92.709999999999013</v>
      </c>
    </row>
    <row r="932" spans="6:10" x14ac:dyDescent="0.25">
      <c r="F932" s="4">
        <f t="shared" si="59"/>
        <v>92.809999999999008</v>
      </c>
      <c r="G932" s="4">
        <f>cubspline(3,F932,Data!$B$36:$B$56,Data!$A$36:$A$56)</f>
        <v>0</v>
      </c>
      <c r="H932" s="4">
        <f t="shared" si="60"/>
        <v>1E-10</v>
      </c>
      <c r="I932" s="4">
        <f t="shared" si="57"/>
        <v>92.809999999999008</v>
      </c>
      <c r="J932" s="2">
        <f t="shared" si="58"/>
        <v>92.809999999999008</v>
      </c>
    </row>
    <row r="933" spans="6:10" x14ac:dyDescent="0.25">
      <c r="F933" s="4">
        <f t="shared" si="59"/>
        <v>92.909999999999002</v>
      </c>
      <c r="G933" s="4">
        <f>cubspline(3,F933,Data!$B$36:$B$56,Data!$A$36:$A$56)</f>
        <v>0</v>
      </c>
      <c r="H933" s="4">
        <f t="shared" si="60"/>
        <v>1E-10</v>
      </c>
      <c r="I933" s="4">
        <f t="shared" si="57"/>
        <v>92.909999999999002</v>
      </c>
      <c r="J933" s="2">
        <f t="shared" si="58"/>
        <v>92.909999999999002</v>
      </c>
    </row>
    <row r="934" spans="6:10" x14ac:dyDescent="0.25">
      <c r="F934" s="4">
        <f t="shared" si="59"/>
        <v>93.009999999998996</v>
      </c>
      <c r="G934" s="4">
        <f>cubspline(3,F934,Data!$B$36:$B$56,Data!$A$36:$A$56)</f>
        <v>0</v>
      </c>
      <c r="H934" s="4">
        <f t="shared" si="60"/>
        <v>1E-10</v>
      </c>
      <c r="I934" s="4">
        <f t="shared" si="57"/>
        <v>93.009999999998996</v>
      </c>
      <c r="J934" s="2">
        <f t="shared" si="58"/>
        <v>93.009999999998996</v>
      </c>
    </row>
    <row r="935" spans="6:10" x14ac:dyDescent="0.25">
      <c r="F935" s="4">
        <f t="shared" si="59"/>
        <v>93.10999999999899</v>
      </c>
      <c r="G935" s="4">
        <f>cubspline(3,F935,Data!$B$36:$B$56,Data!$A$36:$A$56)</f>
        <v>0</v>
      </c>
      <c r="H935" s="4">
        <f t="shared" si="60"/>
        <v>1E-10</v>
      </c>
      <c r="I935" s="4">
        <f t="shared" si="57"/>
        <v>93.10999999999899</v>
      </c>
      <c r="J935" s="2">
        <f t="shared" si="58"/>
        <v>93.10999999999899</v>
      </c>
    </row>
    <row r="936" spans="6:10" x14ac:dyDescent="0.25">
      <c r="F936" s="4">
        <f t="shared" si="59"/>
        <v>93.209999999998985</v>
      </c>
      <c r="G936" s="4">
        <f>cubspline(3,F936,Data!$B$36:$B$56,Data!$A$36:$A$56)</f>
        <v>0</v>
      </c>
      <c r="H936" s="4">
        <f t="shared" si="60"/>
        <v>1E-10</v>
      </c>
      <c r="I936" s="4">
        <f t="shared" si="57"/>
        <v>93.209999999998985</v>
      </c>
      <c r="J936" s="2">
        <f t="shared" si="58"/>
        <v>93.209999999998985</v>
      </c>
    </row>
    <row r="937" spans="6:10" x14ac:dyDescent="0.25">
      <c r="F937" s="4">
        <f t="shared" si="59"/>
        <v>93.309999999998979</v>
      </c>
      <c r="G937" s="4">
        <f>cubspline(3,F937,Data!$B$36:$B$56,Data!$A$36:$A$56)</f>
        <v>0</v>
      </c>
      <c r="H937" s="4">
        <f t="shared" si="60"/>
        <v>1E-10</v>
      </c>
      <c r="I937" s="4">
        <f t="shared" si="57"/>
        <v>93.309999999998979</v>
      </c>
      <c r="J937" s="2">
        <f t="shared" si="58"/>
        <v>93.309999999998979</v>
      </c>
    </row>
    <row r="938" spans="6:10" x14ac:dyDescent="0.25">
      <c r="F938" s="4">
        <f t="shared" si="59"/>
        <v>93.409999999998973</v>
      </c>
      <c r="G938" s="4">
        <f>cubspline(3,F938,Data!$B$36:$B$56,Data!$A$36:$A$56)</f>
        <v>0</v>
      </c>
      <c r="H938" s="4">
        <f t="shared" si="60"/>
        <v>1E-10</v>
      </c>
      <c r="I938" s="4">
        <f t="shared" si="57"/>
        <v>93.409999999998973</v>
      </c>
      <c r="J938" s="2">
        <f t="shared" si="58"/>
        <v>93.409999999998973</v>
      </c>
    </row>
    <row r="939" spans="6:10" x14ac:dyDescent="0.25">
      <c r="F939" s="4">
        <f t="shared" si="59"/>
        <v>93.509999999998968</v>
      </c>
      <c r="G939" s="4">
        <f>cubspline(3,F939,Data!$B$36:$B$56,Data!$A$36:$A$56)</f>
        <v>0</v>
      </c>
      <c r="H939" s="4">
        <f t="shared" si="60"/>
        <v>1E-10</v>
      </c>
      <c r="I939" s="4">
        <f t="shared" si="57"/>
        <v>93.509999999998968</v>
      </c>
      <c r="J939" s="2">
        <f t="shared" si="58"/>
        <v>93.509999999998968</v>
      </c>
    </row>
    <row r="940" spans="6:10" x14ac:dyDescent="0.25">
      <c r="F940" s="4">
        <f t="shared" si="59"/>
        <v>93.609999999998962</v>
      </c>
      <c r="G940" s="4">
        <f>cubspline(3,F940,Data!$B$36:$B$56,Data!$A$36:$A$56)</f>
        <v>0</v>
      </c>
      <c r="H940" s="4">
        <f t="shared" si="60"/>
        <v>1E-10</v>
      </c>
      <c r="I940" s="4">
        <f t="shared" si="57"/>
        <v>93.609999999998962</v>
      </c>
      <c r="J940" s="2">
        <f t="shared" si="58"/>
        <v>93.609999999998962</v>
      </c>
    </row>
    <row r="941" spans="6:10" x14ac:dyDescent="0.25">
      <c r="F941" s="4">
        <f t="shared" si="59"/>
        <v>93.709999999998956</v>
      </c>
      <c r="G941" s="4">
        <f>cubspline(3,F941,Data!$B$36:$B$56,Data!$A$36:$A$56)</f>
        <v>0</v>
      </c>
      <c r="H941" s="4">
        <f t="shared" si="60"/>
        <v>1E-10</v>
      </c>
      <c r="I941" s="4">
        <f t="shared" si="57"/>
        <v>93.709999999998956</v>
      </c>
      <c r="J941" s="2">
        <f t="shared" si="58"/>
        <v>93.709999999998956</v>
      </c>
    </row>
    <row r="942" spans="6:10" x14ac:dyDescent="0.25">
      <c r="F942" s="4">
        <f t="shared" si="59"/>
        <v>93.809999999998951</v>
      </c>
      <c r="G942" s="4">
        <f>cubspline(3,F942,Data!$B$36:$B$56,Data!$A$36:$A$56)</f>
        <v>0</v>
      </c>
      <c r="H942" s="4">
        <f t="shared" si="60"/>
        <v>1E-10</v>
      </c>
      <c r="I942" s="4">
        <f t="shared" si="57"/>
        <v>93.809999999998951</v>
      </c>
      <c r="J942" s="2">
        <f t="shared" si="58"/>
        <v>93.809999999998951</v>
      </c>
    </row>
    <row r="943" spans="6:10" x14ac:dyDescent="0.25">
      <c r="F943" s="4">
        <f t="shared" si="59"/>
        <v>93.909999999998945</v>
      </c>
      <c r="G943" s="4">
        <f>cubspline(3,F943,Data!$B$36:$B$56,Data!$A$36:$A$56)</f>
        <v>0</v>
      </c>
      <c r="H943" s="4">
        <f t="shared" si="60"/>
        <v>1E-10</v>
      </c>
      <c r="I943" s="4">
        <f t="shared" si="57"/>
        <v>93.909999999998945</v>
      </c>
      <c r="J943" s="2">
        <f t="shared" si="58"/>
        <v>93.909999999998945</v>
      </c>
    </row>
    <row r="944" spans="6:10" x14ac:dyDescent="0.25">
      <c r="F944" s="4">
        <f t="shared" si="59"/>
        <v>94.009999999998939</v>
      </c>
      <c r="G944" s="4">
        <f>cubspline(3,F944,Data!$B$36:$B$56,Data!$A$36:$A$56)</f>
        <v>0</v>
      </c>
      <c r="H944" s="4">
        <f t="shared" si="60"/>
        <v>1E-10</v>
      </c>
      <c r="I944" s="4">
        <f t="shared" si="57"/>
        <v>94.009999999998939</v>
      </c>
      <c r="J944" s="2">
        <f t="shared" si="58"/>
        <v>94.009999999998939</v>
      </c>
    </row>
    <row r="945" spans="6:10" x14ac:dyDescent="0.25">
      <c r="F945" s="4">
        <f t="shared" si="59"/>
        <v>94.109999999998934</v>
      </c>
      <c r="G945" s="4">
        <f>cubspline(3,F945,Data!$B$36:$B$56,Data!$A$36:$A$56)</f>
        <v>0</v>
      </c>
      <c r="H945" s="4">
        <f t="shared" si="60"/>
        <v>1E-10</v>
      </c>
      <c r="I945" s="4">
        <f t="shared" si="57"/>
        <v>94.109999999998934</v>
      </c>
      <c r="J945" s="2">
        <f t="shared" si="58"/>
        <v>94.109999999998934</v>
      </c>
    </row>
    <row r="946" spans="6:10" x14ac:dyDescent="0.25">
      <c r="F946" s="4">
        <f t="shared" si="59"/>
        <v>94.209999999998928</v>
      </c>
      <c r="G946" s="4">
        <f>cubspline(3,F946,Data!$B$36:$B$56,Data!$A$36:$A$56)</f>
        <v>0</v>
      </c>
      <c r="H946" s="4">
        <f t="shared" si="60"/>
        <v>1E-10</v>
      </c>
      <c r="I946" s="4">
        <f t="shared" si="57"/>
        <v>94.209999999998928</v>
      </c>
      <c r="J946" s="2">
        <f t="shared" si="58"/>
        <v>94.209999999998928</v>
      </c>
    </row>
    <row r="947" spans="6:10" x14ac:dyDescent="0.25">
      <c r="F947" s="4">
        <f t="shared" si="59"/>
        <v>94.309999999998922</v>
      </c>
      <c r="G947" s="4">
        <f>cubspline(3,F947,Data!$B$36:$B$56,Data!$A$36:$A$56)</f>
        <v>0</v>
      </c>
      <c r="H947" s="4">
        <f t="shared" si="60"/>
        <v>1E-10</v>
      </c>
      <c r="I947" s="4">
        <f t="shared" si="57"/>
        <v>94.309999999998922</v>
      </c>
      <c r="J947" s="2">
        <f t="shared" si="58"/>
        <v>94.309999999998922</v>
      </c>
    </row>
    <row r="948" spans="6:10" x14ac:dyDescent="0.25">
      <c r="F948" s="4">
        <f t="shared" si="59"/>
        <v>94.409999999998917</v>
      </c>
      <c r="G948" s="4">
        <f>cubspline(3,F948,Data!$B$36:$B$56,Data!$A$36:$A$56)</f>
        <v>0</v>
      </c>
      <c r="H948" s="4">
        <f t="shared" si="60"/>
        <v>1E-10</v>
      </c>
      <c r="I948" s="4">
        <f t="shared" si="57"/>
        <v>94.409999999998917</v>
      </c>
      <c r="J948" s="2">
        <f t="shared" si="58"/>
        <v>94.409999999998917</v>
      </c>
    </row>
    <row r="949" spans="6:10" x14ac:dyDescent="0.25">
      <c r="F949" s="4">
        <f t="shared" si="59"/>
        <v>94.509999999998911</v>
      </c>
      <c r="G949" s="4">
        <f>cubspline(3,F949,Data!$B$36:$B$56,Data!$A$36:$A$56)</f>
        <v>0</v>
      </c>
      <c r="H949" s="4">
        <f t="shared" si="60"/>
        <v>1E-10</v>
      </c>
      <c r="I949" s="4">
        <f t="shared" si="57"/>
        <v>94.509999999998911</v>
      </c>
      <c r="J949" s="2">
        <f t="shared" si="58"/>
        <v>94.509999999998911</v>
      </c>
    </row>
    <row r="950" spans="6:10" x14ac:dyDescent="0.25">
      <c r="F950" s="4">
        <f t="shared" si="59"/>
        <v>94.609999999998905</v>
      </c>
      <c r="G950" s="4">
        <f>cubspline(3,F950,Data!$B$36:$B$56,Data!$A$36:$A$56)</f>
        <v>0</v>
      </c>
      <c r="H950" s="4">
        <f t="shared" si="60"/>
        <v>1E-10</v>
      </c>
      <c r="I950" s="4">
        <f t="shared" si="57"/>
        <v>94.609999999998905</v>
      </c>
      <c r="J950" s="2">
        <f t="shared" si="58"/>
        <v>94.609999999998905</v>
      </c>
    </row>
    <row r="951" spans="6:10" x14ac:dyDescent="0.25">
      <c r="F951" s="4">
        <f t="shared" si="59"/>
        <v>94.7099999999989</v>
      </c>
      <c r="G951" s="4">
        <f>cubspline(3,F951,Data!$B$36:$B$56,Data!$A$36:$A$56)</f>
        <v>0</v>
      </c>
      <c r="H951" s="4">
        <f t="shared" si="60"/>
        <v>1E-10</v>
      </c>
      <c r="I951" s="4">
        <f t="shared" si="57"/>
        <v>94.7099999999989</v>
      </c>
      <c r="J951" s="2">
        <f t="shared" si="58"/>
        <v>94.7099999999989</v>
      </c>
    </row>
    <row r="952" spans="6:10" x14ac:dyDescent="0.25">
      <c r="F952" s="4">
        <f t="shared" si="59"/>
        <v>94.809999999998894</v>
      </c>
      <c r="G952" s="4">
        <f>cubspline(3,F952,Data!$B$36:$B$56,Data!$A$36:$A$56)</f>
        <v>0</v>
      </c>
      <c r="H952" s="4">
        <f t="shared" si="60"/>
        <v>1E-10</v>
      </c>
      <c r="I952" s="4">
        <f t="shared" si="57"/>
        <v>94.809999999998894</v>
      </c>
      <c r="J952" s="2">
        <f t="shared" si="58"/>
        <v>94.809999999998894</v>
      </c>
    </row>
    <row r="953" spans="6:10" x14ac:dyDescent="0.25">
      <c r="F953" s="4">
        <f t="shared" si="59"/>
        <v>94.909999999998888</v>
      </c>
      <c r="G953" s="4">
        <f>cubspline(3,F953,Data!$B$36:$B$56,Data!$A$36:$A$56)</f>
        <v>0</v>
      </c>
      <c r="H953" s="4">
        <f t="shared" si="60"/>
        <v>1E-10</v>
      </c>
      <c r="I953" s="4">
        <f t="shared" si="57"/>
        <v>94.909999999998888</v>
      </c>
      <c r="J953" s="2">
        <f t="shared" si="58"/>
        <v>94.909999999998888</v>
      </c>
    </row>
    <row r="954" spans="6:10" x14ac:dyDescent="0.25">
      <c r="F954" s="4">
        <f t="shared" si="59"/>
        <v>95.009999999998882</v>
      </c>
      <c r="G954" s="4">
        <f>cubspline(3,F954,Data!$B$36:$B$56,Data!$A$36:$A$56)</f>
        <v>0</v>
      </c>
      <c r="H954" s="4">
        <f t="shared" si="60"/>
        <v>1E-10</v>
      </c>
      <c r="I954" s="4">
        <f t="shared" si="57"/>
        <v>95.009999999998882</v>
      </c>
      <c r="J954" s="2">
        <f t="shared" si="58"/>
        <v>95.009999999998882</v>
      </c>
    </row>
    <row r="955" spans="6:10" x14ac:dyDescent="0.25">
      <c r="F955" s="4">
        <f t="shared" si="59"/>
        <v>95.109999999998877</v>
      </c>
      <c r="G955" s="4">
        <f>cubspline(3,F955,Data!$B$36:$B$56,Data!$A$36:$A$56)</f>
        <v>0</v>
      </c>
      <c r="H955" s="4">
        <f t="shared" si="60"/>
        <v>1E-10</v>
      </c>
      <c r="I955" s="4">
        <f t="shared" si="57"/>
        <v>95.109999999998877</v>
      </c>
      <c r="J955" s="2">
        <f t="shared" si="58"/>
        <v>95.109999999998877</v>
      </c>
    </row>
    <row r="956" spans="6:10" x14ac:dyDescent="0.25">
      <c r="F956" s="4">
        <f t="shared" si="59"/>
        <v>95.209999999998871</v>
      </c>
      <c r="G956" s="4">
        <f>cubspline(3,F956,Data!$B$36:$B$56,Data!$A$36:$A$56)</f>
        <v>0</v>
      </c>
      <c r="H956" s="4">
        <f t="shared" si="60"/>
        <v>1E-10</v>
      </c>
      <c r="I956" s="4">
        <f t="shared" si="57"/>
        <v>95.209999999998871</v>
      </c>
      <c r="J956" s="2">
        <f t="shared" si="58"/>
        <v>95.209999999998871</v>
      </c>
    </row>
    <row r="957" spans="6:10" x14ac:dyDescent="0.25">
      <c r="F957" s="4">
        <f t="shared" si="59"/>
        <v>95.309999999998865</v>
      </c>
      <c r="G957" s="4">
        <f>cubspline(3,F957,Data!$B$36:$B$56,Data!$A$36:$A$56)</f>
        <v>0</v>
      </c>
      <c r="H957" s="4">
        <f t="shared" si="60"/>
        <v>1E-10</v>
      </c>
      <c r="I957" s="4">
        <f t="shared" si="57"/>
        <v>95.309999999998865</v>
      </c>
      <c r="J957" s="2">
        <f t="shared" si="58"/>
        <v>95.309999999998865</v>
      </c>
    </row>
    <row r="958" spans="6:10" x14ac:dyDescent="0.25">
      <c r="F958" s="4">
        <f t="shared" si="59"/>
        <v>95.40999999999886</v>
      </c>
      <c r="G958" s="4">
        <f>cubspline(3,F958,Data!$B$36:$B$56,Data!$A$36:$A$56)</f>
        <v>0</v>
      </c>
      <c r="H958" s="4">
        <f t="shared" si="60"/>
        <v>1E-10</v>
      </c>
      <c r="I958" s="4">
        <f t="shared" si="57"/>
        <v>95.40999999999886</v>
      </c>
      <c r="J958" s="2">
        <f t="shared" si="58"/>
        <v>95.40999999999886</v>
      </c>
    </row>
    <row r="959" spans="6:10" x14ac:dyDescent="0.25">
      <c r="F959" s="4">
        <f t="shared" si="59"/>
        <v>95.509999999998854</v>
      </c>
      <c r="G959" s="4">
        <f>cubspline(3,F959,Data!$B$36:$B$56,Data!$A$36:$A$56)</f>
        <v>0</v>
      </c>
      <c r="H959" s="4">
        <f t="shared" si="60"/>
        <v>1E-10</v>
      </c>
      <c r="I959" s="4">
        <f t="shared" si="57"/>
        <v>95.509999999998854</v>
      </c>
      <c r="J959" s="2">
        <f t="shared" si="58"/>
        <v>95.509999999998854</v>
      </c>
    </row>
    <row r="960" spans="6:10" x14ac:dyDescent="0.25">
      <c r="F960" s="4">
        <f t="shared" si="59"/>
        <v>95.609999999998848</v>
      </c>
      <c r="G960" s="4">
        <f>cubspline(3,F960,Data!$B$36:$B$56,Data!$A$36:$A$56)</f>
        <v>0</v>
      </c>
      <c r="H960" s="4">
        <f t="shared" si="60"/>
        <v>1E-10</v>
      </c>
      <c r="I960" s="4">
        <f t="shared" si="57"/>
        <v>95.609999999998848</v>
      </c>
      <c r="J960" s="2">
        <f t="shared" si="58"/>
        <v>95.609999999998848</v>
      </c>
    </row>
    <row r="961" spans="6:10" x14ac:dyDescent="0.25">
      <c r="F961" s="4">
        <f t="shared" si="59"/>
        <v>95.709999999998843</v>
      </c>
      <c r="G961" s="4">
        <f>cubspline(3,F961,Data!$B$36:$B$56,Data!$A$36:$A$56)</f>
        <v>0</v>
      </c>
      <c r="H961" s="4">
        <f t="shared" si="60"/>
        <v>1E-10</v>
      </c>
      <c r="I961" s="4">
        <f t="shared" si="57"/>
        <v>95.709999999998843</v>
      </c>
      <c r="J961" s="2">
        <f t="shared" si="58"/>
        <v>95.709999999998843</v>
      </c>
    </row>
    <row r="962" spans="6:10" x14ac:dyDescent="0.25">
      <c r="F962" s="4">
        <f t="shared" si="59"/>
        <v>95.809999999998837</v>
      </c>
      <c r="G962" s="4">
        <f>cubspline(3,F962,Data!$B$36:$B$56,Data!$A$36:$A$56)</f>
        <v>0</v>
      </c>
      <c r="H962" s="4">
        <f t="shared" si="60"/>
        <v>1E-10</v>
      </c>
      <c r="I962" s="4">
        <f t="shared" si="57"/>
        <v>95.809999999998837</v>
      </c>
      <c r="J962" s="2">
        <f t="shared" si="58"/>
        <v>95.809999999998837</v>
      </c>
    </row>
    <row r="963" spans="6:10" x14ac:dyDescent="0.25">
      <c r="F963" s="4">
        <f t="shared" si="59"/>
        <v>95.909999999998831</v>
      </c>
      <c r="G963" s="4">
        <f>cubspline(3,F963,Data!$B$36:$B$56,Data!$A$36:$A$56)</f>
        <v>0</v>
      </c>
      <c r="H963" s="4">
        <f t="shared" si="60"/>
        <v>1E-10</v>
      </c>
      <c r="I963" s="4">
        <f t="shared" si="57"/>
        <v>95.909999999998831</v>
      </c>
      <c r="J963" s="2">
        <f t="shared" si="58"/>
        <v>95.909999999998831</v>
      </c>
    </row>
    <row r="964" spans="6:10" x14ac:dyDescent="0.25">
      <c r="F964" s="4">
        <f t="shared" si="59"/>
        <v>96.009999999998826</v>
      </c>
      <c r="G964" s="4">
        <f>cubspline(3,F964,Data!$B$36:$B$56,Data!$A$36:$A$56)</f>
        <v>0</v>
      </c>
      <c r="H964" s="4">
        <f t="shared" si="60"/>
        <v>1E-10</v>
      </c>
      <c r="I964" s="4">
        <f t="shared" si="57"/>
        <v>96.009999999998826</v>
      </c>
      <c r="J964" s="2">
        <f t="shared" si="58"/>
        <v>96.009999999998826</v>
      </c>
    </row>
    <row r="965" spans="6:10" x14ac:dyDescent="0.25">
      <c r="F965" s="4">
        <f t="shared" si="59"/>
        <v>96.10999999999882</v>
      </c>
      <c r="G965" s="4">
        <f>cubspline(3,F965,Data!$B$36:$B$56,Data!$A$36:$A$56)</f>
        <v>0</v>
      </c>
      <c r="H965" s="4">
        <f t="shared" si="60"/>
        <v>1E-10</v>
      </c>
      <c r="I965" s="4">
        <f t="shared" ref="I965:I1004" si="61">IF(F965&gt;$D$47,F965,NA())</f>
        <v>96.10999999999882</v>
      </c>
      <c r="J965" s="2">
        <f t="shared" ref="J965:J1004" si="62">IF(F965&gt;=$D$47,F965,($D$47-(0.3*($D$47-F965))))</f>
        <v>96.10999999999882</v>
      </c>
    </row>
    <row r="966" spans="6:10" x14ac:dyDescent="0.25">
      <c r="F966" s="4">
        <f t="shared" ref="F966:F1004" si="63">F965+0.1</f>
        <v>96.209999999998814</v>
      </c>
      <c r="G966" s="4">
        <f>cubspline(3,F966,Data!$B$36:$B$56,Data!$A$36:$A$56)</f>
        <v>0</v>
      </c>
      <c r="H966" s="4">
        <f t="shared" ref="H966:H1004" si="64">IF(G966&lt;=0,0.0000000001,G966)</f>
        <v>1E-10</v>
      </c>
      <c r="I966" s="4">
        <f t="shared" si="61"/>
        <v>96.209999999998814</v>
      </c>
      <c r="J966" s="2">
        <f t="shared" si="62"/>
        <v>96.209999999998814</v>
      </c>
    </row>
    <row r="967" spans="6:10" x14ac:dyDescent="0.25">
      <c r="F967" s="4">
        <f t="shared" si="63"/>
        <v>96.309999999998809</v>
      </c>
      <c r="G967" s="4">
        <f>cubspline(3,F967,Data!$B$36:$B$56,Data!$A$36:$A$56)</f>
        <v>0</v>
      </c>
      <c r="H967" s="4">
        <f t="shared" si="64"/>
        <v>1E-10</v>
      </c>
      <c r="I967" s="4">
        <f t="shared" si="61"/>
        <v>96.309999999998809</v>
      </c>
      <c r="J967" s="2">
        <f t="shared" si="62"/>
        <v>96.309999999998809</v>
      </c>
    </row>
    <row r="968" spans="6:10" x14ac:dyDescent="0.25">
      <c r="F968" s="4">
        <f t="shared" si="63"/>
        <v>96.409999999998803</v>
      </c>
      <c r="G968" s="4">
        <f>cubspline(3,F968,Data!$B$36:$B$56,Data!$A$36:$A$56)</f>
        <v>0</v>
      </c>
      <c r="H968" s="4">
        <f t="shared" si="64"/>
        <v>1E-10</v>
      </c>
      <c r="I968" s="4">
        <f t="shared" si="61"/>
        <v>96.409999999998803</v>
      </c>
      <c r="J968" s="2">
        <f t="shared" si="62"/>
        <v>96.409999999998803</v>
      </c>
    </row>
    <row r="969" spans="6:10" x14ac:dyDescent="0.25">
      <c r="F969" s="4">
        <f t="shared" si="63"/>
        <v>96.509999999998797</v>
      </c>
      <c r="G969" s="4">
        <f>cubspline(3,F969,Data!$B$36:$B$56,Data!$A$36:$A$56)</f>
        <v>0</v>
      </c>
      <c r="H969" s="4">
        <f t="shared" si="64"/>
        <v>1E-10</v>
      </c>
      <c r="I969" s="4">
        <f t="shared" si="61"/>
        <v>96.509999999998797</v>
      </c>
      <c r="J969" s="2">
        <f t="shared" si="62"/>
        <v>96.509999999998797</v>
      </c>
    </row>
    <row r="970" spans="6:10" x14ac:dyDescent="0.25">
      <c r="F970" s="4">
        <f t="shared" si="63"/>
        <v>96.609999999998792</v>
      </c>
      <c r="G970" s="4">
        <f>cubspline(3,F970,Data!$B$36:$B$56,Data!$A$36:$A$56)</f>
        <v>0</v>
      </c>
      <c r="H970" s="4">
        <f t="shared" si="64"/>
        <v>1E-10</v>
      </c>
      <c r="I970" s="4">
        <f t="shared" si="61"/>
        <v>96.609999999998792</v>
      </c>
      <c r="J970" s="2">
        <f t="shared" si="62"/>
        <v>96.609999999998792</v>
      </c>
    </row>
    <row r="971" spans="6:10" x14ac:dyDescent="0.25">
      <c r="F971" s="4">
        <f t="shared" si="63"/>
        <v>96.709999999998786</v>
      </c>
      <c r="G971" s="4">
        <f>cubspline(3,F971,Data!$B$36:$B$56,Data!$A$36:$A$56)</f>
        <v>0</v>
      </c>
      <c r="H971" s="4">
        <f t="shared" si="64"/>
        <v>1E-10</v>
      </c>
      <c r="I971" s="4">
        <f t="shared" si="61"/>
        <v>96.709999999998786</v>
      </c>
      <c r="J971" s="2">
        <f t="shared" si="62"/>
        <v>96.709999999998786</v>
      </c>
    </row>
    <row r="972" spans="6:10" x14ac:dyDescent="0.25">
      <c r="F972" s="4">
        <f t="shared" si="63"/>
        <v>96.80999999999878</v>
      </c>
      <c r="G972" s="4">
        <f>cubspline(3,F972,Data!$B$36:$B$56,Data!$A$36:$A$56)</f>
        <v>0</v>
      </c>
      <c r="H972" s="4">
        <f t="shared" si="64"/>
        <v>1E-10</v>
      </c>
      <c r="I972" s="4">
        <f t="shared" si="61"/>
        <v>96.80999999999878</v>
      </c>
      <c r="J972" s="2">
        <f t="shared" si="62"/>
        <v>96.80999999999878</v>
      </c>
    </row>
    <row r="973" spans="6:10" x14ac:dyDescent="0.25">
      <c r="F973" s="4">
        <f t="shared" si="63"/>
        <v>96.909999999998774</v>
      </c>
      <c r="G973" s="4">
        <f>cubspline(3,F973,Data!$B$36:$B$56,Data!$A$36:$A$56)</f>
        <v>0</v>
      </c>
      <c r="H973" s="4">
        <f t="shared" si="64"/>
        <v>1E-10</v>
      </c>
      <c r="I973" s="4">
        <f t="shared" si="61"/>
        <v>96.909999999998774</v>
      </c>
      <c r="J973" s="2">
        <f t="shared" si="62"/>
        <v>96.909999999998774</v>
      </c>
    </row>
    <row r="974" spans="6:10" x14ac:dyDescent="0.25">
      <c r="F974" s="4">
        <f t="shared" si="63"/>
        <v>97.009999999998769</v>
      </c>
      <c r="G974" s="4">
        <f>cubspline(3,F974,Data!$B$36:$B$56,Data!$A$36:$A$56)</f>
        <v>0</v>
      </c>
      <c r="H974" s="4">
        <f t="shared" si="64"/>
        <v>1E-10</v>
      </c>
      <c r="I974" s="4">
        <f t="shared" si="61"/>
        <v>97.009999999998769</v>
      </c>
      <c r="J974" s="2">
        <f t="shared" si="62"/>
        <v>97.009999999998769</v>
      </c>
    </row>
    <row r="975" spans="6:10" x14ac:dyDescent="0.25">
      <c r="F975" s="4">
        <f t="shared" si="63"/>
        <v>97.109999999998763</v>
      </c>
      <c r="G975" s="4">
        <f>cubspline(3,F975,Data!$B$36:$B$56,Data!$A$36:$A$56)</f>
        <v>0</v>
      </c>
      <c r="H975" s="4">
        <f t="shared" si="64"/>
        <v>1E-10</v>
      </c>
      <c r="I975" s="4">
        <f t="shared" si="61"/>
        <v>97.109999999998763</v>
      </c>
      <c r="J975" s="2">
        <f t="shared" si="62"/>
        <v>97.109999999998763</v>
      </c>
    </row>
    <row r="976" spans="6:10" x14ac:dyDescent="0.25">
      <c r="F976" s="4">
        <f t="shared" si="63"/>
        <v>97.209999999998757</v>
      </c>
      <c r="G976" s="4">
        <f>cubspline(3,F976,Data!$B$36:$B$56,Data!$A$36:$A$56)</f>
        <v>0</v>
      </c>
      <c r="H976" s="4">
        <f t="shared" si="64"/>
        <v>1E-10</v>
      </c>
      <c r="I976" s="4">
        <f t="shared" si="61"/>
        <v>97.209999999998757</v>
      </c>
      <c r="J976" s="2">
        <f t="shared" si="62"/>
        <v>97.209999999998757</v>
      </c>
    </row>
    <row r="977" spans="6:10" x14ac:dyDescent="0.25">
      <c r="F977" s="4">
        <f t="shared" si="63"/>
        <v>97.309999999998752</v>
      </c>
      <c r="G977" s="4">
        <f>cubspline(3,F977,Data!$B$36:$B$56,Data!$A$36:$A$56)</f>
        <v>0</v>
      </c>
      <c r="H977" s="4">
        <f t="shared" si="64"/>
        <v>1E-10</v>
      </c>
      <c r="I977" s="4">
        <f t="shared" si="61"/>
        <v>97.309999999998752</v>
      </c>
      <c r="J977" s="2">
        <f t="shared" si="62"/>
        <v>97.309999999998752</v>
      </c>
    </row>
    <row r="978" spans="6:10" x14ac:dyDescent="0.25">
      <c r="F978" s="4">
        <f t="shared" si="63"/>
        <v>97.409999999998746</v>
      </c>
      <c r="G978" s="4">
        <f>cubspline(3,F978,Data!$B$36:$B$56,Data!$A$36:$A$56)</f>
        <v>0</v>
      </c>
      <c r="H978" s="4">
        <f t="shared" si="64"/>
        <v>1E-10</v>
      </c>
      <c r="I978" s="4">
        <f t="shared" si="61"/>
        <v>97.409999999998746</v>
      </c>
      <c r="J978" s="2">
        <f t="shared" si="62"/>
        <v>97.409999999998746</v>
      </c>
    </row>
    <row r="979" spans="6:10" x14ac:dyDescent="0.25">
      <c r="F979" s="4">
        <f t="shared" si="63"/>
        <v>97.50999999999874</v>
      </c>
      <c r="G979" s="4">
        <f>cubspline(3,F979,Data!$B$36:$B$56,Data!$A$36:$A$56)</f>
        <v>0</v>
      </c>
      <c r="H979" s="4">
        <f t="shared" si="64"/>
        <v>1E-10</v>
      </c>
      <c r="I979" s="4">
        <f t="shared" si="61"/>
        <v>97.50999999999874</v>
      </c>
      <c r="J979" s="2">
        <f t="shared" si="62"/>
        <v>97.50999999999874</v>
      </c>
    </row>
    <row r="980" spans="6:10" x14ac:dyDescent="0.25">
      <c r="F980" s="4">
        <f t="shared" si="63"/>
        <v>97.609999999998735</v>
      </c>
      <c r="G980" s="4">
        <f>cubspline(3,F980,Data!$B$36:$B$56,Data!$A$36:$A$56)</f>
        <v>0</v>
      </c>
      <c r="H980" s="4">
        <f t="shared" si="64"/>
        <v>1E-10</v>
      </c>
      <c r="I980" s="4">
        <f t="shared" si="61"/>
        <v>97.609999999998735</v>
      </c>
      <c r="J980" s="2">
        <f t="shared" si="62"/>
        <v>97.609999999998735</v>
      </c>
    </row>
    <row r="981" spans="6:10" x14ac:dyDescent="0.25">
      <c r="F981" s="4">
        <f t="shared" si="63"/>
        <v>97.709999999998729</v>
      </c>
      <c r="G981" s="4">
        <f>cubspline(3,F981,Data!$B$36:$B$56,Data!$A$36:$A$56)</f>
        <v>0</v>
      </c>
      <c r="H981" s="4">
        <f t="shared" si="64"/>
        <v>1E-10</v>
      </c>
      <c r="I981" s="4">
        <f t="shared" si="61"/>
        <v>97.709999999998729</v>
      </c>
      <c r="J981" s="2">
        <f t="shared" si="62"/>
        <v>97.709999999998729</v>
      </c>
    </row>
    <row r="982" spans="6:10" x14ac:dyDescent="0.25">
      <c r="F982" s="4">
        <f t="shared" si="63"/>
        <v>97.809999999998723</v>
      </c>
      <c r="G982" s="4">
        <f>cubspline(3,F982,Data!$B$36:$B$56,Data!$A$36:$A$56)</f>
        <v>0</v>
      </c>
      <c r="H982" s="4">
        <f t="shared" si="64"/>
        <v>1E-10</v>
      </c>
      <c r="I982" s="4">
        <f t="shared" si="61"/>
        <v>97.809999999998723</v>
      </c>
      <c r="J982" s="2">
        <f t="shared" si="62"/>
        <v>97.809999999998723</v>
      </c>
    </row>
    <row r="983" spans="6:10" x14ac:dyDescent="0.25">
      <c r="F983" s="4">
        <f t="shared" si="63"/>
        <v>97.909999999998718</v>
      </c>
      <c r="G983" s="4">
        <f>cubspline(3,F983,Data!$B$36:$B$56,Data!$A$36:$A$56)</f>
        <v>0</v>
      </c>
      <c r="H983" s="4">
        <f t="shared" si="64"/>
        <v>1E-10</v>
      </c>
      <c r="I983" s="4">
        <f t="shared" si="61"/>
        <v>97.909999999998718</v>
      </c>
      <c r="J983" s="2">
        <f t="shared" si="62"/>
        <v>97.909999999998718</v>
      </c>
    </row>
    <row r="984" spans="6:10" x14ac:dyDescent="0.25">
      <c r="F984" s="4">
        <f t="shared" si="63"/>
        <v>98.009999999998712</v>
      </c>
      <c r="G984" s="4">
        <f>cubspline(3,F984,Data!$B$36:$B$56,Data!$A$36:$A$56)</f>
        <v>0</v>
      </c>
      <c r="H984" s="4">
        <f t="shared" si="64"/>
        <v>1E-10</v>
      </c>
      <c r="I984" s="4">
        <f t="shared" si="61"/>
        <v>98.009999999998712</v>
      </c>
      <c r="J984" s="2">
        <f t="shared" si="62"/>
        <v>98.009999999998712</v>
      </c>
    </row>
    <row r="985" spans="6:10" x14ac:dyDescent="0.25">
      <c r="F985" s="4">
        <f t="shared" si="63"/>
        <v>98.109999999998706</v>
      </c>
      <c r="G985" s="4">
        <f>cubspline(3,F985,Data!$B$36:$B$56,Data!$A$36:$A$56)</f>
        <v>0</v>
      </c>
      <c r="H985" s="4">
        <f t="shared" si="64"/>
        <v>1E-10</v>
      </c>
      <c r="I985" s="4">
        <f t="shared" si="61"/>
        <v>98.109999999998706</v>
      </c>
      <c r="J985" s="2">
        <f t="shared" si="62"/>
        <v>98.109999999998706</v>
      </c>
    </row>
    <row r="986" spans="6:10" x14ac:dyDescent="0.25">
      <c r="F986" s="4">
        <f t="shared" si="63"/>
        <v>98.209999999998701</v>
      </c>
      <c r="G986" s="4">
        <f>cubspline(3,F986,Data!$B$36:$B$56,Data!$A$36:$A$56)</f>
        <v>0</v>
      </c>
      <c r="H986" s="4">
        <f t="shared" si="64"/>
        <v>1E-10</v>
      </c>
      <c r="I986" s="4">
        <f t="shared" si="61"/>
        <v>98.209999999998701</v>
      </c>
      <c r="J986" s="2">
        <f t="shared" si="62"/>
        <v>98.209999999998701</v>
      </c>
    </row>
    <row r="987" spans="6:10" x14ac:dyDescent="0.25">
      <c r="F987" s="4">
        <f t="shared" si="63"/>
        <v>98.309999999998695</v>
      </c>
      <c r="G987" s="4">
        <f>cubspline(3,F987,Data!$B$36:$B$56,Data!$A$36:$A$56)</f>
        <v>0</v>
      </c>
      <c r="H987" s="4">
        <f t="shared" si="64"/>
        <v>1E-10</v>
      </c>
      <c r="I987" s="4">
        <f t="shared" si="61"/>
        <v>98.309999999998695</v>
      </c>
      <c r="J987" s="2">
        <f t="shared" si="62"/>
        <v>98.309999999998695</v>
      </c>
    </row>
    <row r="988" spans="6:10" x14ac:dyDescent="0.25">
      <c r="F988" s="4">
        <f t="shared" si="63"/>
        <v>98.409999999998689</v>
      </c>
      <c r="G988" s="4">
        <f>cubspline(3,F988,Data!$B$36:$B$56,Data!$A$36:$A$56)</f>
        <v>0</v>
      </c>
      <c r="H988" s="4">
        <f t="shared" si="64"/>
        <v>1E-10</v>
      </c>
      <c r="I988" s="4">
        <f t="shared" si="61"/>
        <v>98.409999999998689</v>
      </c>
      <c r="J988" s="2">
        <f t="shared" si="62"/>
        <v>98.409999999998689</v>
      </c>
    </row>
    <row r="989" spans="6:10" x14ac:dyDescent="0.25">
      <c r="F989" s="4">
        <f t="shared" si="63"/>
        <v>98.509999999998684</v>
      </c>
      <c r="G989" s="4">
        <f>cubspline(3,F989,Data!$B$36:$B$56,Data!$A$36:$A$56)</f>
        <v>0</v>
      </c>
      <c r="H989" s="4">
        <f t="shared" si="64"/>
        <v>1E-10</v>
      </c>
      <c r="I989" s="4">
        <f t="shared" si="61"/>
        <v>98.509999999998684</v>
      </c>
      <c r="J989" s="2">
        <f t="shared" si="62"/>
        <v>98.509999999998684</v>
      </c>
    </row>
    <row r="990" spans="6:10" x14ac:dyDescent="0.25">
      <c r="F990" s="4">
        <f t="shared" si="63"/>
        <v>98.609999999998678</v>
      </c>
      <c r="G990" s="4">
        <f>cubspline(3,F990,Data!$B$36:$B$56,Data!$A$36:$A$56)</f>
        <v>0</v>
      </c>
      <c r="H990" s="4">
        <f t="shared" si="64"/>
        <v>1E-10</v>
      </c>
      <c r="I990" s="4">
        <f t="shared" si="61"/>
        <v>98.609999999998678</v>
      </c>
      <c r="J990" s="2">
        <f t="shared" si="62"/>
        <v>98.609999999998678</v>
      </c>
    </row>
    <row r="991" spans="6:10" x14ac:dyDescent="0.25">
      <c r="F991" s="4">
        <f t="shared" si="63"/>
        <v>98.709999999998672</v>
      </c>
      <c r="G991" s="4">
        <f>cubspline(3,F991,Data!$B$36:$B$56,Data!$A$36:$A$56)</f>
        <v>0</v>
      </c>
      <c r="H991" s="4">
        <f t="shared" si="64"/>
        <v>1E-10</v>
      </c>
      <c r="I991" s="4">
        <f t="shared" si="61"/>
        <v>98.709999999998672</v>
      </c>
      <c r="J991" s="2">
        <f t="shared" si="62"/>
        <v>98.709999999998672</v>
      </c>
    </row>
    <row r="992" spans="6:10" x14ac:dyDescent="0.25">
      <c r="F992" s="4">
        <f t="shared" si="63"/>
        <v>98.809999999998666</v>
      </c>
      <c r="G992" s="4">
        <f>cubspline(3,F992,Data!$B$36:$B$56,Data!$A$36:$A$56)</f>
        <v>0</v>
      </c>
      <c r="H992" s="4">
        <f t="shared" si="64"/>
        <v>1E-10</v>
      </c>
      <c r="I992" s="4">
        <f t="shared" si="61"/>
        <v>98.809999999998666</v>
      </c>
      <c r="J992" s="2">
        <f t="shared" si="62"/>
        <v>98.809999999998666</v>
      </c>
    </row>
    <row r="993" spans="6:10" x14ac:dyDescent="0.25">
      <c r="F993" s="4">
        <f t="shared" si="63"/>
        <v>98.909999999998661</v>
      </c>
      <c r="G993" s="4">
        <f>cubspline(3,F993,Data!$B$36:$B$56,Data!$A$36:$A$56)</f>
        <v>0</v>
      </c>
      <c r="H993" s="4">
        <f t="shared" si="64"/>
        <v>1E-10</v>
      </c>
      <c r="I993" s="4">
        <f t="shared" si="61"/>
        <v>98.909999999998661</v>
      </c>
      <c r="J993" s="2">
        <f t="shared" si="62"/>
        <v>98.909999999998661</v>
      </c>
    </row>
    <row r="994" spans="6:10" x14ac:dyDescent="0.25">
      <c r="F994" s="4">
        <f t="shared" si="63"/>
        <v>99.009999999998655</v>
      </c>
      <c r="G994" s="4">
        <f>cubspline(3,F994,Data!$B$36:$B$56,Data!$A$36:$A$56)</f>
        <v>0</v>
      </c>
      <c r="H994" s="4">
        <f t="shared" si="64"/>
        <v>1E-10</v>
      </c>
      <c r="I994" s="4">
        <f t="shared" si="61"/>
        <v>99.009999999998655</v>
      </c>
      <c r="J994" s="2">
        <f t="shared" si="62"/>
        <v>99.009999999998655</v>
      </c>
    </row>
    <row r="995" spans="6:10" x14ac:dyDescent="0.25">
      <c r="F995" s="4">
        <f t="shared" si="63"/>
        <v>99.109999999998649</v>
      </c>
      <c r="G995" s="4">
        <f>cubspline(3,F995,Data!$B$36:$B$56,Data!$A$36:$A$56)</f>
        <v>0</v>
      </c>
      <c r="H995" s="4">
        <f t="shared" si="64"/>
        <v>1E-10</v>
      </c>
      <c r="I995" s="4">
        <f t="shared" si="61"/>
        <v>99.109999999998649</v>
      </c>
      <c r="J995" s="2">
        <f t="shared" si="62"/>
        <v>99.109999999998649</v>
      </c>
    </row>
    <row r="996" spans="6:10" x14ac:dyDescent="0.25">
      <c r="F996" s="4">
        <f t="shared" si="63"/>
        <v>99.209999999998644</v>
      </c>
      <c r="G996" s="4">
        <f>cubspline(3,F996,Data!$B$36:$B$56,Data!$A$36:$A$56)</f>
        <v>0</v>
      </c>
      <c r="H996" s="4">
        <f t="shared" si="64"/>
        <v>1E-10</v>
      </c>
      <c r="I996" s="4">
        <f t="shared" si="61"/>
        <v>99.209999999998644</v>
      </c>
      <c r="J996" s="2">
        <f t="shared" si="62"/>
        <v>99.209999999998644</v>
      </c>
    </row>
    <row r="997" spans="6:10" x14ac:dyDescent="0.25">
      <c r="F997" s="4">
        <f t="shared" si="63"/>
        <v>99.309999999998638</v>
      </c>
      <c r="G997" s="4">
        <f>cubspline(3,F997,Data!$B$36:$B$56,Data!$A$36:$A$56)</f>
        <v>0</v>
      </c>
      <c r="H997" s="4">
        <f t="shared" si="64"/>
        <v>1E-10</v>
      </c>
      <c r="I997" s="4">
        <f t="shared" si="61"/>
        <v>99.309999999998638</v>
      </c>
      <c r="J997" s="2">
        <f t="shared" si="62"/>
        <v>99.309999999998638</v>
      </c>
    </row>
    <row r="998" spans="6:10" x14ac:dyDescent="0.25">
      <c r="F998" s="4">
        <f t="shared" si="63"/>
        <v>99.409999999998632</v>
      </c>
      <c r="G998" s="4">
        <f>cubspline(3,F998,Data!$B$36:$B$56,Data!$A$36:$A$56)</f>
        <v>0</v>
      </c>
      <c r="H998" s="4">
        <f t="shared" si="64"/>
        <v>1E-10</v>
      </c>
      <c r="I998" s="4">
        <f t="shared" si="61"/>
        <v>99.409999999998632</v>
      </c>
      <c r="J998" s="2">
        <f t="shared" si="62"/>
        <v>99.409999999998632</v>
      </c>
    </row>
    <row r="999" spans="6:10" x14ac:dyDescent="0.25">
      <c r="F999" s="4">
        <f t="shared" si="63"/>
        <v>99.509999999998627</v>
      </c>
      <c r="G999" s="4">
        <f>cubspline(3,F999,Data!$B$36:$B$56,Data!$A$36:$A$56)</f>
        <v>0</v>
      </c>
      <c r="H999" s="4">
        <f t="shared" si="64"/>
        <v>1E-10</v>
      </c>
      <c r="I999" s="4">
        <f t="shared" si="61"/>
        <v>99.509999999998627</v>
      </c>
      <c r="J999" s="2">
        <f t="shared" si="62"/>
        <v>99.509999999998627</v>
      </c>
    </row>
    <row r="1000" spans="6:10" x14ac:dyDescent="0.25">
      <c r="F1000" s="4">
        <f t="shared" si="63"/>
        <v>99.609999999998621</v>
      </c>
      <c r="G1000" s="4">
        <f>cubspline(3,F1000,Data!$B$36:$B$56,Data!$A$36:$A$56)</f>
        <v>0</v>
      </c>
      <c r="H1000" s="4">
        <f t="shared" si="64"/>
        <v>1E-10</v>
      </c>
      <c r="I1000" s="4">
        <f t="shared" si="61"/>
        <v>99.609999999998621</v>
      </c>
      <c r="J1000" s="2">
        <f t="shared" si="62"/>
        <v>99.609999999998621</v>
      </c>
    </row>
    <row r="1001" spans="6:10" x14ac:dyDescent="0.25">
      <c r="F1001" s="4">
        <f t="shared" si="63"/>
        <v>99.709999999998615</v>
      </c>
      <c r="G1001" s="4">
        <f>cubspline(3,F1001,Data!$B$36:$B$56,Data!$A$36:$A$56)</f>
        <v>0</v>
      </c>
      <c r="H1001" s="4">
        <f t="shared" si="64"/>
        <v>1E-10</v>
      </c>
      <c r="I1001" s="4">
        <f t="shared" si="61"/>
        <v>99.709999999998615</v>
      </c>
      <c r="J1001" s="2">
        <f t="shared" si="62"/>
        <v>99.709999999998615</v>
      </c>
    </row>
    <row r="1002" spans="6:10" x14ac:dyDescent="0.25">
      <c r="F1002" s="4">
        <f t="shared" si="63"/>
        <v>99.80999999999861</v>
      </c>
      <c r="G1002" s="4">
        <f>cubspline(3,F1002,Data!$B$36:$B$56,Data!$A$36:$A$56)</f>
        <v>0</v>
      </c>
      <c r="H1002" s="4">
        <f t="shared" si="64"/>
        <v>1E-10</v>
      </c>
      <c r="I1002" s="4">
        <f t="shared" si="61"/>
        <v>99.80999999999861</v>
      </c>
      <c r="J1002" s="2">
        <f t="shared" si="62"/>
        <v>99.80999999999861</v>
      </c>
    </row>
    <row r="1003" spans="6:10" x14ac:dyDescent="0.25">
      <c r="F1003" s="4">
        <f t="shared" si="63"/>
        <v>99.909999999998604</v>
      </c>
      <c r="G1003" s="4">
        <f>cubspline(3,F1003,Data!$B$36:$B$56,Data!$A$36:$A$56)</f>
        <v>0</v>
      </c>
      <c r="H1003" s="4">
        <f t="shared" si="64"/>
        <v>1E-10</v>
      </c>
      <c r="I1003" s="4">
        <f t="shared" si="61"/>
        <v>99.909999999998604</v>
      </c>
      <c r="J1003" s="2">
        <f t="shared" si="62"/>
        <v>99.909999999998604</v>
      </c>
    </row>
    <row r="1004" spans="6:10" x14ac:dyDescent="0.25">
      <c r="F1004" s="4">
        <f t="shared" si="63"/>
        <v>100.0099999999986</v>
      </c>
      <c r="G1004" s="4">
        <f>cubspline(3,F1004,Data!$B$36:$B$56,Data!$A$36:$A$56)</f>
        <v>0</v>
      </c>
      <c r="H1004" s="4">
        <f t="shared" si="64"/>
        <v>1E-10</v>
      </c>
      <c r="I1004" s="4">
        <f t="shared" si="61"/>
        <v>100.0099999999986</v>
      </c>
      <c r="J1004" s="2">
        <f t="shared" si="62"/>
        <v>100.0099999999986</v>
      </c>
    </row>
  </sheetData>
  <sheetProtection algorithmName="SHA-512" hashValue="jbzerW5pbWK41HPvPNOe2DSU0lR1yEswh/2/pH/7+W4VWF+RfloN3zPmwCBAgNEaK/oC9TLcQxFF8JvhhRk6Mw==" saltValue="LwN0SOGBFkUbD4Jo5P/RIg==" spinCount="100000" sheet="1" objects="1" scenarios="1" selectLockedCells="1" selectUnlockedCells="1"/>
  <mergeCells count="4">
    <mergeCell ref="F2:G2"/>
    <mergeCell ref="A62:C62"/>
    <mergeCell ref="A27:E27"/>
    <mergeCell ref="A7:C7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Input</vt:lpstr>
      <vt:lpstr>Size Distribution Curve</vt:lpstr>
      <vt:lpstr>Data</vt:lpstr>
      <vt:lpstr>CC</vt:lpstr>
      <vt:lpstr>coarse</vt:lpstr>
      <vt:lpstr>cobbles</vt:lpstr>
      <vt:lpstr>CU</vt:lpstr>
      <vt:lpstr>Depth</vt:lpstr>
      <vt:lpstr>Desc</vt:lpstr>
      <vt:lpstr>FINES</vt:lpstr>
      <vt:lpstr>Grav</vt:lpstr>
      <vt:lpstr>ID</vt:lpstr>
      <vt:lpstr>LL</vt:lpstr>
      <vt:lpstr>MDD</vt:lpstr>
      <vt:lpstr>OMC</vt:lpstr>
      <vt:lpstr>PL</vt:lpstr>
      <vt:lpstr>'Size Distribution Curve'!Print_Area</vt:lpstr>
      <vt:lpstr>SAND</vt:lpstr>
      <vt:lpstr>Sieve</vt:lpstr>
      <vt:lpstr>Units</vt:lpstr>
      <vt:lpstr>WDos</vt:lpstr>
      <vt:lpstr>wos</vt:lpstr>
    </vt:vector>
  </TitlesOfParts>
  <Company>korf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kruger</dc:creator>
  <cp:lastModifiedBy>Ron Berube</cp:lastModifiedBy>
  <cp:lastPrinted>2020-08-14T18:18:54Z</cp:lastPrinted>
  <dcterms:created xsi:type="dcterms:W3CDTF">2001-06-29T11:44:28Z</dcterms:created>
  <dcterms:modified xsi:type="dcterms:W3CDTF">2020-08-14T19:13:15Z</dcterms:modified>
</cp:coreProperties>
</file>